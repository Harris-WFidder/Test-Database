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tables/table12.xml" ContentType="application/vnd.openxmlformats-officedocument.spreadsheetml.table+xml"/>
  <Override PartName="/xl/drawings/drawing7.xml" ContentType="application/vnd.openxmlformats-officedocument.drawing+xml"/>
  <Override PartName="/xl/tables/table13.xml" ContentType="application/vnd.openxmlformats-officedocument.spreadsheetml.table+xml"/>
  <Override PartName="/xl/drawings/drawing8.xml" ContentType="application/vnd.openxmlformats-officedocument.drawing+xml"/>
  <Override PartName="/xl/tables/table14.xml" ContentType="application/vnd.openxmlformats-officedocument.spreadsheetml.table+xml"/>
  <Override PartName="/xl/drawings/drawing9.xml" ContentType="application/vnd.openxmlformats-officedocument.drawing+xml"/>
  <Override PartName="/xl/tables/table15.xml" ContentType="application/vnd.openxmlformats-officedocument.spreadsheetml.table+xml"/>
  <Override PartName="/xl/drawings/drawing10.xml" ContentType="application/vnd.openxmlformats-officedocument.drawing+xml"/>
  <Override PartName="/xl/tables/table16.xml" ContentType="application/vnd.openxmlformats-officedocument.spreadsheetml.table+xml"/>
  <Override PartName="/xl/drawings/drawing11.xml" ContentType="application/vnd.openxmlformats-officedocument.drawing+xml"/>
  <Override PartName="/xl/tables/table17.xml" ContentType="application/vnd.openxmlformats-officedocument.spreadsheetml.table+xml"/>
  <Override PartName="/xl/drawings/drawing12.xml" ContentType="application/vnd.openxmlformats-officedocument.drawing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drawings/drawing13.xml" ContentType="application/vnd.openxmlformats-officedocument.drawing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ESTmep_import.png" ContentType="image/.png"/>
</Types>
</file>

<file path=_rels/.rels><?xml version="1.0" encoding="UTF-8" standalone="yes"?>
<Relationships xmlns="http://schemas.openxmlformats.org/package/2006/relationships"><Relationship Id="R56200ffb268c4bc6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Dropbox (Personal)\ASTI\Projects\EST Summary Sheet\"/>
    </mc:Choice>
  </mc:AlternateContent>
  <bookViews>
    <workbookView xWindow="0" yWindow="43920" windowWidth="28800" windowHeight="12348" tabRatio="753"/>
  </bookViews>
  <sheets>
    <sheet name="Summary" sheetId="1" r:id="rId1"/>
    <sheet name="Ductwork" sheetId="2" r:id="rId2"/>
    <sheet name="Accessories" sheetId="25" r:id="rId3"/>
    <sheet name="Dampers" sheetId="26" r:id="rId4"/>
    <sheet name="Air Distribution" sheetId="27" r:id="rId5"/>
    <sheet name="Equipment" sheetId="4" r:id="rId6"/>
    <sheet name="Ancillaries" sheetId="3" r:id="rId7"/>
    <sheet name="Hangers" sheetId="28" r:id="rId8"/>
    <sheet name="Flex Duct" sheetId="29" r:id="rId9"/>
    <sheet name="Lists" sheetId="11" state="hidden" r:id="rId10"/>
    <sheet name="Sleeves" sheetId="30" r:id="rId11"/>
    <sheet name="Insulation" sheetId="32" r:id="rId12"/>
    <sheet name="Other Cost" sheetId="23" r:id="rId13"/>
    <sheet name="Settings" sheetId="7" r:id="rId14"/>
    <sheet name="SM-EST-Duct" sheetId="21" state="hidden" r:id="rId15"/>
    <sheet name="SM-EST-Accessories" sheetId="14" state="hidden" r:id="rId16"/>
    <sheet name="SM-EST-Dampers" sheetId="17" state="hidden" r:id="rId17"/>
    <sheet name="SM-EST-Ancillaries" sheetId="6" state="hidden" r:id="rId18"/>
    <sheet name="SM-EST-Hangers" sheetId="13" state="hidden" r:id="rId19"/>
    <sheet name="SM-EST-Equipment" sheetId="12" state="hidden" r:id="rId20"/>
    <sheet name="SM-EST-Flex Duct" sheetId="15" state="hidden" r:id="rId21"/>
    <sheet name="SM-EST-GRDs" sheetId="16" state="hidden" r:id="rId22"/>
    <sheet name="SM-EST-Sleeves" sheetId="22" state="hidden" r:id="rId23"/>
    <sheet name="SM-EST-Insulation" sheetId="31" state="hidden" r:id="rId24"/>
    <sheet name="SM-EST-Job Info" sheetId="18" state="hidden" r:id="rId25"/>
  </sheets>
  <definedNames>
    <definedName name="_xlnm._FilterDatabase" localSheetId="15" hidden="1">'SM-EST-Accessories'!$F:$F</definedName>
    <definedName name="_xlnm._FilterDatabase" localSheetId="17" hidden="1">'SM-EST-Ancillaries'!$F:$F</definedName>
    <definedName name="_xlnm._FilterDatabase" localSheetId="16" hidden="1">'SM-EST-Dampers'!$F:$F</definedName>
    <definedName name="_xlnm._FilterDatabase" localSheetId="14" hidden="1">'SM-EST-Duct'!$F:$F</definedName>
    <definedName name="_xlnm._FilterDatabase" localSheetId="19" hidden="1">'SM-EST-Equipment'!$F:$F</definedName>
    <definedName name="_xlnm._FilterDatabase" localSheetId="20" hidden="1">'SM-EST-Flex Duct'!$F:$F</definedName>
    <definedName name="_xlnm._FilterDatabase" localSheetId="21" hidden="1">'SM-EST-GRDs'!$G:$G</definedName>
    <definedName name="_xlnm._FilterDatabase" localSheetId="18" hidden="1">'SM-EST-Hangers'!$G:$G</definedName>
    <definedName name="_xlnm._FilterDatabase" localSheetId="23" hidden="1">'SM-EST-Insulation'!$F:$F</definedName>
    <definedName name="_xlnm._FilterDatabase" localSheetId="22" hidden="1">'SM-EST-Sleeves'!$F:$F</definedName>
    <definedName name="EstimateNo">'SM-EST-Job Info'!$C$2</definedName>
    <definedName name="EstimatorName">'SM-EST-Job Info'!$D$2</definedName>
    <definedName name="_xlnm.Extract" localSheetId="9">Lists!$K$1</definedName>
    <definedName name="JobAddress">'SM-EST-Job Info'!$B$2</definedName>
    <definedName name="JobName">'SM-EST-Job Info'!$A$2</definedName>
    <definedName name="Labor_TotalField">Summary!$E$19</definedName>
    <definedName name="Labor_TotalShop">Summary!$C$19</definedName>
    <definedName name="ProfitMargin">Settings!$C$22</definedName>
    <definedName name="ProjectAddress">'SM-EST-Job Info'!$B$2</definedName>
    <definedName name="ProjectName">'SM-EST-Job Info'!$A$2</definedName>
    <definedName name="Rentals" localSheetId="11">Table6[Rentals]</definedName>
    <definedName name="Rentals">Table6[Rentals]</definedName>
    <definedName name="SalesTaxRate">Settings!$C$20</definedName>
    <definedName name="SM_AccessoriesName">'SM-EST-Accessories'!$F:$F</definedName>
    <definedName name="SM_AncillaryName">'SM-EST-Ancillaries'!$F:$F</definedName>
    <definedName name="SM_Area">'SM-EST-Duct'!$T:$T</definedName>
    <definedName name="SM_BoughtOut">'SM-EST-Duct'!$H:$H</definedName>
    <definedName name="SM_CutType">'SM-EST-Duct'!$I:$I</definedName>
    <definedName name="SM_DamperName">'SM-EST-Dampers'!$F:$F</definedName>
    <definedName name="SM_DrawingNumber">'SM-EST-Duct'!$W:$W</definedName>
    <definedName name="SM_EquipmentName">'SM-EST-Equipment'!$F:$F</definedName>
    <definedName name="SM_EST_Accessories" localSheetId="15">'SM-EST-Accessories'!$A$1:$J$12</definedName>
    <definedName name="SM_EST_Ancillaries" localSheetId="17">'SM-EST-Ancillaries'!$A$1:$J$119</definedName>
    <definedName name="SM_EST_Dampers" localSheetId="16">'SM-EST-Dampers'!$A$1:$K$26</definedName>
    <definedName name="SM_EST_Duct" localSheetId="14">'SM-EST-Duct'!$A$1:$W$5480</definedName>
    <definedName name="SM_EST_Equipment" localSheetId="19">'SM-EST-Equipment'!$A$1:$K$14</definedName>
    <definedName name="SM_EST_Flex_Duct" localSheetId="20">'SM-EST-Flex Duct'!$A$1:$J$2</definedName>
    <definedName name="SM_EST_GRDs" localSheetId="21">'SM-EST-GRDs'!$A$1:$M$9</definedName>
    <definedName name="SM_EST_Hangers" localSheetId="18">'SM-EST-Hangers'!$A$1:$K$11</definedName>
    <definedName name="SM_EST_Insulation" localSheetId="23">'SM-EST-Insulation'!$A$1:$K$3</definedName>
    <definedName name="SM_EST_Job_Info" localSheetId="24">'SM-EST-Job Info'!$A$1:$D$2</definedName>
    <definedName name="SM_EST_Sleeves" localSheetId="22">'SM-EST-Sleeves'!$A$1:$K$5</definedName>
    <definedName name="SM_Etime">'SM-EST-Duct'!$Q:$Q</definedName>
    <definedName name="SM_FieldLaborRate">Settings!$C$9</definedName>
    <definedName name="SM_FittingType">'SM-EST-Duct'!$G:$G</definedName>
    <definedName name="SM_FlexDuctName">'SM-EST-Flex Duct'!$F:$F</definedName>
    <definedName name="SM_Ftime">'SM-EST-Duct'!$P:$P</definedName>
    <definedName name="SM_Gauge">'SM-EST-Duct'!$N:$N</definedName>
    <definedName name="SM_GRDName">'SM-EST-GRDs'!$G:$G</definedName>
    <definedName name="SM_HangerName">'SM-EST-Hangers'!$G:$G</definedName>
    <definedName name="SM_InsulationMaterial">'SM-EST-Insulation'!$F:$F</definedName>
    <definedName name="SM_Length">'SM-EST-Duct'!$S:$S</definedName>
    <definedName name="SM_Material">'SM-EST-Duct'!$M:$M</definedName>
    <definedName name="SM_MaterialCost">'SM-EST-Duct'!$V:$V</definedName>
    <definedName name="SM_PriceListCost">'SM-EST-Duct'!$U:$U</definedName>
    <definedName name="SM_Qty">'SM-EST-Duct'!$J:$J</definedName>
    <definedName name="SM_ServiceType">'SM-EST-Duct'!$F:$F</definedName>
    <definedName name="SM_ShopLaborRate">Settings!$C$8</definedName>
    <definedName name="SM_SleeveName">'SM-EST-Sleeves'!$F:$F</definedName>
    <definedName name="SM_Weight">'SM-EST-Duct'!$R:$R</definedName>
    <definedName name="SubcontractMarkup">Settings!$C$21</definedName>
    <definedName name="Subcontracts" localSheetId="11">Table6[Subcontracts]</definedName>
    <definedName name="Subcontracts">Table6[Subcontracts]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7" l="1"/>
  <c r="B5" i="7"/>
  <c r="I4" i="7"/>
  <c r="C27" i="23"/>
  <c r="H26" i="23"/>
  <c r="H25" i="23"/>
  <c r="H24" i="23"/>
  <c r="H23" i="23"/>
  <c r="C16" i="23"/>
  <c r="H15" i="23"/>
  <c r="H14" i="23"/>
  <c r="H13" i="23"/>
  <c r="H12" i="23"/>
  <c r="I5" i="23"/>
  <c r="B5" i="23"/>
  <c r="I4" i="23"/>
  <c r="B4" i="23"/>
  <c r="B33" i="32"/>
  <c r="B32" i="32"/>
  <c r="B31" i="32"/>
  <c r="B30" i="32"/>
  <c r="B29" i="32"/>
  <c r="B28" i="32"/>
  <c r="B27" i="32"/>
  <c r="B26" i="32"/>
  <c r="B25" i="32"/>
  <c r="B24" i="32"/>
  <c r="B23" i="32"/>
  <c r="B22" i="32"/>
  <c r="B21" i="32"/>
  <c r="B20" i="32"/>
  <c r="B19" i="32"/>
  <c r="B18" i="32"/>
  <c r="B17" i="32"/>
  <c r="B16" i="32"/>
  <c r="B15" i="32"/>
  <c r="B14" i="32"/>
  <c r="B13" i="32"/>
  <c r="B12" i="32"/>
  <c r="B11" i="32"/>
  <c r="B10" i="32"/>
  <c r="B9" i="32"/>
  <c r="K5" i="32"/>
  <c r="B5" i="32"/>
  <c r="K4" i="32"/>
  <c r="B4" i="32"/>
  <c r="B33" i="30"/>
  <c r="B32" i="30"/>
  <c r="F32" i="30" s="1"/>
  <c r="G32" i="30" s="1"/>
  <c r="B31" i="30"/>
  <c r="D31" i="30" s="1"/>
  <c r="E31" i="30" s="1"/>
  <c r="B30" i="30"/>
  <c r="H30" i="30" s="1"/>
  <c r="B29" i="30"/>
  <c r="D29" i="30" s="1"/>
  <c r="E29" i="30" s="1"/>
  <c r="B28" i="30"/>
  <c r="H28" i="30" s="1"/>
  <c r="B27" i="30"/>
  <c r="D27" i="30" s="1"/>
  <c r="E27" i="30" s="1"/>
  <c r="B26" i="30"/>
  <c r="H26" i="30" s="1"/>
  <c r="B25" i="30"/>
  <c r="D25" i="30" s="1"/>
  <c r="E25" i="30" s="1"/>
  <c r="B24" i="30"/>
  <c r="H24" i="30" s="1"/>
  <c r="B23" i="30"/>
  <c r="D23" i="30" s="1"/>
  <c r="E23" i="30" s="1"/>
  <c r="B22" i="30"/>
  <c r="H22" i="30" s="1"/>
  <c r="B21" i="30"/>
  <c r="H21" i="30" s="1"/>
  <c r="B20" i="30"/>
  <c r="H20" i="30" s="1"/>
  <c r="B19" i="30"/>
  <c r="H19" i="30" s="1"/>
  <c r="B18" i="30"/>
  <c r="F18" i="30" s="1"/>
  <c r="G18" i="30" s="1"/>
  <c r="B17" i="30"/>
  <c r="H17" i="30" s="1"/>
  <c r="B16" i="30"/>
  <c r="F16" i="30" s="1"/>
  <c r="G16" i="30" s="1"/>
  <c r="B15" i="30"/>
  <c r="H15" i="30" s="1"/>
  <c r="B14" i="30"/>
  <c r="H14" i="30" s="1"/>
  <c r="B13" i="30"/>
  <c r="H13" i="30" s="1"/>
  <c r="B12" i="30"/>
  <c r="F12" i="30" s="1"/>
  <c r="G12" i="30" s="1"/>
  <c r="B11" i="30"/>
  <c r="H11" i="30" s="1"/>
  <c r="B10" i="30"/>
  <c r="C10" i="30" s="1"/>
  <c r="B9" i="30"/>
  <c r="H9" i="30" s="1"/>
  <c r="K5" i="30"/>
  <c r="B5" i="30"/>
  <c r="K4" i="30"/>
  <c r="B4" i="30"/>
  <c r="B33" i="29"/>
  <c r="B32" i="29"/>
  <c r="F32" i="29" s="1"/>
  <c r="B31" i="29"/>
  <c r="D31" i="29" s="1"/>
  <c r="E31" i="29" s="1"/>
  <c r="B30" i="29"/>
  <c r="F30" i="29" s="1"/>
  <c r="B29" i="29"/>
  <c r="F29" i="29" s="1"/>
  <c r="B28" i="29"/>
  <c r="D28" i="29" s="1"/>
  <c r="E28" i="29" s="1"/>
  <c r="B27" i="29"/>
  <c r="D27" i="29" s="1"/>
  <c r="E27" i="29" s="1"/>
  <c r="B26" i="29"/>
  <c r="F26" i="29" s="1"/>
  <c r="B25" i="29"/>
  <c r="D25" i="29" s="1"/>
  <c r="E25" i="29" s="1"/>
  <c r="B24" i="29"/>
  <c r="F24" i="29" s="1"/>
  <c r="B23" i="29"/>
  <c r="F23" i="29" s="1"/>
  <c r="B22" i="29"/>
  <c r="D22" i="29" s="1"/>
  <c r="E22" i="29" s="1"/>
  <c r="B21" i="29"/>
  <c r="C21" i="29" s="1"/>
  <c r="B20" i="29"/>
  <c r="F20" i="29" s="1"/>
  <c r="B19" i="29"/>
  <c r="F19" i="29" s="1"/>
  <c r="B18" i="29"/>
  <c r="C18" i="29" s="1"/>
  <c r="B17" i="29"/>
  <c r="F17" i="29" s="1"/>
  <c r="B16" i="29"/>
  <c r="F16" i="29" s="1"/>
  <c r="B15" i="29"/>
  <c r="C15" i="29" s="1"/>
  <c r="B14" i="29"/>
  <c r="F14" i="29" s="1"/>
  <c r="B13" i="29"/>
  <c r="F13" i="29" s="1"/>
  <c r="B12" i="29"/>
  <c r="D12" i="29" s="1"/>
  <c r="E12" i="29" s="1"/>
  <c r="B11" i="29"/>
  <c r="F11" i="29" s="1"/>
  <c r="B10" i="29"/>
  <c r="F10" i="29" s="1"/>
  <c r="B9" i="29"/>
  <c r="F9" i="29" s="1"/>
  <c r="I5" i="29"/>
  <c r="B5" i="29"/>
  <c r="I4" i="29"/>
  <c r="B4" i="29"/>
  <c r="B33" i="28"/>
  <c r="B32" i="28"/>
  <c r="C32" i="28" s="1"/>
  <c r="B31" i="28"/>
  <c r="F31" i="28" s="1"/>
  <c r="G31" i="28" s="1"/>
  <c r="B30" i="28"/>
  <c r="C30" i="28" s="1"/>
  <c r="B29" i="28"/>
  <c r="F29" i="28" s="1"/>
  <c r="G29" i="28" s="1"/>
  <c r="B28" i="28"/>
  <c r="D28" i="28" s="1"/>
  <c r="E28" i="28" s="1"/>
  <c r="B27" i="28"/>
  <c r="H27" i="28" s="1"/>
  <c r="B26" i="28"/>
  <c r="C26" i="28" s="1"/>
  <c r="B25" i="28"/>
  <c r="F25" i="28" s="1"/>
  <c r="G25" i="28" s="1"/>
  <c r="B24" i="28"/>
  <c r="H24" i="28" s="1"/>
  <c r="B23" i="28"/>
  <c r="H23" i="28" s="1"/>
  <c r="B22" i="28"/>
  <c r="H22" i="28" s="1"/>
  <c r="B21" i="28"/>
  <c r="H21" i="28" s="1"/>
  <c r="B20" i="28"/>
  <c r="H20" i="28" s="1"/>
  <c r="B19" i="28"/>
  <c r="F19" i="28" s="1"/>
  <c r="G19" i="28" s="1"/>
  <c r="B18" i="28"/>
  <c r="H18" i="28" s="1"/>
  <c r="B17" i="28"/>
  <c r="H17" i="28" s="1"/>
  <c r="B16" i="28"/>
  <c r="D16" i="28" s="1"/>
  <c r="E16" i="28" s="1"/>
  <c r="B15" i="28"/>
  <c r="H15" i="28" s="1"/>
  <c r="B14" i="28"/>
  <c r="B13" i="28"/>
  <c r="H13" i="28" s="1"/>
  <c r="B12" i="28"/>
  <c r="H12" i="28" s="1"/>
  <c r="B11" i="28"/>
  <c r="F11" i="28" s="1"/>
  <c r="G11" i="28" s="1"/>
  <c r="B10" i="28"/>
  <c r="F10" i="28" s="1"/>
  <c r="G10" i="28" s="1"/>
  <c r="B9" i="28"/>
  <c r="D9" i="28" s="1"/>
  <c r="K5" i="28"/>
  <c r="B5" i="28"/>
  <c r="K4" i="28"/>
  <c r="B4" i="28"/>
  <c r="B46" i="3"/>
  <c r="B45" i="3"/>
  <c r="E45" i="3" s="1"/>
  <c r="B44" i="3"/>
  <c r="E44" i="3" s="1"/>
  <c r="B43" i="3"/>
  <c r="E43" i="3" s="1"/>
  <c r="B42" i="3"/>
  <c r="B41" i="3"/>
  <c r="E41" i="3" s="1"/>
  <c r="B40" i="3"/>
  <c r="E40" i="3" s="1"/>
  <c r="B39" i="3"/>
  <c r="E39" i="3" s="1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H5" i="3"/>
  <c r="B5" i="3"/>
  <c r="H4" i="3"/>
  <c r="B4" i="3"/>
  <c r="B33" i="4"/>
  <c r="J32" i="4"/>
  <c r="H32" i="4"/>
  <c r="G32" i="4"/>
  <c r="F32" i="4"/>
  <c r="E32" i="4"/>
  <c r="D32" i="4"/>
  <c r="C32" i="4"/>
  <c r="B32" i="4"/>
  <c r="J31" i="4"/>
  <c r="H31" i="4"/>
  <c r="G31" i="4"/>
  <c r="F31" i="4"/>
  <c r="E31" i="4"/>
  <c r="D31" i="4"/>
  <c r="C31" i="4"/>
  <c r="B31" i="4"/>
  <c r="J30" i="4"/>
  <c r="H30" i="4"/>
  <c r="G30" i="4"/>
  <c r="F30" i="4"/>
  <c r="E30" i="4"/>
  <c r="D30" i="4"/>
  <c r="C30" i="4"/>
  <c r="B30" i="4"/>
  <c r="J29" i="4"/>
  <c r="H29" i="4"/>
  <c r="G29" i="4"/>
  <c r="F29" i="4"/>
  <c r="E29" i="4"/>
  <c r="D29" i="4"/>
  <c r="C29" i="4"/>
  <c r="B29" i="4"/>
  <c r="J28" i="4"/>
  <c r="H28" i="4"/>
  <c r="G28" i="4"/>
  <c r="F28" i="4"/>
  <c r="E28" i="4"/>
  <c r="D28" i="4"/>
  <c r="C28" i="4"/>
  <c r="B28" i="4"/>
  <c r="J27" i="4"/>
  <c r="H27" i="4"/>
  <c r="G27" i="4"/>
  <c r="F27" i="4"/>
  <c r="E27" i="4"/>
  <c r="D27" i="4"/>
  <c r="C27" i="4"/>
  <c r="B27" i="4"/>
  <c r="J26" i="4"/>
  <c r="H26" i="4"/>
  <c r="G26" i="4"/>
  <c r="F26" i="4"/>
  <c r="E26" i="4"/>
  <c r="D26" i="4"/>
  <c r="C26" i="4"/>
  <c r="B26" i="4"/>
  <c r="J25" i="4"/>
  <c r="H25" i="4"/>
  <c r="G25" i="4"/>
  <c r="F25" i="4"/>
  <c r="E25" i="4"/>
  <c r="D25" i="4"/>
  <c r="C25" i="4"/>
  <c r="B25" i="4"/>
  <c r="J24" i="4"/>
  <c r="H24" i="4"/>
  <c r="G24" i="4"/>
  <c r="F24" i="4"/>
  <c r="E24" i="4"/>
  <c r="D24" i="4"/>
  <c r="C24" i="4"/>
  <c r="B24" i="4"/>
  <c r="J23" i="4"/>
  <c r="H23" i="4"/>
  <c r="G23" i="4"/>
  <c r="F23" i="4"/>
  <c r="E23" i="4"/>
  <c r="D23" i="4"/>
  <c r="C23" i="4"/>
  <c r="B23" i="4"/>
  <c r="J22" i="4"/>
  <c r="H22" i="4"/>
  <c r="G22" i="4"/>
  <c r="F22" i="4"/>
  <c r="E22" i="4"/>
  <c r="D22" i="4"/>
  <c r="C22" i="4"/>
  <c r="B22" i="4"/>
  <c r="G21" i="4"/>
  <c r="H21" i="4" s="1"/>
  <c r="E21" i="4"/>
  <c r="F21" i="4" s="1"/>
  <c r="D21" i="4"/>
  <c r="J21" i="4" s="1"/>
  <c r="C21" i="4"/>
  <c r="B21" i="4"/>
  <c r="G20" i="4"/>
  <c r="H20" i="4" s="1"/>
  <c r="E20" i="4"/>
  <c r="F20" i="4" s="1"/>
  <c r="D20" i="4"/>
  <c r="J20" i="4" s="1"/>
  <c r="C20" i="4"/>
  <c r="B20" i="4"/>
  <c r="G19" i="4"/>
  <c r="H19" i="4" s="1"/>
  <c r="E19" i="4"/>
  <c r="F19" i="4" s="1"/>
  <c r="D19" i="4"/>
  <c r="J19" i="4" s="1"/>
  <c r="C19" i="4"/>
  <c r="B19" i="4"/>
  <c r="G18" i="4"/>
  <c r="H18" i="4" s="1"/>
  <c r="E18" i="4"/>
  <c r="F18" i="4" s="1"/>
  <c r="D18" i="4"/>
  <c r="J18" i="4" s="1"/>
  <c r="C18" i="4"/>
  <c r="B18" i="4"/>
  <c r="G17" i="4"/>
  <c r="H17" i="4" s="1"/>
  <c r="E17" i="4"/>
  <c r="F17" i="4" s="1"/>
  <c r="D17" i="4"/>
  <c r="J17" i="4" s="1"/>
  <c r="C17" i="4"/>
  <c r="B17" i="4"/>
  <c r="G16" i="4"/>
  <c r="H16" i="4" s="1"/>
  <c r="E16" i="4"/>
  <c r="F16" i="4" s="1"/>
  <c r="D16" i="4"/>
  <c r="J16" i="4" s="1"/>
  <c r="C16" i="4"/>
  <c r="B16" i="4"/>
  <c r="G15" i="4"/>
  <c r="H15" i="4" s="1"/>
  <c r="E15" i="4"/>
  <c r="F15" i="4" s="1"/>
  <c r="D15" i="4"/>
  <c r="J15" i="4" s="1"/>
  <c r="C15" i="4"/>
  <c r="B15" i="4"/>
  <c r="G14" i="4"/>
  <c r="H14" i="4" s="1"/>
  <c r="E14" i="4"/>
  <c r="F14" i="4" s="1"/>
  <c r="D14" i="4"/>
  <c r="J14" i="4" s="1"/>
  <c r="C14" i="4"/>
  <c r="B14" i="4"/>
  <c r="G13" i="4"/>
  <c r="H13" i="4" s="1"/>
  <c r="E13" i="4"/>
  <c r="F13" i="4" s="1"/>
  <c r="D13" i="4"/>
  <c r="J13" i="4" s="1"/>
  <c r="C13" i="4"/>
  <c r="B13" i="4"/>
  <c r="G12" i="4"/>
  <c r="H12" i="4" s="1"/>
  <c r="E12" i="4"/>
  <c r="F12" i="4" s="1"/>
  <c r="D12" i="4"/>
  <c r="J12" i="4" s="1"/>
  <c r="C12" i="4"/>
  <c r="B12" i="4"/>
  <c r="G11" i="4"/>
  <c r="H11" i="4" s="1"/>
  <c r="E11" i="4"/>
  <c r="F11" i="4" s="1"/>
  <c r="D11" i="4"/>
  <c r="J11" i="4" s="1"/>
  <c r="C11" i="4"/>
  <c r="B11" i="4"/>
  <c r="G10" i="4"/>
  <c r="H10" i="4" s="1"/>
  <c r="E10" i="4"/>
  <c r="F10" i="4" s="1"/>
  <c r="D10" i="4"/>
  <c r="J10" i="4" s="1"/>
  <c r="C10" i="4"/>
  <c r="B10" i="4"/>
  <c r="G9" i="4"/>
  <c r="E9" i="4"/>
  <c r="F9" i="4" s="1"/>
  <c r="D9" i="4"/>
  <c r="J9" i="4" s="1"/>
  <c r="C9" i="4"/>
  <c r="B9" i="4"/>
  <c r="M5" i="4"/>
  <c r="B5" i="4"/>
  <c r="M4" i="4"/>
  <c r="B4" i="4"/>
  <c r="B33" i="27"/>
  <c r="B32" i="27"/>
  <c r="I32" i="27" s="1"/>
  <c r="B31" i="27"/>
  <c r="D31" i="27" s="1"/>
  <c r="B30" i="27"/>
  <c r="I30" i="27" s="1"/>
  <c r="B29" i="27"/>
  <c r="G29" i="27" s="1"/>
  <c r="H29" i="27" s="1"/>
  <c r="B28" i="27"/>
  <c r="E28" i="27" s="1"/>
  <c r="F28" i="27" s="1"/>
  <c r="B27" i="27"/>
  <c r="I27" i="27" s="1"/>
  <c r="B26" i="27"/>
  <c r="G26" i="27" s="1"/>
  <c r="H26" i="27" s="1"/>
  <c r="B25" i="27"/>
  <c r="I25" i="27" s="1"/>
  <c r="B24" i="27"/>
  <c r="B23" i="27"/>
  <c r="I23" i="27" s="1"/>
  <c r="B22" i="27"/>
  <c r="I22" i="27" s="1"/>
  <c r="B21" i="27"/>
  <c r="I21" i="27" s="1"/>
  <c r="B20" i="27"/>
  <c r="I20" i="27" s="1"/>
  <c r="B19" i="27"/>
  <c r="D19" i="27" s="1"/>
  <c r="B18" i="27"/>
  <c r="I18" i="27" s="1"/>
  <c r="B17" i="27"/>
  <c r="G17" i="27" s="1"/>
  <c r="H17" i="27" s="1"/>
  <c r="B16" i="27"/>
  <c r="E16" i="27" s="1"/>
  <c r="F16" i="27" s="1"/>
  <c r="B15" i="27"/>
  <c r="I15" i="27" s="1"/>
  <c r="B14" i="27"/>
  <c r="G14" i="27" s="1"/>
  <c r="H14" i="27" s="1"/>
  <c r="B13" i="27"/>
  <c r="G13" i="27" s="1"/>
  <c r="H13" i="27" s="1"/>
  <c r="B12" i="27"/>
  <c r="I12" i="27" s="1"/>
  <c r="B11" i="27"/>
  <c r="I11" i="27" s="1"/>
  <c r="B10" i="27"/>
  <c r="G10" i="27" s="1"/>
  <c r="H10" i="27" s="1"/>
  <c r="B9" i="27"/>
  <c r="I9" i="27" s="1"/>
  <c r="L5" i="27"/>
  <c r="B5" i="27"/>
  <c r="L4" i="27"/>
  <c r="B4" i="27"/>
  <c r="B33" i="26"/>
  <c r="B32" i="26"/>
  <c r="H32" i="26" s="1"/>
  <c r="B31" i="26"/>
  <c r="F31" i="26" s="1"/>
  <c r="G31" i="26" s="1"/>
  <c r="B30" i="26"/>
  <c r="C30" i="26" s="1"/>
  <c r="B29" i="26"/>
  <c r="D29" i="26" s="1"/>
  <c r="E29" i="26" s="1"/>
  <c r="B28" i="26"/>
  <c r="F28" i="26" s="1"/>
  <c r="G28" i="26" s="1"/>
  <c r="B27" i="26"/>
  <c r="D27" i="26" s="1"/>
  <c r="E27" i="26" s="1"/>
  <c r="B26" i="26"/>
  <c r="B25" i="26"/>
  <c r="H25" i="26" s="1"/>
  <c r="B24" i="26"/>
  <c r="H24" i="26" s="1"/>
  <c r="B23" i="26"/>
  <c r="H23" i="26" s="1"/>
  <c r="B22" i="26"/>
  <c r="H22" i="26" s="1"/>
  <c r="B21" i="26"/>
  <c r="F21" i="26" s="1"/>
  <c r="G21" i="26" s="1"/>
  <c r="B20" i="26"/>
  <c r="H20" i="26" s="1"/>
  <c r="B19" i="26"/>
  <c r="B18" i="26"/>
  <c r="D18" i="26" s="1"/>
  <c r="E18" i="26" s="1"/>
  <c r="B17" i="26"/>
  <c r="F17" i="26" s="1"/>
  <c r="G17" i="26" s="1"/>
  <c r="B16" i="26"/>
  <c r="F16" i="26" s="1"/>
  <c r="G16" i="26" s="1"/>
  <c r="B15" i="26"/>
  <c r="H15" i="26" s="1"/>
  <c r="B14" i="26"/>
  <c r="H14" i="26" s="1"/>
  <c r="B13" i="26"/>
  <c r="H13" i="26" s="1"/>
  <c r="B12" i="26"/>
  <c r="H12" i="26" s="1"/>
  <c r="B11" i="26"/>
  <c r="B10" i="26"/>
  <c r="D10" i="26" s="1"/>
  <c r="E10" i="26" s="1"/>
  <c r="B9" i="26"/>
  <c r="K5" i="26"/>
  <c r="B5" i="26"/>
  <c r="K4" i="26"/>
  <c r="B4" i="26"/>
  <c r="B36" i="25"/>
  <c r="B35" i="25"/>
  <c r="H35" i="25" s="1"/>
  <c r="B34" i="25"/>
  <c r="H34" i="25" s="1"/>
  <c r="B33" i="25"/>
  <c r="D33" i="25" s="1"/>
  <c r="E33" i="25" s="1"/>
  <c r="B32" i="25"/>
  <c r="C32" i="25" s="1"/>
  <c r="B31" i="25"/>
  <c r="H31" i="25" s="1"/>
  <c r="B30" i="25"/>
  <c r="D30" i="25" s="1"/>
  <c r="E30" i="25" s="1"/>
  <c r="B29" i="25"/>
  <c r="H29" i="25" s="1"/>
  <c r="B28" i="25"/>
  <c r="B27" i="25"/>
  <c r="F27" i="25" s="1"/>
  <c r="G27" i="25" s="1"/>
  <c r="B26" i="25"/>
  <c r="H26" i="25" s="1"/>
  <c r="B25" i="25"/>
  <c r="B24" i="25"/>
  <c r="H24" i="25" s="1"/>
  <c r="B23" i="25"/>
  <c r="D23" i="25" s="1"/>
  <c r="E23" i="25" s="1"/>
  <c r="B22" i="25"/>
  <c r="F22" i="25" s="1"/>
  <c r="G22" i="25" s="1"/>
  <c r="B21" i="25"/>
  <c r="F21" i="25" s="1"/>
  <c r="G21" i="25" s="1"/>
  <c r="B20" i="25"/>
  <c r="H20" i="25" s="1"/>
  <c r="B19" i="25"/>
  <c r="F19" i="25" s="1"/>
  <c r="G19" i="25" s="1"/>
  <c r="B18" i="25"/>
  <c r="F18" i="25" s="1"/>
  <c r="G18" i="25" s="1"/>
  <c r="B17" i="25"/>
  <c r="B16" i="25"/>
  <c r="H16" i="25" s="1"/>
  <c r="B15" i="25"/>
  <c r="H15" i="25" s="1"/>
  <c r="B14" i="25"/>
  <c r="H14" i="25" s="1"/>
  <c r="B13" i="25"/>
  <c r="F13" i="25" s="1"/>
  <c r="G13" i="25" s="1"/>
  <c r="B12" i="25"/>
  <c r="H12" i="25" s="1"/>
  <c r="B11" i="25"/>
  <c r="F11" i="25" s="1"/>
  <c r="G11" i="25" s="1"/>
  <c r="B10" i="25"/>
  <c r="C10" i="25" s="1"/>
  <c r="B9" i="25"/>
  <c r="D9" i="25" s="1"/>
  <c r="K5" i="25"/>
  <c r="B5" i="25"/>
  <c r="K4" i="25"/>
  <c r="B4" i="25"/>
  <c r="U77" i="2"/>
  <c r="T77" i="2"/>
  <c r="S77" i="2" s="1"/>
  <c r="R77" i="2"/>
  <c r="Q77" i="2" s="1"/>
  <c r="O77" i="2"/>
  <c r="P77" i="2" s="1"/>
  <c r="M77" i="2"/>
  <c r="N77" i="2" s="1"/>
  <c r="L77" i="2"/>
  <c r="J77" i="2"/>
  <c r="K77" i="2" s="1"/>
  <c r="I77" i="2"/>
  <c r="G77" i="2"/>
  <c r="H77" i="2" s="1"/>
  <c r="B77" i="2"/>
  <c r="B71" i="2"/>
  <c r="M75" i="2" s="1"/>
  <c r="U68" i="2"/>
  <c r="T68" i="2"/>
  <c r="S68" i="2" s="1"/>
  <c r="R68" i="2"/>
  <c r="Q68" i="2" s="1"/>
  <c r="O68" i="2"/>
  <c r="P68" i="2" s="1"/>
  <c r="M68" i="2"/>
  <c r="N68" i="2" s="1"/>
  <c r="L68" i="2"/>
  <c r="J68" i="2"/>
  <c r="K68" i="2" s="1"/>
  <c r="I68" i="2"/>
  <c r="G68" i="2"/>
  <c r="H68" i="2" s="1"/>
  <c r="B68" i="2"/>
  <c r="B62" i="2"/>
  <c r="I67" i="2" s="1"/>
  <c r="U59" i="2"/>
  <c r="T59" i="2"/>
  <c r="S59" i="2" s="1"/>
  <c r="R59" i="2"/>
  <c r="Q59" i="2" s="1"/>
  <c r="O59" i="2"/>
  <c r="P59" i="2" s="1"/>
  <c r="M59" i="2"/>
  <c r="N59" i="2" s="1"/>
  <c r="L59" i="2"/>
  <c r="J59" i="2"/>
  <c r="K59" i="2" s="1"/>
  <c r="I59" i="2"/>
  <c r="G59" i="2"/>
  <c r="H59" i="2" s="1"/>
  <c r="B59" i="2"/>
  <c r="B53" i="2"/>
  <c r="I58" i="2" s="1"/>
  <c r="U50" i="2"/>
  <c r="T50" i="2"/>
  <c r="S50" i="2" s="1"/>
  <c r="R50" i="2"/>
  <c r="Q50" i="2" s="1"/>
  <c r="O50" i="2"/>
  <c r="P50" i="2" s="1"/>
  <c r="M50" i="2"/>
  <c r="N50" i="2" s="1"/>
  <c r="L50" i="2"/>
  <c r="J50" i="2"/>
  <c r="K50" i="2" s="1"/>
  <c r="I50" i="2"/>
  <c r="G50" i="2"/>
  <c r="H50" i="2" s="1"/>
  <c r="B50" i="2"/>
  <c r="B44" i="2"/>
  <c r="L49" i="2" s="1"/>
  <c r="U49" i="2" s="1"/>
  <c r="B41" i="2"/>
  <c r="B35" i="2"/>
  <c r="T40" i="2" s="1"/>
  <c r="S40" i="2" s="1"/>
  <c r="B32" i="2"/>
  <c r="B26" i="2"/>
  <c r="T30" i="2" s="1"/>
  <c r="S30" i="2" s="1"/>
  <c r="B23" i="2"/>
  <c r="B17" i="2"/>
  <c r="B14" i="2"/>
  <c r="B8" i="2"/>
  <c r="G22" i="2" s="1"/>
  <c r="H22" i="2" s="1"/>
  <c r="X5" i="2"/>
  <c r="B5" i="2"/>
  <c r="X4" i="2"/>
  <c r="B4" i="2"/>
  <c r="K44" i="1"/>
  <c r="L41" i="1"/>
  <c r="K41" i="1"/>
  <c r="L40" i="1"/>
  <c r="K40" i="1"/>
  <c r="L39" i="1"/>
  <c r="K39" i="1"/>
  <c r="L36" i="1"/>
  <c r="K36" i="1"/>
  <c r="L33" i="1"/>
  <c r="K33" i="1"/>
  <c r="L32" i="1"/>
  <c r="K32" i="1"/>
  <c r="J32" i="1"/>
  <c r="L31" i="1"/>
  <c r="K31" i="1"/>
  <c r="J31" i="1"/>
  <c r="L30" i="1"/>
  <c r="K30" i="1"/>
  <c r="K29" i="1"/>
  <c r="K28" i="1"/>
  <c r="K27" i="1"/>
  <c r="K26" i="1"/>
  <c r="K25" i="1"/>
  <c r="K24" i="1"/>
  <c r="J20" i="1"/>
  <c r="I18" i="1"/>
  <c r="H18" i="1"/>
  <c r="L18" i="1" s="1"/>
  <c r="K18" i="1" s="1"/>
  <c r="F18" i="1"/>
  <c r="D18" i="1"/>
  <c r="R16" i="1"/>
  <c r="Q16" i="1"/>
  <c r="P16" i="1"/>
  <c r="O16" i="1"/>
  <c r="D13" i="1"/>
  <c r="E9" i="1"/>
  <c r="H9" i="1" s="1"/>
  <c r="G9" i="1" s="1"/>
  <c r="D9" i="1"/>
  <c r="E8" i="1"/>
  <c r="F8" i="1" s="1"/>
  <c r="C8" i="1"/>
  <c r="L5" i="1"/>
  <c r="B5" i="1"/>
  <c r="L4" i="1"/>
  <c r="B4" i="1"/>
  <c r="G18" i="1" l="1"/>
  <c r="H32" i="30"/>
  <c r="H16" i="28"/>
  <c r="C14" i="25"/>
  <c r="C18" i="25"/>
  <c r="C31" i="26"/>
  <c r="C9" i="25"/>
  <c r="F16" i="28"/>
  <c r="G16" i="28" s="1"/>
  <c r="H26" i="28"/>
  <c r="J39" i="2"/>
  <c r="K39" i="2" s="1"/>
  <c r="F15" i="25"/>
  <c r="G15" i="25" s="1"/>
  <c r="H17" i="26"/>
  <c r="T73" i="2"/>
  <c r="S73" i="2" s="1"/>
  <c r="T74" i="2"/>
  <c r="S74" i="2" s="1"/>
  <c r="H32" i="25"/>
  <c r="L22" i="2"/>
  <c r="T55" i="2"/>
  <c r="S55" i="2" s="1"/>
  <c r="J64" i="2"/>
  <c r="K64" i="2" s="1"/>
  <c r="O28" i="2"/>
  <c r="P28" i="2" s="1"/>
  <c r="O29" i="2"/>
  <c r="P29" i="2" s="1"/>
  <c r="C23" i="25"/>
  <c r="H11" i="25"/>
  <c r="G73" i="2"/>
  <c r="H73" i="2" s="1"/>
  <c r="J37" i="2"/>
  <c r="K37" i="2" s="1"/>
  <c r="F9" i="25"/>
  <c r="G9" i="25" s="1"/>
  <c r="T37" i="2"/>
  <c r="S37" i="2" s="1"/>
  <c r="C17" i="28"/>
  <c r="T39" i="2"/>
  <c r="S39" i="2" s="1"/>
  <c r="D11" i="25"/>
  <c r="E11" i="25" s="1"/>
  <c r="H18" i="25"/>
  <c r="H10" i="28"/>
  <c r="C12" i="30"/>
  <c r="D24" i="30"/>
  <c r="E24" i="30" s="1"/>
  <c r="F21" i="29"/>
  <c r="D32" i="29"/>
  <c r="E32" i="29" s="1"/>
  <c r="D15" i="29"/>
  <c r="E15" i="29" s="1"/>
  <c r="H19" i="28"/>
  <c r="D31" i="28"/>
  <c r="E31" i="28" s="1"/>
  <c r="C23" i="28"/>
  <c r="H31" i="28"/>
  <c r="D32" i="28"/>
  <c r="E32" i="28" s="1"/>
  <c r="D25" i="28"/>
  <c r="E25" i="28" s="1"/>
  <c r="G9" i="27"/>
  <c r="H9" i="27" s="1"/>
  <c r="D20" i="27"/>
  <c r="G21" i="27"/>
  <c r="H21" i="27" s="1"/>
  <c r="G12" i="27"/>
  <c r="H12" i="27" s="1"/>
  <c r="F20" i="26"/>
  <c r="G20" i="26" s="1"/>
  <c r="D21" i="26"/>
  <c r="E21" i="26" s="1"/>
  <c r="H21" i="26"/>
  <c r="C17" i="26"/>
  <c r="C22" i="26"/>
  <c r="D17" i="26"/>
  <c r="E17" i="26" s="1"/>
  <c r="D22" i="26"/>
  <c r="E22" i="26" s="1"/>
  <c r="C33" i="25"/>
  <c r="F33" i="25"/>
  <c r="G33" i="25" s="1"/>
  <c r="D14" i="25"/>
  <c r="E14" i="25" s="1"/>
  <c r="C27" i="25"/>
  <c r="D34" i="25"/>
  <c r="E34" i="25" s="1"/>
  <c r="C22" i="25"/>
  <c r="C16" i="25"/>
  <c r="D22" i="25"/>
  <c r="E22" i="25" s="1"/>
  <c r="C11" i="25"/>
  <c r="D16" i="25"/>
  <c r="E16" i="25" s="1"/>
  <c r="H22" i="25"/>
  <c r="C31" i="25"/>
  <c r="F31" i="25"/>
  <c r="G31" i="25" s="1"/>
  <c r="J13" i="2"/>
  <c r="K13" i="2" s="1"/>
  <c r="G56" i="2"/>
  <c r="H56" i="2" s="1"/>
  <c r="J76" i="2"/>
  <c r="K76" i="2" s="1"/>
  <c r="I13" i="2"/>
  <c r="T29" i="2"/>
  <c r="S29" i="2" s="1"/>
  <c r="T36" i="2"/>
  <c r="I56" i="2"/>
  <c r="G57" i="2"/>
  <c r="H57" i="2" s="1"/>
  <c r="M19" i="2"/>
  <c r="N19" i="2" s="1"/>
  <c r="O37" i="2"/>
  <c r="P37" i="2" s="1"/>
  <c r="O58" i="2"/>
  <c r="P58" i="2" s="1"/>
  <c r="G64" i="2"/>
  <c r="H64" i="2" s="1"/>
  <c r="T19" i="2"/>
  <c r="S19" i="2" s="1"/>
  <c r="M38" i="2"/>
  <c r="N38" i="2" s="1"/>
  <c r="J67" i="2"/>
  <c r="K67" i="2" s="1"/>
  <c r="I72" i="2"/>
  <c r="O19" i="2"/>
  <c r="P19" i="2" s="1"/>
  <c r="J22" i="2"/>
  <c r="K22" i="2" s="1"/>
  <c r="I39" i="2"/>
  <c r="J72" i="2"/>
  <c r="K72" i="2" s="1"/>
  <c r="M47" i="2"/>
  <c r="N47" i="2" s="1"/>
  <c r="T48" i="2"/>
  <c r="S48" i="2" s="1"/>
  <c r="I54" i="2"/>
  <c r="I74" i="2"/>
  <c r="G11" i="2"/>
  <c r="H11" i="2" s="1"/>
  <c r="J11" i="2"/>
  <c r="K11" i="2" s="1"/>
  <c r="L28" i="2"/>
  <c r="U28" i="2" s="1"/>
  <c r="J54" i="2"/>
  <c r="K54" i="2" s="1"/>
  <c r="M74" i="2"/>
  <c r="N74" i="2" s="1"/>
  <c r="T76" i="2"/>
  <c r="S76" i="2" s="1"/>
  <c r="H27" i="26"/>
  <c r="D16" i="27"/>
  <c r="C11" i="29"/>
  <c r="D21" i="29"/>
  <c r="E21" i="29" s="1"/>
  <c r="D29" i="29"/>
  <c r="E29" i="29" s="1"/>
  <c r="D9" i="30"/>
  <c r="L54" i="2"/>
  <c r="U54" i="2" s="1"/>
  <c r="L13" i="2"/>
  <c r="L27" i="2"/>
  <c r="G38" i="2"/>
  <c r="H38" i="2" s="1"/>
  <c r="O54" i="2"/>
  <c r="P54" i="2" s="1"/>
  <c r="M27" i="2"/>
  <c r="N27" i="2" s="1"/>
  <c r="I38" i="2"/>
  <c r="M55" i="2"/>
  <c r="N55" i="2" s="1"/>
  <c r="M72" i="2"/>
  <c r="N72" i="2" s="1"/>
  <c r="D12" i="25"/>
  <c r="E12" i="25" s="1"/>
  <c r="F30" i="25"/>
  <c r="G30" i="25" s="1"/>
  <c r="H33" i="25"/>
  <c r="C10" i="26"/>
  <c r="H29" i="26"/>
  <c r="E18" i="27"/>
  <c r="F18" i="27" s="1"/>
  <c r="D27" i="27"/>
  <c r="F17" i="28"/>
  <c r="G17" i="28" s="1"/>
  <c r="F32" i="28"/>
  <c r="G32" i="28" s="1"/>
  <c r="D30" i="29"/>
  <c r="E30" i="29" s="1"/>
  <c r="D10" i="30"/>
  <c r="E10" i="30" s="1"/>
  <c r="C27" i="30"/>
  <c r="H30" i="25"/>
  <c r="G27" i="27"/>
  <c r="H27" i="27" s="1"/>
  <c r="H27" i="30"/>
  <c r="C34" i="25"/>
  <c r="D23" i="29"/>
  <c r="E23" i="29" s="1"/>
  <c r="D10" i="25"/>
  <c r="E10" i="25" s="1"/>
  <c r="I29" i="27"/>
  <c r="F28" i="28"/>
  <c r="G28" i="28" s="1"/>
  <c r="H12" i="30"/>
  <c r="F29" i="30"/>
  <c r="G29" i="30" s="1"/>
  <c r="J21" i="2"/>
  <c r="K21" i="2" s="1"/>
  <c r="G30" i="2"/>
  <c r="H30" i="2" s="1"/>
  <c r="F10" i="25"/>
  <c r="G10" i="25" s="1"/>
  <c r="F14" i="25"/>
  <c r="G14" i="25" s="1"/>
  <c r="D13" i="26"/>
  <c r="E13" i="26" s="1"/>
  <c r="F24" i="26"/>
  <c r="G24" i="26" s="1"/>
  <c r="F23" i="30"/>
  <c r="G23" i="30" s="1"/>
  <c r="J40" i="2"/>
  <c r="K40" i="2" s="1"/>
  <c r="I57" i="2"/>
  <c r="G10" i="2"/>
  <c r="H10" i="2" s="1"/>
  <c r="I22" i="2"/>
  <c r="G31" i="2"/>
  <c r="H31" i="2" s="1"/>
  <c r="O36" i="2"/>
  <c r="O40" i="2"/>
  <c r="P40" i="2" s="1"/>
  <c r="G46" i="2"/>
  <c r="H46" i="2" s="1"/>
  <c r="M57" i="2"/>
  <c r="N57" i="2" s="1"/>
  <c r="G75" i="2"/>
  <c r="H75" i="2" s="1"/>
  <c r="H10" i="25"/>
  <c r="F20" i="25"/>
  <c r="G20" i="25" s="1"/>
  <c r="D32" i="25"/>
  <c r="E32" i="25" s="1"/>
  <c r="C20" i="26"/>
  <c r="I14" i="27"/>
  <c r="E30" i="27"/>
  <c r="F30" i="27" s="1"/>
  <c r="H23" i="30"/>
  <c r="M58" i="2"/>
  <c r="N58" i="2" s="1"/>
  <c r="T75" i="2"/>
  <c r="S75" i="2" s="1"/>
  <c r="C15" i="25"/>
  <c r="F32" i="25"/>
  <c r="G32" i="25" s="1"/>
  <c r="D20" i="26"/>
  <c r="E20" i="26" s="1"/>
  <c r="C9" i="29"/>
  <c r="F27" i="29"/>
  <c r="D14" i="30"/>
  <c r="E14" i="30" s="1"/>
  <c r="G33" i="4"/>
  <c r="H33" i="4" s="1"/>
  <c r="D15" i="32"/>
  <c r="E15" i="32" s="1"/>
  <c r="F15" i="32"/>
  <c r="G15" i="32" s="1"/>
  <c r="H15" i="32"/>
  <c r="C15" i="32"/>
  <c r="C27" i="32"/>
  <c r="D27" i="32"/>
  <c r="E27" i="32" s="1"/>
  <c r="F27" i="32"/>
  <c r="G27" i="32" s="1"/>
  <c r="H27" i="32"/>
  <c r="I12" i="2"/>
  <c r="G21" i="2"/>
  <c r="H21" i="2" s="1"/>
  <c r="M28" i="2"/>
  <c r="R28" i="2" s="1"/>
  <c r="Q28" i="2" s="1"/>
  <c r="M37" i="2"/>
  <c r="N37" i="2" s="1"/>
  <c r="I40" i="2"/>
  <c r="C14" i="26"/>
  <c r="D11" i="27"/>
  <c r="D23" i="27"/>
  <c r="D32" i="27"/>
  <c r="F11" i="30"/>
  <c r="G11" i="30" s="1"/>
  <c r="C16" i="32"/>
  <c r="D16" i="32"/>
  <c r="E16" i="32" s="1"/>
  <c r="F16" i="32"/>
  <c r="G16" i="32" s="1"/>
  <c r="H16" i="32"/>
  <c r="H28" i="32"/>
  <c r="D28" i="32"/>
  <c r="E28" i="32" s="1"/>
  <c r="F28" i="32"/>
  <c r="G28" i="32" s="1"/>
  <c r="C28" i="32"/>
  <c r="C19" i="25"/>
  <c r="D14" i="26"/>
  <c r="E14" i="26" s="1"/>
  <c r="E11" i="27"/>
  <c r="F11" i="27" s="1"/>
  <c r="G15" i="27"/>
  <c r="H15" i="27" s="1"/>
  <c r="E23" i="27"/>
  <c r="F23" i="27" s="1"/>
  <c r="D28" i="27"/>
  <c r="D11" i="28"/>
  <c r="E11" i="28" s="1"/>
  <c r="C24" i="28"/>
  <c r="F27" i="28"/>
  <c r="G27" i="28" s="1"/>
  <c r="D18" i="29"/>
  <c r="E18" i="29" s="1"/>
  <c r="C24" i="29"/>
  <c r="F28" i="29"/>
  <c r="D18" i="30"/>
  <c r="E18" i="30" s="1"/>
  <c r="F28" i="30"/>
  <c r="G28" i="30" s="1"/>
  <c r="C17" i="32"/>
  <c r="H17" i="32"/>
  <c r="D17" i="32"/>
  <c r="E17" i="32" s="1"/>
  <c r="F17" i="32"/>
  <c r="G17" i="32" s="1"/>
  <c r="C29" i="32"/>
  <c r="D29" i="32"/>
  <c r="E29" i="32" s="1"/>
  <c r="F29" i="32"/>
  <c r="G29" i="32" s="1"/>
  <c r="H29" i="32"/>
  <c r="D19" i="25"/>
  <c r="E19" i="25" s="1"/>
  <c r="G11" i="27"/>
  <c r="H11" i="27" s="1"/>
  <c r="G23" i="27"/>
  <c r="H23" i="27" s="1"/>
  <c r="G28" i="27"/>
  <c r="H28" i="27" s="1"/>
  <c r="H11" i="28"/>
  <c r="D24" i="28"/>
  <c r="E24" i="28" s="1"/>
  <c r="F18" i="29"/>
  <c r="D24" i="29"/>
  <c r="E24" i="29" s="1"/>
  <c r="H18" i="30"/>
  <c r="C18" i="32"/>
  <c r="D18" i="32"/>
  <c r="E18" i="32" s="1"/>
  <c r="F18" i="32"/>
  <c r="G18" i="32" s="1"/>
  <c r="H18" i="32"/>
  <c r="F30" i="32"/>
  <c r="G30" i="32" s="1"/>
  <c r="H30" i="32"/>
  <c r="C30" i="32"/>
  <c r="D30" i="32"/>
  <c r="E30" i="32" s="1"/>
  <c r="O57" i="2"/>
  <c r="H19" i="25"/>
  <c r="F14" i="26"/>
  <c r="G14" i="26" s="1"/>
  <c r="I28" i="27"/>
  <c r="F24" i="28"/>
  <c r="G24" i="28" s="1"/>
  <c r="C19" i="32"/>
  <c r="H19" i="32"/>
  <c r="D19" i="32"/>
  <c r="E19" i="32" s="1"/>
  <c r="F19" i="32"/>
  <c r="G19" i="32" s="1"/>
  <c r="F31" i="32"/>
  <c r="G31" i="32" s="1"/>
  <c r="H31" i="32"/>
  <c r="D31" i="32"/>
  <c r="E31" i="32" s="1"/>
  <c r="C31" i="32"/>
  <c r="H9" i="25"/>
  <c r="F16" i="25"/>
  <c r="G16" i="25" s="1"/>
  <c r="F23" i="25"/>
  <c r="G23" i="25" s="1"/>
  <c r="F34" i="25"/>
  <c r="G34" i="25" s="1"/>
  <c r="F10" i="26"/>
  <c r="G10" i="26" s="1"/>
  <c r="F22" i="26"/>
  <c r="G22" i="26" s="1"/>
  <c r="C27" i="26"/>
  <c r="D31" i="26"/>
  <c r="E31" i="26" s="1"/>
  <c r="D9" i="27"/>
  <c r="G16" i="27"/>
  <c r="H16" i="27" s="1"/>
  <c r="D21" i="27"/>
  <c r="H32" i="28"/>
  <c r="F12" i="29"/>
  <c r="F25" i="30"/>
  <c r="G25" i="30" s="1"/>
  <c r="H29" i="30"/>
  <c r="H20" i="32"/>
  <c r="C20" i="32"/>
  <c r="F20" i="32"/>
  <c r="G20" i="32" s="1"/>
  <c r="D20" i="32"/>
  <c r="E20" i="32" s="1"/>
  <c r="D32" i="32"/>
  <c r="E32" i="32" s="1"/>
  <c r="C32" i="32"/>
  <c r="F32" i="32"/>
  <c r="G32" i="32" s="1"/>
  <c r="H32" i="32"/>
  <c r="C20" i="25"/>
  <c r="H23" i="25"/>
  <c r="H10" i="26"/>
  <c r="F27" i="26"/>
  <c r="G27" i="26" s="1"/>
  <c r="H31" i="26"/>
  <c r="E9" i="27"/>
  <c r="F9" i="27" s="1"/>
  <c r="D12" i="27"/>
  <c r="I16" i="27"/>
  <c r="E21" i="27"/>
  <c r="F21" i="27" s="1"/>
  <c r="D29" i="27"/>
  <c r="H29" i="28"/>
  <c r="F25" i="29"/>
  <c r="C30" i="29"/>
  <c r="D20" i="30"/>
  <c r="E20" i="30" s="1"/>
  <c r="H25" i="30"/>
  <c r="H9" i="32"/>
  <c r="C9" i="32"/>
  <c r="C21" i="32"/>
  <c r="D21" i="32"/>
  <c r="E21" i="32" s="1"/>
  <c r="F21" i="32"/>
  <c r="G21" i="32" s="1"/>
  <c r="H21" i="32"/>
  <c r="O38" i="2"/>
  <c r="R38" i="2" s="1"/>
  <c r="Q38" i="2" s="1"/>
  <c r="C10" i="32"/>
  <c r="D10" i="32"/>
  <c r="E10" i="32" s="1"/>
  <c r="F10" i="32"/>
  <c r="G10" i="32" s="1"/>
  <c r="H10" i="32"/>
  <c r="D22" i="32"/>
  <c r="E22" i="32" s="1"/>
  <c r="F22" i="32"/>
  <c r="G22" i="32" s="1"/>
  <c r="C22" i="32"/>
  <c r="H22" i="32"/>
  <c r="I31" i="2"/>
  <c r="C24" i="25"/>
  <c r="D35" i="25"/>
  <c r="E35" i="25" s="1"/>
  <c r="D16" i="26"/>
  <c r="E16" i="26" s="1"/>
  <c r="D23" i="26"/>
  <c r="E23" i="26" s="1"/>
  <c r="C32" i="26"/>
  <c r="D17" i="27"/>
  <c r="E26" i="27"/>
  <c r="F26" i="27" s="1"/>
  <c r="C9" i="28"/>
  <c r="C15" i="28"/>
  <c r="H25" i="28"/>
  <c r="D30" i="28"/>
  <c r="E30" i="28" s="1"/>
  <c r="D26" i="29"/>
  <c r="E26" i="29" s="1"/>
  <c r="F26" i="30"/>
  <c r="G26" i="30" s="1"/>
  <c r="F31" i="30"/>
  <c r="G31" i="30" s="1"/>
  <c r="C11" i="32"/>
  <c r="D11" i="32"/>
  <c r="E11" i="32" s="1"/>
  <c r="F11" i="32"/>
  <c r="G11" i="32" s="1"/>
  <c r="H11" i="32"/>
  <c r="H23" i="32"/>
  <c r="F23" i="32"/>
  <c r="G23" i="32" s="1"/>
  <c r="C23" i="32"/>
  <c r="D23" i="32"/>
  <c r="E23" i="32" s="1"/>
  <c r="I18" i="2"/>
  <c r="O9" i="2"/>
  <c r="P9" i="2" s="1"/>
  <c r="J18" i="2"/>
  <c r="I27" i="2"/>
  <c r="L31" i="2"/>
  <c r="U31" i="2" s="1"/>
  <c r="J36" i="2"/>
  <c r="T38" i="2"/>
  <c r="S38" i="2" s="1"/>
  <c r="T9" i="2"/>
  <c r="S9" i="2" s="1"/>
  <c r="M18" i="2"/>
  <c r="J27" i="2"/>
  <c r="M36" i="2"/>
  <c r="G39" i="2"/>
  <c r="H39" i="2" s="1"/>
  <c r="T65" i="2"/>
  <c r="S65" i="2" s="1"/>
  <c r="D24" i="25"/>
  <c r="E24" i="25" s="1"/>
  <c r="H16" i="26"/>
  <c r="D32" i="26"/>
  <c r="E32" i="26" s="1"/>
  <c r="I17" i="27"/>
  <c r="I26" i="27"/>
  <c r="F9" i="28"/>
  <c r="G9" i="28" s="1"/>
  <c r="F30" i="28"/>
  <c r="G30" i="28" s="1"/>
  <c r="H31" i="30"/>
  <c r="H12" i="32"/>
  <c r="F12" i="32"/>
  <c r="G12" i="32" s="1"/>
  <c r="C12" i="32"/>
  <c r="D12" i="32"/>
  <c r="E12" i="32" s="1"/>
  <c r="D24" i="32"/>
  <c r="E24" i="32" s="1"/>
  <c r="C24" i="32"/>
  <c r="F24" i="32"/>
  <c r="G24" i="32" s="1"/>
  <c r="H24" i="32"/>
  <c r="T66" i="2"/>
  <c r="S66" i="2" s="1"/>
  <c r="M76" i="2"/>
  <c r="N76" i="2" s="1"/>
  <c r="D18" i="25"/>
  <c r="E18" i="25" s="1"/>
  <c r="F24" i="25"/>
  <c r="G24" i="25" s="1"/>
  <c r="C30" i="25"/>
  <c r="C24" i="26"/>
  <c r="C29" i="26"/>
  <c r="F32" i="26"/>
  <c r="G32" i="26" s="1"/>
  <c r="E10" i="27"/>
  <c r="F10" i="27" s="1"/>
  <c r="D14" i="27"/>
  <c r="D22" i="27"/>
  <c r="H9" i="28"/>
  <c r="C16" i="28"/>
  <c r="D26" i="28"/>
  <c r="E26" i="28" s="1"/>
  <c r="H30" i="28"/>
  <c r="F15" i="29"/>
  <c r="F22" i="29"/>
  <c r="C27" i="29"/>
  <c r="F31" i="29"/>
  <c r="F10" i="30"/>
  <c r="G10" i="30" s="1"/>
  <c r="D16" i="30"/>
  <c r="E16" i="30" s="1"/>
  <c r="C23" i="30"/>
  <c r="C13" i="32"/>
  <c r="D13" i="32"/>
  <c r="E13" i="32" s="1"/>
  <c r="F13" i="32"/>
  <c r="G13" i="32" s="1"/>
  <c r="H13" i="32"/>
  <c r="F25" i="32"/>
  <c r="G25" i="32" s="1"/>
  <c r="H25" i="32"/>
  <c r="C25" i="32"/>
  <c r="D25" i="32"/>
  <c r="E25" i="32" s="1"/>
  <c r="D24" i="26"/>
  <c r="E24" i="26" s="1"/>
  <c r="F29" i="26"/>
  <c r="G29" i="26" s="1"/>
  <c r="I10" i="27"/>
  <c r="E14" i="27"/>
  <c r="F14" i="27" s="1"/>
  <c r="G22" i="27"/>
  <c r="H22" i="27" s="1"/>
  <c r="F26" i="28"/>
  <c r="G26" i="28" s="1"/>
  <c r="H10" i="30"/>
  <c r="H16" i="30"/>
  <c r="F27" i="30"/>
  <c r="G27" i="30" s="1"/>
  <c r="C32" i="30"/>
  <c r="F14" i="32"/>
  <c r="G14" i="32" s="1"/>
  <c r="C14" i="32"/>
  <c r="D14" i="32"/>
  <c r="E14" i="32" s="1"/>
  <c r="H14" i="32"/>
  <c r="C26" i="32"/>
  <c r="D26" i="32"/>
  <c r="E26" i="32" s="1"/>
  <c r="F26" i="32"/>
  <c r="G26" i="32" s="1"/>
  <c r="H26" i="32"/>
  <c r="H9" i="4"/>
  <c r="D33" i="4"/>
  <c r="E33" i="4"/>
  <c r="C11" i="1" s="1"/>
  <c r="F9" i="1"/>
  <c r="M65" i="2"/>
  <c r="N65" i="2" s="1"/>
  <c r="H19" i="26"/>
  <c r="D19" i="26"/>
  <c r="E19" i="26" s="1"/>
  <c r="C19" i="26"/>
  <c r="F25" i="26"/>
  <c r="G25" i="26" s="1"/>
  <c r="D25" i="26"/>
  <c r="E25" i="26" s="1"/>
  <c r="C25" i="26"/>
  <c r="C28" i="26"/>
  <c r="D25" i="27"/>
  <c r="C12" i="3"/>
  <c r="D12" i="3" s="1"/>
  <c r="E12" i="3" s="1"/>
  <c r="C22" i="3"/>
  <c r="D22" i="3" s="1"/>
  <c r="E22" i="3" s="1"/>
  <c r="C34" i="3"/>
  <c r="D34" i="3" s="1"/>
  <c r="E34" i="3" s="1"/>
  <c r="E46" i="3"/>
  <c r="C46" i="3"/>
  <c r="D46" i="3" s="1"/>
  <c r="I46" i="2"/>
  <c r="O47" i="2"/>
  <c r="P47" i="2" s="1"/>
  <c r="G49" i="2"/>
  <c r="H49" i="2" s="1"/>
  <c r="I11" i="2"/>
  <c r="J12" i="2"/>
  <c r="K12" i="2" s="1"/>
  <c r="L18" i="2"/>
  <c r="U18" i="2" s="1"/>
  <c r="I21" i="2"/>
  <c r="J31" i="2"/>
  <c r="K31" i="2" s="1"/>
  <c r="L36" i="2"/>
  <c r="G40" i="2"/>
  <c r="H40" i="2" s="1"/>
  <c r="J46" i="2"/>
  <c r="K46" i="2" s="1"/>
  <c r="I49" i="2"/>
  <c r="O55" i="2"/>
  <c r="P55" i="2" s="1"/>
  <c r="J57" i="2"/>
  <c r="K57" i="2" s="1"/>
  <c r="T58" i="2"/>
  <c r="S58" i="2" s="1"/>
  <c r="I64" i="2"/>
  <c r="O65" i="2"/>
  <c r="P65" i="2" s="1"/>
  <c r="L72" i="2"/>
  <c r="U72" i="2" s="1"/>
  <c r="L74" i="2"/>
  <c r="U74" i="2" s="1"/>
  <c r="O76" i="2"/>
  <c r="P76" i="2" s="1"/>
  <c r="F12" i="25"/>
  <c r="G12" i="25" s="1"/>
  <c r="H21" i="25"/>
  <c r="D21" i="25"/>
  <c r="E21" i="25" s="1"/>
  <c r="C21" i="25"/>
  <c r="H27" i="25"/>
  <c r="D27" i="25"/>
  <c r="E27" i="25" s="1"/>
  <c r="C16" i="26"/>
  <c r="F19" i="26"/>
  <c r="G19" i="26" s="1"/>
  <c r="L46" i="2"/>
  <c r="U46" i="2" s="1"/>
  <c r="J49" i="2"/>
  <c r="K49" i="2" s="1"/>
  <c r="H13" i="25"/>
  <c r="D13" i="25"/>
  <c r="E13" i="25" s="1"/>
  <c r="C13" i="25"/>
  <c r="I19" i="27"/>
  <c r="G19" i="27"/>
  <c r="H19" i="27" s="1"/>
  <c r="E19" i="27"/>
  <c r="F19" i="27" s="1"/>
  <c r="G67" i="2"/>
  <c r="H67" i="2" s="1"/>
  <c r="O63" i="2"/>
  <c r="O66" i="2"/>
  <c r="P66" i="2" s="1"/>
  <c r="M64" i="2"/>
  <c r="M66" i="2"/>
  <c r="L65" i="2"/>
  <c r="U65" i="2" s="1"/>
  <c r="I63" i="2"/>
  <c r="L64" i="2"/>
  <c r="U64" i="2" s="1"/>
  <c r="G66" i="2"/>
  <c r="H66" i="2" s="1"/>
  <c r="H26" i="26"/>
  <c r="F26" i="26"/>
  <c r="G26" i="26" s="1"/>
  <c r="C14" i="3"/>
  <c r="D14" i="3" s="1"/>
  <c r="E14" i="3" s="1"/>
  <c r="D28" i="25"/>
  <c r="E28" i="25" s="1"/>
  <c r="C28" i="25"/>
  <c r="C26" i="26"/>
  <c r="C26" i="3"/>
  <c r="D26" i="3" s="1"/>
  <c r="E26" i="3" s="1"/>
  <c r="C38" i="3"/>
  <c r="D38" i="3" s="1"/>
  <c r="E38" i="3" s="1"/>
  <c r="H14" i="28"/>
  <c r="F14" i="28"/>
  <c r="G14" i="28" s="1"/>
  <c r="D14" i="28"/>
  <c r="E14" i="28" s="1"/>
  <c r="C14" i="28"/>
  <c r="M13" i="2"/>
  <c r="N13" i="2" s="1"/>
  <c r="G20" i="2"/>
  <c r="H20" i="2" s="1"/>
  <c r="M22" i="2"/>
  <c r="G9" i="2"/>
  <c r="I10" i="2"/>
  <c r="L11" i="2"/>
  <c r="M12" i="2"/>
  <c r="I20" i="2"/>
  <c r="M21" i="2"/>
  <c r="O22" i="2"/>
  <c r="P22" i="2" s="1"/>
  <c r="O27" i="2"/>
  <c r="T28" i="2"/>
  <c r="S28" i="2" s="1"/>
  <c r="I30" i="2"/>
  <c r="M31" i="2"/>
  <c r="O46" i="2"/>
  <c r="P46" i="2" s="1"/>
  <c r="J45" i="2"/>
  <c r="K45" i="2" s="1"/>
  <c r="I48" i="2"/>
  <c r="O49" i="2"/>
  <c r="P49" i="2" s="1"/>
  <c r="T54" i="2"/>
  <c r="S54" i="2" s="1"/>
  <c r="J56" i="2"/>
  <c r="K56" i="2" s="1"/>
  <c r="T57" i="2"/>
  <c r="S57" i="2" s="1"/>
  <c r="O64" i="2"/>
  <c r="P64" i="2" s="1"/>
  <c r="I66" i="2"/>
  <c r="M67" i="2"/>
  <c r="N67" i="2" s="1"/>
  <c r="I73" i="2"/>
  <c r="I75" i="2"/>
  <c r="H11" i="26"/>
  <c r="D11" i="26"/>
  <c r="E11" i="26" s="1"/>
  <c r="D26" i="26"/>
  <c r="E26" i="26" s="1"/>
  <c r="C16" i="3"/>
  <c r="D16" i="3" s="1"/>
  <c r="E16" i="3" s="1"/>
  <c r="E9" i="28"/>
  <c r="G45" i="2"/>
  <c r="H45" i="2" s="1"/>
  <c r="M46" i="2"/>
  <c r="N46" i="2" s="1"/>
  <c r="G48" i="2"/>
  <c r="H48" i="2" s="1"/>
  <c r="I9" i="2"/>
  <c r="L10" i="2"/>
  <c r="O12" i="2"/>
  <c r="P12" i="2" s="1"/>
  <c r="T13" i="2"/>
  <c r="S13" i="2" s="1"/>
  <c r="G19" i="2"/>
  <c r="H19" i="2" s="1"/>
  <c r="L20" i="2"/>
  <c r="O21" i="2"/>
  <c r="P21" i="2" s="1"/>
  <c r="T22" i="2"/>
  <c r="S22" i="2" s="1"/>
  <c r="T27" i="2"/>
  <c r="I29" i="2"/>
  <c r="L30" i="2"/>
  <c r="U30" i="2" s="1"/>
  <c r="T31" i="2"/>
  <c r="S31" i="2" s="1"/>
  <c r="G37" i="2"/>
  <c r="H37" i="2" s="1"/>
  <c r="J38" i="2"/>
  <c r="K38" i="2" s="1"/>
  <c r="L40" i="2"/>
  <c r="U40" i="2" s="1"/>
  <c r="L45" i="2"/>
  <c r="U45" i="2" s="1"/>
  <c r="T46" i="2"/>
  <c r="S46" i="2" s="1"/>
  <c r="J48" i="2"/>
  <c r="K48" i="2" s="1"/>
  <c r="G55" i="2"/>
  <c r="H55" i="2" s="1"/>
  <c r="G58" i="2"/>
  <c r="H58" i="2" s="1"/>
  <c r="J63" i="2"/>
  <c r="K63" i="2" s="1"/>
  <c r="T64" i="2"/>
  <c r="S64" i="2" s="1"/>
  <c r="J66" i="2"/>
  <c r="K66" i="2" s="1"/>
  <c r="O67" i="2"/>
  <c r="R67" i="2" s="1"/>
  <c r="Q67" i="2" s="1"/>
  <c r="L73" i="2"/>
  <c r="U73" i="2" s="1"/>
  <c r="J75" i="2"/>
  <c r="K75" i="2" s="1"/>
  <c r="F28" i="25"/>
  <c r="G28" i="25" s="1"/>
  <c r="C11" i="26"/>
  <c r="F30" i="26"/>
  <c r="G30" i="26" s="1"/>
  <c r="D30" i="26"/>
  <c r="E30" i="26" s="1"/>
  <c r="D13" i="27"/>
  <c r="I31" i="27"/>
  <c r="G31" i="27"/>
  <c r="H31" i="27" s="1"/>
  <c r="E31" i="27"/>
  <c r="F31" i="27" s="1"/>
  <c r="I45" i="2"/>
  <c r="G63" i="2"/>
  <c r="H63" i="2" s="1"/>
  <c r="L67" i="2"/>
  <c r="U67" i="2" s="1"/>
  <c r="J10" i="2"/>
  <c r="K10" i="2" s="1"/>
  <c r="O13" i="2"/>
  <c r="T18" i="2"/>
  <c r="G29" i="2"/>
  <c r="H29" i="2" s="1"/>
  <c r="O11" i="2"/>
  <c r="G28" i="2"/>
  <c r="H28" i="2" s="1"/>
  <c r="M30" i="2"/>
  <c r="N30" i="2" s="1"/>
  <c r="L39" i="2"/>
  <c r="U39" i="2" s="1"/>
  <c r="M40" i="2"/>
  <c r="N40" i="2" s="1"/>
  <c r="M45" i="2"/>
  <c r="N45" i="2" s="1"/>
  <c r="G47" i="2"/>
  <c r="H47" i="2" s="1"/>
  <c r="L48" i="2"/>
  <c r="U48" i="2" s="1"/>
  <c r="T49" i="2"/>
  <c r="S49" i="2" s="1"/>
  <c r="L56" i="2"/>
  <c r="U56" i="2" s="1"/>
  <c r="L63" i="2"/>
  <c r="U63" i="2" s="1"/>
  <c r="G65" i="2"/>
  <c r="H65" i="2" s="1"/>
  <c r="M73" i="2"/>
  <c r="N73" i="2" s="1"/>
  <c r="L75" i="2"/>
  <c r="U75" i="2" s="1"/>
  <c r="H25" i="25"/>
  <c r="F25" i="25"/>
  <c r="G25" i="25" s="1"/>
  <c r="C25" i="25"/>
  <c r="F11" i="26"/>
  <c r="G11" i="26" s="1"/>
  <c r="E13" i="27"/>
  <c r="F13" i="27" s="1"/>
  <c r="H28" i="26"/>
  <c r="D28" i="26"/>
  <c r="E28" i="26" s="1"/>
  <c r="G25" i="27"/>
  <c r="H25" i="27" s="1"/>
  <c r="E25" i="27"/>
  <c r="F25" i="27" s="1"/>
  <c r="L12" i="2"/>
  <c r="O18" i="2"/>
  <c r="R18" i="2" s="1"/>
  <c r="Q18" i="2" s="1"/>
  <c r="L21" i="2"/>
  <c r="M49" i="2"/>
  <c r="R49" i="2" s="1"/>
  <c r="Q49" i="2" s="1"/>
  <c r="M11" i="2"/>
  <c r="N11" i="2" s="1"/>
  <c r="J20" i="2"/>
  <c r="K20" i="2" s="1"/>
  <c r="J30" i="2"/>
  <c r="K30" i="2" s="1"/>
  <c r="O31" i="2"/>
  <c r="P31" i="2" s="1"/>
  <c r="J9" i="2"/>
  <c r="M10" i="2"/>
  <c r="M20" i="2"/>
  <c r="N20" i="2" s="1"/>
  <c r="J29" i="2"/>
  <c r="K29" i="2" s="1"/>
  <c r="O10" i="2"/>
  <c r="P10" i="2" s="1"/>
  <c r="T11" i="2"/>
  <c r="S11" i="2" s="1"/>
  <c r="T12" i="2"/>
  <c r="S12" i="2" s="1"/>
  <c r="I19" i="2"/>
  <c r="O20" i="2"/>
  <c r="P20" i="2" s="1"/>
  <c r="G36" i="2"/>
  <c r="I37" i="2"/>
  <c r="L38" i="2"/>
  <c r="U38" i="2" s="1"/>
  <c r="M39" i="2"/>
  <c r="O45" i="2"/>
  <c r="P45" i="2" s="1"/>
  <c r="I47" i="2"/>
  <c r="M48" i="2"/>
  <c r="I55" i="2"/>
  <c r="M56" i="2"/>
  <c r="N56" i="2" s="1"/>
  <c r="M63" i="2"/>
  <c r="N63" i="2" s="1"/>
  <c r="L66" i="2"/>
  <c r="U66" i="2" s="1"/>
  <c r="O73" i="2"/>
  <c r="P73" i="2" s="1"/>
  <c r="H17" i="25"/>
  <c r="F17" i="25"/>
  <c r="G17" i="25" s="1"/>
  <c r="D17" i="25"/>
  <c r="E17" i="25" s="1"/>
  <c r="C17" i="25"/>
  <c r="D25" i="25"/>
  <c r="E25" i="25" s="1"/>
  <c r="H28" i="25"/>
  <c r="D12" i="26"/>
  <c r="E12" i="26" s="1"/>
  <c r="C12" i="26"/>
  <c r="H30" i="26"/>
  <c r="C18" i="3"/>
  <c r="D18" i="3" s="1"/>
  <c r="E18" i="3" s="1"/>
  <c r="C30" i="3"/>
  <c r="D30" i="3" s="1"/>
  <c r="E30" i="3" s="1"/>
  <c r="E42" i="3"/>
  <c r="C42" i="3"/>
  <c r="D42" i="3" s="1"/>
  <c r="T47" i="2"/>
  <c r="S47" i="2" s="1"/>
  <c r="L9" i="2"/>
  <c r="T21" i="2"/>
  <c r="S21" i="2" s="1"/>
  <c r="L29" i="2"/>
  <c r="J47" i="2"/>
  <c r="K47" i="2" s="1"/>
  <c r="O48" i="2"/>
  <c r="P48" i="2" s="1"/>
  <c r="L57" i="2"/>
  <c r="U57" i="2" s="1"/>
  <c r="T67" i="2"/>
  <c r="S67" i="2" s="1"/>
  <c r="M54" i="2"/>
  <c r="J55" i="2"/>
  <c r="K55" i="2" s="1"/>
  <c r="O56" i="2"/>
  <c r="P56" i="2" s="1"/>
  <c r="J58" i="2"/>
  <c r="K58" i="2" s="1"/>
  <c r="T63" i="2"/>
  <c r="S63" i="2" s="1"/>
  <c r="I65" i="2"/>
  <c r="L76" i="2"/>
  <c r="U76" i="2" s="1"/>
  <c r="O74" i="2"/>
  <c r="P74" i="2" s="1"/>
  <c r="J73" i="2"/>
  <c r="K73" i="2" s="1"/>
  <c r="G76" i="2"/>
  <c r="H76" i="2" s="1"/>
  <c r="J74" i="2"/>
  <c r="K74" i="2" s="1"/>
  <c r="T72" i="2"/>
  <c r="S72" i="2" s="1"/>
  <c r="O75" i="2"/>
  <c r="P75" i="2" s="1"/>
  <c r="G74" i="2"/>
  <c r="H74" i="2" s="1"/>
  <c r="O72" i="2"/>
  <c r="P72" i="2" s="1"/>
  <c r="D26" i="25"/>
  <c r="E26" i="25" s="1"/>
  <c r="C26" i="25"/>
  <c r="F29" i="25"/>
  <c r="G29" i="25" s="1"/>
  <c r="C29" i="25"/>
  <c r="H9" i="26"/>
  <c r="F9" i="26"/>
  <c r="D9" i="26"/>
  <c r="E9" i="26" s="1"/>
  <c r="F15" i="26"/>
  <c r="G15" i="26" s="1"/>
  <c r="D15" i="26"/>
  <c r="E15" i="26" s="1"/>
  <c r="C15" i="26"/>
  <c r="H18" i="26"/>
  <c r="F18" i="26"/>
  <c r="G18" i="26" s="1"/>
  <c r="I13" i="27"/>
  <c r="I24" i="27"/>
  <c r="E24" i="27"/>
  <c r="F24" i="27" s="1"/>
  <c r="D24" i="27"/>
  <c r="G13" i="2"/>
  <c r="H13" i="2" s="1"/>
  <c r="J19" i="2"/>
  <c r="K19" i="2" s="1"/>
  <c r="I28" i="2"/>
  <c r="O30" i="2"/>
  <c r="M9" i="2"/>
  <c r="N9" i="2" s="1"/>
  <c r="T10" i="2"/>
  <c r="S10" i="2" s="1"/>
  <c r="G12" i="2"/>
  <c r="H12" i="2" s="1"/>
  <c r="G18" i="2"/>
  <c r="G23" i="2" s="1"/>
  <c r="H23" i="2" s="1"/>
  <c r="L19" i="2"/>
  <c r="U19" i="2" s="1"/>
  <c r="T20" i="2"/>
  <c r="S20" i="2" s="1"/>
  <c r="G27" i="2"/>
  <c r="J28" i="2"/>
  <c r="K28" i="2" s="1"/>
  <c r="M29" i="2"/>
  <c r="N29" i="2" s="1"/>
  <c r="I36" i="2"/>
  <c r="L37" i="2"/>
  <c r="U37" i="2" s="1"/>
  <c r="O39" i="2"/>
  <c r="P39" i="2" s="1"/>
  <c r="T45" i="2"/>
  <c r="S45" i="2" s="1"/>
  <c r="L47" i="2"/>
  <c r="U47" i="2" s="1"/>
  <c r="G54" i="2"/>
  <c r="H54" i="2" s="1"/>
  <c r="L55" i="2"/>
  <c r="U55" i="2" s="1"/>
  <c r="T56" i="2"/>
  <c r="S56" i="2" s="1"/>
  <c r="L58" i="2"/>
  <c r="U58" i="2" s="1"/>
  <c r="J65" i="2"/>
  <c r="K65" i="2" s="1"/>
  <c r="G72" i="2"/>
  <c r="H72" i="2" s="1"/>
  <c r="I76" i="2"/>
  <c r="C12" i="25"/>
  <c r="D20" i="25"/>
  <c r="E20" i="25" s="1"/>
  <c r="F26" i="25"/>
  <c r="G26" i="25" s="1"/>
  <c r="D29" i="25"/>
  <c r="E29" i="25" s="1"/>
  <c r="C9" i="26"/>
  <c r="F12" i="26"/>
  <c r="G12" i="26" s="1"/>
  <c r="C18" i="26"/>
  <c r="G24" i="27"/>
  <c r="H24" i="27" s="1"/>
  <c r="C10" i="3"/>
  <c r="D10" i="3" s="1"/>
  <c r="E10" i="3" s="1"/>
  <c r="C18" i="28"/>
  <c r="C22" i="28"/>
  <c r="C10" i="29"/>
  <c r="C15" i="30"/>
  <c r="C21" i="30"/>
  <c r="C12" i="28"/>
  <c r="D18" i="28"/>
  <c r="E18" i="28" s="1"/>
  <c r="C20" i="28"/>
  <c r="D22" i="28"/>
  <c r="E22" i="28" s="1"/>
  <c r="H28" i="28"/>
  <c r="D10" i="29"/>
  <c r="E10" i="29" s="1"/>
  <c r="C13" i="30"/>
  <c r="D15" i="30"/>
  <c r="E15" i="30" s="1"/>
  <c r="C17" i="30"/>
  <c r="C19" i="30"/>
  <c r="D21" i="30"/>
  <c r="E21" i="30" s="1"/>
  <c r="D9" i="32"/>
  <c r="E9" i="32" s="1"/>
  <c r="D15" i="27"/>
  <c r="C10" i="28"/>
  <c r="D12" i="28"/>
  <c r="E12" i="28" s="1"/>
  <c r="D20" i="28"/>
  <c r="E20" i="28" s="1"/>
  <c r="F22" i="28"/>
  <c r="G22" i="28" s="1"/>
  <c r="C13" i="29"/>
  <c r="C16" i="29"/>
  <c r="C19" i="29"/>
  <c r="C22" i="29"/>
  <c r="D13" i="30"/>
  <c r="E13" i="30" s="1"/>
  <c r="D17" i="30"/>
  <c r="E17" i="30" s="1"/>
  <c r="D19" i="30"/>
  <c r="E19" i="30" s="1"/>
  <c r="F9" i="32"/>
  <c r="E15" i="27"/>
  <c r="F15" i="27" s="1"/>
  <c r="E17" i="27"/>
  <c r="F17" i="27" s="1"/>
  <c r="E27" i="27"/>
  <c r="F27" i="27" s="1"/>
  <c r="E29" i="27"/>
  <c r="F29" i="27" s="1"/>
  <c r="C11" i="3"/>
  <c r="D11" i="3" s="1"/>
  <c r="E11" i="3" s="1"/>
  <c r="C15" i="3"/>
  <c r="D15" i="3" s="1"/>
  <c r="E15" i="3" s="1"/>
  <c r="C19" i="3"/>
  <c r="D19" i="3" s="1"/>
  <c r="E19" i="3" s="1"/>
  <c r="C23" i="3"/>
  <c r="D23" i="3" s="1"/>
  <c r="E23" i="3" s="1"/>
  <c r="C27" i="3"/>
  <c r="D27" i="3" s="1"/>
  <c r="E27" i="3" s="1"/>
  <c r="C31" i="3"/>
  <c r="D31" i="3" s="1"/>
  <c r="E31" i="3" s="1"/>
  <c r="C35" i="3"/>
  <c r="D35" i="3" s="1"/>
  <c r="E35" i="3" s="1"/>
  <c r="C39" i="3"/>
  <c r="D39" i="3" s="1"/>
  <c r="C43" i="3"/>
  <c r="D43" i="3" s="1"/>
  <c r="D10" i="28"/>
  <c r="E10" i="28" s="1"/>
  <c r="F12" i="28"/>
  <c r="G12" i="28" s="1"/>
  <c r="F18" i="28"/>
  <c r="G18" i="28" s="1"/>
  <c r="F20" i="28"/>
  <c r="G20" i="28" s="1"/>
  <c r="C27" i="28"/>
  <c r="C29" i="28"/>
  <c r="D13" i="29"/>
  <c r="E13" i="29" s="1"/>
  <c r="D16" i="29"/>
  <c r="E16" i="29" s="1"/>
  <c r="D19" i="29"/>
  <c r="E19" i="29" s="1"/>
  <c r="C25" i="29"/>
  <c r="C28" i="29"/>
  <c r="C31" i="29"/>
  <c r="C11" i="30"/>
  <c r="F13" i="30"/>
  <c r="G13" i="30" s="1"/>
  <c r="F15" i="30"/>
  <c r="G15" i="30" s="1"/>
  <c r="F19" i="30"/>
  <c r="G19" i="30" s="1"/>
  <c r="F21" i="30"/>
  <c r="G21" i="30" s="1"/>
  <c r="C26" i="30"/>
  <c r="C28" i="30"/>
  <c r="C30" i="30"/>
  <c r="D32" i="30"/>
  <c r="E32" i="30" s="1"/>
  <c r="C35" i="25"/>
  <c r="C13" i="26"/>
  <c r="C21" i="26"/>
  <c r="C23" i="26"/>
  <c r="D10" i="27"/>
  <c r="C25" i="28"/>
  <c r="D27" i="28"/>
  <c r="E27" i="28" s="1"/>
  <c r="D29" i="28"/>
  <c r="E29" i="28" s="1"/>
  <c r="C31" i="28"/>
  <c r="C9" i="30"/>
  <c r="D11" i="30"/>
  <c r="E11" i="30" s="1"/>
  <c r="F17" i="30"/>
  <c r="G17" i="30" s="1"/>
  <c r="C24" i="30"/>
  <c r="D26" i="30"/>
  <c r="E26" i="30" s="1"/>
  <c r="D28" i="30"/>
  <c r="E28" i="30" s="1"/>
  <c r="D30" i="30"/>
  <c r="E30" i="30" s="1"/>
  <c r="D15" i="25"/>
  <c r="E15" i="25" s="1"/>
  <c r="D31" i="25"/>
  <c r="E31" i="25" s="1"/>
  <c r="F35" i="25"/>
  <c r="G35" i="25" s="1"/>
  <c r="E12" i="27"/>
  <c r="F12" i="27" s="1"/>
  <c r="E20" i="27"/>
  <c r="F20" i="27" s="1"/>
  <c r="E22" i="27"/>
  <c r="F22" i="27" s="1"/>
  <c r="E32" i="27"/>
  <c r="F32" i="27" s="1"/>
  <c r="C20" i="3"/>
  <c r="D20" i="3" s="1"/>
  <c r="E20" i="3" s="1"/>
  <c r="C24" i="3"/>
  <c r="D24" i="3" s="1"/>
  <c r="E24" i="3" s="1"/>
  <c r="C28" i="3"/>
  <c r="D28" i="3" s="1"/>
  <c r="E28" i="3" s="1"/>
  <c r="C32" i="3"/>
  <c r="D32" i="3" s="1"/>
  <c r="E32" i="3" s="1"/>
  <c r="C36" i="3"/>
  <c r="D36" i="3" s="1"/>
  <c r="E36" i="3" s="1"/>
  <c r="C40" i="3"/>
  <c r="D40" i="3" s="1"/>
  <c r="C44" i="3"/>
  <c r="D44" i="3" s="1"/>
  <c r="C13" i="28"/>
  <c r="D15" i="28"/>
  <c r="E15" i="28" s="1"/>
  <c r="D17" i="28"/>
  <c r="E17" i="28" s="1"/>
  <c r="C19" i="28"/>
  <c r="C21" i="28"/>
  <c r="D23" i="28"/>
  <c r="E23" i="28" s="1"/>
  <c r="D11" i="29"/>
  <c r="E11" i="29" s="1"/>
  <c r="C14" i="29"/>
  <c r="C17" i="29"/>
  <c r="C20" i="29"/>
  <c r="E9" i="30"/>
  <c r="C22" i="30"/>
  <c r="F24" i="30"/>
  <c r="G24" i="30" s="1"/>
  <c r="F30" i="30"/>
  <c r="G30" i="30" s="1"/>
  <c r="F13" i="26"/>
  <c r="G13" i="26" s="1"/>
  <c r="F23" i="26"/>
  <c r="G23" i="26" s="1"/>
  <c r="D18" i="27"/>
  <c r="G20" i="27"/>
  <c r="H20" i="27" s="1"/>
  <c r="D26" i="27"/>
  <c r="D30" i="27"/>
  <c r="G32" i="27"/>
  <c r="H32" i="27" s="1"/>
  <c r="C11" i="28"/>
  <c r="D13" i="28"/>
  <c r="E13" i="28" s="1"/>
  <c r="F15" i="28"/>
  <c r="G15" i="28" s="1"/>
  <c r="D19" i="28"/>
  <c r="E19" i="28" s="1"/>
  <c r="D21" i="28"/>
  <c r="E21" i="28" s="1"/>
  <c r="F23" i="28"/>
  <c r="G23" i="28" s="1"/>
  <c r="D14" i="29"/>
  <c r="E14" i="29" s="1"/>
  <c r="D17" i="29"/>
  <c r="E17" i="29" s="1"/>
  <c r="D20" i="29"/>
  <c r="E20" i="29" s="1"/>
  <c r="C23" i="29"/>
  <c r="C26" i="29"/>
  <c r="C29" i="29"/>
  <c r="C32" i="29"/>
  <c r="F9" i="30"/>
  <c r="G9" i="30" s="1"/>
  <c r="C14" i="30"/>
  <c r="C16" i="30"/>
  <c r="C18" i="30"/>
  <c r="C20" i="30"/>
  <c r="D22" i="30"/>
  <c r="E22" i="30" s="1"/>
  <c r="F22" i="30"/>
  <c r="G22" i="30" s="1"/>
  <c r="G18" i="27"/>
  <c r="H18" i="27" s="1"/>
  <c r="G30" i="27"/>
  <c r="H30" i="27" s="1"/>
  <c r="C9" i="3"/>
  <c r="D9" i="3" s="1"/>
  <c r="E9" i="3" s="1"/>
  <c r="C13" i="3"/>
  <c r="D13" i="3" s="1"/>
  <c r="E13" i="3" s="1"/>
  <c r="C17" i="3"/>
  <c r="D17" i="3" s="1"/>
  <c r="E17" i="3" s="1"/>
  <c r="C21" i="3"/>
  <c r="D21" i="3" s="1"/>
  <c r="E21" i="3" s="1"/>
  <c r="C25" i="3"/>
  <c r="D25" i="3" s="1"/>
  <c r="E25" i="3" s="1"/>
  <c r="C29" i="3"/>
  <c r="D29" i="3" s="1"/>
  <c r="E29" i="3" s="1"/>
  <c r="C33" i="3"/>
  <c r="D33" i="3" s="1"/>
  <c r="E33" i="3" s="1"/>
  <c r="C37" i="3"/>
  <c r="D37" i="3" s="1"/>
  <c r="E37" i="3" s="1"/>
  <c r="C41" i="3"/>
  <c r="D41" i="3" s="1"/>
  <c r="C45" i="3"/>
  <c r="D45" i="3" s="1"/>
  <c r="F13" i="28"/>
  <c r="G13" i="28" s="1"/>
  <c r="F21" i="28"/>
  <c r="G21" i="28" s="1"/>
  <c r="C28" i="28"/>
  <c r="D9" i="29"/>
  <c r="E9" i="29" s="1"/>
  <c r="C12" i="29"/>
  <c r="D12" i="30"/>
  <c r="E12" i="30" s="1"/>
  <c r="F14" i="30"/>
  <c r="G14" i="30" s="1"/>
  <c r="F20" i="30"/>
  <c r="G20" i="30" s="1"/>
  <c r="C25" i="30"/>
  <c r="C29" i="30"/>
  <c r="C31" i="30"/>
  <c r="J33" i="4"/>
  <c r="J11" i="1" s="1"/>
  <c r="I11" i="1" s="1"/>
  <c r="E9" i="25"/>
  <c r="P63" i="2"/>
  <c r="R19" i="2"/>
  <c r="Q19" i="2" s="1"/>
  <c r="D8" i="1"/>
  <c r="N31" i="2"/>
  <c r="K18" i="2"/>
  <c r="N75" i="2"/>
  <c r="H8" i="1"/>
  <c r="P11" i="2"/>
  <c r="N18" i="2"/>
  <c r="N22" i="2"/>
  <c r="R54" i="2" l="1"/>
  <c r="Q54" i="2" s="1"/>
  <c r="R36" i="2"/>
  <c r="Q36" i="2" s="1"/>
  <c r="P38" i="2"/>
  <c r="R58" i="2"/>
  <c r="Q58" i="2" s="1"/>
  <c r="R55" i="2"/>
  <c r="Q55" i="2" s="1"/>
  <c r="P36" i="2"/>
  <c r="R57" i="2"/>
  <c r="Q57" i="2" s="1"/>
  <c r="P57" i="2"/>
  <c r="M23" i="2"/>
  <c r="N23" i="2" s="1"/>
  <c r="R27" i="2"/>
  <c r="Q27" i="2" s="1"/>
  <c r="I23" i="2"/>
  <c r="F33" i="29"/>
  <c r="J13" i="1" s="1"/>
  <c r="I13" i="1" s="1"/>
  <c r="R13" i="2"/>
  <c r="Q13" i="2" s="1"/>
  <c r="K27" i="2"/>
  <c r="J32" i="2"/>
  <c r="K32" i="2" s="1"/>
  <c r="H36" i="2"/>
  <c r="G41" i="2"/>
  <c r="H41" i="2" s="1"/>
  <c r="P27" i="2"/>
  <c r="O32" i="2"/>
  <c r="P32" i="2" s="1"/>
  <c r="U36" i="2"/>
  <c r="U41" i="2" s="1"/>
  <c r="L41" i="2"/>
  <c r="R30" i="2"/>
  <c r="Q30" i="2" s="1"/>
  <c r="K36" i="2"/>
  <c r="J41" i="2"/>
  <c r="K41" i="2" s="1"/>
  <c r="O41" i="2"/>
  <c r="P41" i="2" s="1"/>
  <c r="S27" i="2"/>
  <c r="T32" i="2"/>
  <c r="S32" i="2" s="1"/>
  <c r="I32" i="2"/>
  <c r="M32" i="2"/>
  <c r="N32" i="2" s="1"/>
  <c r="S36" i="2"/>
  <c r="T41" i="2"/>
  <c r="S41" i="2" s="1"/>
  <c r="I41" i="2"/>
  <c r="H27" i="2"/>
  <c r="G32" i="2"/>
  <c r="H32" i="2" s="1"/>
  <c r="L32" i="2"/>
  <c r="U27" i="2" s="1"/>
  <c r="N36" i="2"/>
  <c r="M41" i="2"/>
  <c r="N41" i="2" s="1"/>
  <c r="P67" i="2"/>
  <c r="R46" i="2"/>
  <c r="Q46" i="2" s="1"/>
  <c r="P13" i="2"/>
  <c r="E11" i="1"/>
  <c r="F11" i="1" s="1"/>
  <c r="N28" i="2"/>
  <c r="H33" i="32"/>
  <c r="J17" i="1" s="1"/>
  <c r="I17" i="1" s="1"/>
  <c r="H33" i="30"/>
  <c r="J16" i="1" s="1"/>
  <c r="I16" i="1" s="1"/>
  <c r="R56" i="2"/>
  <c r="Q56" i="2" s="1"/>
  <c r="E47" i="3"/>
  <c r="R65" i="2"/>
  <c r="Q65" i="2" s="1"/>
  <c r="C33" i="29"/>
  <c r="F33" i="4"/>
  <c r="H33" i="28"/>
  <c r="J10" i="1" s="1"/>
  <c r="I10" i="1" s="1"/>
  <c r="R47" i="2"/>
  <c r="Q47" i="2" s="1"/>
  <c r="N49" i="2"/>
  <c r="R73" i="2"/>
  <c r="Q73" i="2" s="1"/>
  <c r="R37" i="2"/>
  <c r="Q37" i="2" s="1"/>
  <c r="I14" i="2"/>
  <c r="D33" i="32"/>
  <c r="I33" i="27"/>
  <c r="J14" i="1" s="1"/>
  <c r="I14" i="1" s="1"/>
  <c r="D33" i="27"/>
  <c r="C33" i="28"/>
  <c r="H36" i="25"/>
  <c r="J12" i="1" s="1"/>
  <c r="I12" i="1" s="1"/>
  <c r="H18" i="2"/>
  <c r="R40" i="2"/>
  <c r="Q40" i="2" s="1"/>
  <c r="N54" i="2"/>
  <c r="P30" i="2"/>
  <c r="G14" i="2"/>
  <c r="H14" i="2" s="1"/>
  <c r="H9" i="2"/>
  <c r="F36" i="25"/>
  <c r="E12" i="1" s="1"/>
  <c r="F33" i="32"/>
  <c r="G9" i="32"/>
  <c r="D36" i="25"/>
  <c r="R45" i="2"/>
  <c r="Q45" i="2" s="1"/>
  <c r="R22" i="2"/>
  <c r="Q22" i="2" s="1"/>
  <c r="R31" i="2"/>
  <c r="Q31" i="2" s="1"/>
  <c r="R29" i="2"/>
  <c r="Q29" i="2" s="1"/>
  <c r="F33" i="26"/>
  <c r="G9" i="26"/>
  <c r="H33" i="26"/>
  <c r="J15" i="1" s="1"/>
  <c r="I15" i="1" s="1"/>
  <c r="T14" i="2"/>
  <c r="O14" i="2"/>
  <c r="P14" i="2" s="1"/>
  <c r="D33" i="29"/>
  <c r="E13" i="1" s="1"/>
  <c r="D33" i="26"/>
  <c r="E33" i="26" s="1"/>
  <c r="E33" i="27"/>
  <c r="C14" i="1" s="1"/>
  <c r="P18" i="2"/>
  <c r="O23" i="2"/>
  <c r="P23" i="2" s="1"/>
  <c r="R74" i="2"/>
  <c r="Q74" i="2" s="1"/>
  <c r="R11" i="2"/>
  <c r="Q11" i="2" s="1"/>
  <c r="R66" i="2"/>
  <c r="Q66" i="2" s="1"/>
  <c r="N66" i="2"/>
  <c r="R72" i="2"/>
  <c r="Q72" i="2" s="1"/>
  <c r="L14" i="2"/>
  <c r="U11" i="2" s="1"/>
  <c r="N48" i="2"/>
  <c r="R48" i="2"/>
  <c r="Q48" i="2" s="1"/>
  <c r="R21" i="2"/>
  <c r="Q21" i="2" s="1"/>
  <c r="N21" i="2"/>
  <c r="R64" i="2"/>
  <c r="Q64" i="2" s="1"/>
  <c r="N64" i="2"/>
  <c r="F33" i="30"/>
  <c r="E16" i="1" s="1"/>
  <c r="F16" i="1" s="1"/>
  <c r="D33" i="30"/>
  <c r="R20" i="2"/>
  <c r="Q20" i="2" s="1"/>
  <c r="T23" i="2"/>
  <c r="S18" i="2"/>
  <c r="D33" i="28"/>
  <c r="J23" i="2"/>
  <c r="K23" i="2" s="1"/>
  <c r="M14" i="2"/>
  <c r="N14" i="2" s="1"/>
  <c r="F33" i="28"/>
  <c r="E10" i="1" s="1"/>
  <c r="F10" i="1" s="1"/>
  <c r="C33" i="30"/>
  <c r="R9" i="2"/>
  <c r="Q9" i="2" s="1"/>
  <c r="C33" i="26"/>
  <c r="N10" i="2"/>
  <c r="R10" i="2"/>
  <c r="Q10" i="2" s="1"/>
  <c r="R12" i="2"/>
  <c r="Q12" i="2" s="1"/>
  <c r="N12" i="2"/>
  <c r="R63" i="2"/>
  <c r="Q63" i="2" s="1"/>
  <c r="G33" i="27"/>
  <c r="R76" i="2"/>
  <c r="Q76" i="2" s="1"/>
  <c r="C33" i="32"/>
  <c r="N39" i="2"/>
  <c r="R39" i="2"/>
  <c r="Q39" i="2" s="1"/>
  <c r="J14" i="2"/>
  <c r="K14" i="2" s="1"/>
  <c r="K9" i="2"/>
  <c r="L23" i="2"/>
  <c r="U22" i="2" s="1"/>
  <c r="R75" i="2"/>
  <c r="Q75" i="2" s="1"/>
  <c r="D11" i="1"/>
  <c r="G8" i="1"/>
  <c r="G33" i="32" l="1"/>
  <c r="E17" i="1"/>
  <c r="F17" i="1" s="1"/>
  <c r="E33" i="32"/>
  <c r="C17" i="1"/>
  <c r="H11" i="1"/>
  <c r="L11" i="1" s="1"/>
  <c r="K11" i="1" s="1"/>
  <c r="U9" i="2"/>
  <c r="U29" i="2"/>
  <c r="U32" i="2" s="1"/>
  <c r="R41" i="2"/>
  <c r="Q41" i="2" s="1"/>
  <c r="R32" i="2"/>
  <c r="Q32" i="2" s="1"/>
  <c r="U12" i="2"/>
  <c r="U13" i="2"/>
  <c r="U21" i="2"/>
  <c r="U10" i="2"/>
  <c r="U20" i="2"/>
  <c r="G33" i="28"/>
  <c r="F33" i="27"/>
  <c r="E33" i="29"/>
  <c r="C15" i="1"/>
  <c r="D15" i="1" s="1"/>
  <c r="G36" i="25"/>
  <c r="R23" i="2"/>
  <c r="Q23" i="2" s="1"/>
  <c r="C16" i="1"/>
  <c r="E33" i="30"/>
  <c r="E15" i="1"/>
  <c r="F15" i="1" s="1"/>
  <c r="G33" i="26"/>
  <c r="E36" i="25"/>
  <c r="C12" i="1"/>
  <c r="D12" i="1" s="1"/>
  <c r="R14" i="2"/>
  <c r="Q14" i="2" s="1"/>
  <c r="H33" i="27"/>
  <c r="E14" i="1"/>
  <c r="F14" i="1" s="1"/>
  <c r="E33" i="28"/>
  <c r="C10" i="1"/>
  <c r="G33" i="30"/>
  <c r="S23" i="2"/>
  <c r="J9" i="1"/>
  <c r="I9" i="1" s="1"/>
  <c r="L9" i="1" s="1"/>
  <c r="K9" i="1" s="1"/>
  <c r="S14" i="2"/>
  <c r="J8" i="1"/>
  <c r="D14" i="1"/>
  <c r="H13" i="1"/>
  <c r="F13" i="1"/>
  <c r="F12" i="1"/>
  <c r="G11" i="1" l="1"/>
  <c r="U23" i="2"/>
  <c r="U14" i="2"/>
  <c r="H17" i="1"/>
  <c r="D17" i="1"/>
  <c r="H15" i="1"/>
  <c r="G15" i="1" s="1"/>
  <c r="H12" i="1"/>
  <c r="G12" i="1" s="1"/>
  <c r="H10" i="1"/>
  <c r="D10" i="1"/>
  <c r="E19" i="1"/>
  <c r="H20" i="23" s="1"/>
  <c r="I20" i="23" s="1"/>
  <c r="L8" i="1"/>
  <c r="K8" i="1" s="1"/>
  <c r="J19" i="1"/>
  <c r="I8" i="1"/>
  <c r="H14" i="1"/>
  <c r="L14" i="1" s="1"/>
  <c r="K14" i="1" s="1"/>
  <c r="C19" i="1"/>
  <c r="D19" i="1" s="1"/>
  <c r="D16" i="1"/>
  <c r="H16" i="1"/>
  <c r="G13" i="1"/>
  <c r="L13" i="1"/>
  <c r="K13" i="1" s="1"/>
  <c r="G17" i="1" l="1"/>
  <c r="L17" i="1"/>
  <c r="K17" i="1" s="1"/>
  <c r="L15" i="1"/>
  <c r="K15" i="1" s="1"/>
  <c r="L12" i="1"/>
  <c r="H22" i="23"/>
  <c r="I22" i="23" s="1"/>
  <c r="F19" i="1"/>
  <c r="H11" i="23"/>
  <c r="I11" i="23" s="1"/>
  <c r="H21" i="23"/>
  <c r="I21" i="23" s="1"/>
  <c r="G14" i="1"/>
  <c r="H9" i="23"/>
  <c r="I9" i="23" s="1"/>
  <c r="H10" i="23"/>
  <c r="I10" i="23" s="1"/>
  <c r="O17" i="1"/>
  <c r="O18" i="1" s="1"/>
  <c r="I19" i="1"/>
  <c r="L16" i="1"/>
  <c r="K16" i="1" s="1"/>
  <c r="G16" i="1"/>
  <c r="Q10" i="1"/>
  <c r="Q11" i="1" s="1"/>
  <c r="Q17" i="1"/>
  <c r="Q18" i="1" s="1"/>
  <c r="H19" i="1"/>
  <c r="P17" i="1" s="1"/>
  <c r="P18" i="1" s="1"/>
  <c r="R10" i="1"/>
  <c r="R11" i="1" s="1"/>
  <c r="G10" i="1"/>
  <c r="L10" i="1"/>
  <c r="K10" i="1" s="1"/>
  <c r="K12" i="1"/>
  <c r="I27" i="23" l="1"/>
  <c r="L38" i="1" s="1"/>
  <c r="K38" i="1" s="1"/>
  <c r="I16" i="23"/>
  <c r="L37" i="1" s="1"/>
  <c r="K37" i="1" s="1"/>
  <c r="G19" i="1"/>
  <c r="L19" i="1"/>
  <c r="L20" i="1" s="1"/>
  <c r="L42" i="1" l="1"/>
  <c r="K42" i="1" s="1"/>
  <c r="K19" i="1"/>
  <c r="R17" i="1"/>
  <c r="R18" i="1" s="1"/>
  <c r="K20" i="1"/>
  <c r="L21" i="1"/>
  <c r="K21" i="1" s="1"/>
  <c r="L44" i="1" l="1"/>
  <c r="L46" i="1" s="1"/>
  <c r="K46" i="1" s="1"/>
</calcChain>
</file>

<file path=xl/connections.xml><?xml version="1.0" encoding="utf-8"?>
<connections xmlns="http://schemas.openxmlformats.org/spreadsheetml/2006/main">
  <connection id="1" name="SM-EST-Accessories" type="6" refreshedVersion="6" background="1" saveData="1">
    <textPr prompt="0" codePage="437" sourceFile="C:\Autodesk Fabrication\DataExports\SM-EST-Accessories.TXT" tab="0" comma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SM-EST-Ancillaries" type="6" refreshedVersion="6" background="1" saveData="1">
    <textPr prompt="0" codePage="437" sourceFile="C:\Autodesk Fabrication\DataExports\SM-EST-Ancillaries.TXT" tab="0" comma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SM-EST-Dampers" type="6" refreshedVersion="6" background="1" saveData="1">
    <textPr prompt="0" codePage="437" sourceFile="C:\Autodesk Fabrication\DataExports\SM-EST-Dampers.TXT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SM-EST-Duct" type="6" refreshedVersion="6" background="1" saveData="1">
    <textPr prompt="0" codePage="437" sourceFile="C:\Autodesk Fabrication\DataExports\SM-EST-Duct.TXT" tab="0" comma="1">
      <textFields count="2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SM-EST-Equipment" type="6" refreshedVersion="6" background="1" saveData="1">
    <textPr prompt="0" codePage="437" sourceFile="C:\Autodesk Fabrication\DataExports\SM-EST-Equipment.TXT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SM-EST-Flex Duct" type="6" refreshedVersion="6" background="1" saveData="1">
    <textPr prompt="0" codePage="437" sourceFile="C:\Autodesk Fabrication\DataExports\SM-EST-Flex Duct.TXT" tab="0" comma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SM-EST-GRDs" type="6" refreshedVersion="6" background="1" saveData="1">
    <textPr prompt="0" codePage="437" sourceFile="C:\Autodesk Fabrication\DataExports\SM-EST-GRDs.TXT" tab="0" comma="1">
      <textFields count="1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SM-EST-Hangers" type="6" refreshedVersion="6" background="1" saveData="1">
    <textPr prompt="0" codePage="437" sourceFile="C:\Autodesk Fabrication\DataExports\SM-EST-Hangers.TXT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SM-EST-Insulation" type="6" refreshedVersion="6" background="1" saveData="1">
    <textPr prompt="0" codePage="1257" sourceFile="C:\Autodesk Fabrication\DataExports\SM-EST-Insulation.TXT" tab="0" comma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SM-EST-Job Info" type="6" refreshedVersion="6" background="1" saveData="1">
    <textPr prompt="0" codePage="437" sourceFile="C:\Autodesk Fabrication\DataExports\SM-EST-Job Info.TXT" tab="0" comma="1">
      <textFields count="4">
        <textField/>
        <textField/>
        <textField/>
        <textField/>
      </textFields>
    </textPr>
  </connection>
  <connection id="11" name="SM-EST-Sleeves" type="6" refreshedVersion="6" background="1" saveData="1">
    <textPr prompt="0" codePage="437" sourceFile="C:\Autodesk Fabrication\DataExports\SM-EST-Sleeves.TXT" tab="0" comma="1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<sst xmlns="http://schemas.openxmlformats.org/spreadsheetml/2006/main" count="579" uniqueCount="137">
  <si>
    <t>TOTAL</t>
  </si>
  <si>
    <t>Ductwork</t>
  </si>
  <si>
    <t>Ductwork - Manufactured</t>
  </si>
  <si>
    <t>Ductwork - Bought Out</t>
  </si>
  <si>
    <t>Ancillaries</t>
  </si>
  <si>
    <t>Hangers</t>
  </si>
  <si>
    <t>Equipment</t>
  </si>
  <si>
    <t>Accessories</t>
  </si>
  <si>
    <t>Flex Duct</t>
  </si>
  <si>
    <t>Air Distribution</t>
  </si>
  <si>
    <t>Dampers</t>
  </si>
  <si>
    <t>Subtotal</t>
  </si>
  <si>
    <t>LABOR COST</t>
  </si>
  <si>
    <t>MATERIAL COST</t>
  </si>
  <si>
    <t>Estimating Summary</t>
  </si>
  <si>
    <t>Esitmator:</t>
  </si>
  <si>
    <t>Esitmate No.</t>
  </si>
  <si>
    <t>Bought Out</t>
  </si>
  <si>
    <t>Fittings</t>
  </si>
  <si>
    <t>Yes</t>
  </si>
  <si>
    <t>No</t>
  </si>
  <si>
    <t>Rectangular Duct</t>
  </si>
  <si>
    <t>Machine Cut</t>
  </si>
  <si>
    <t>Straights</t>
  </si>
  <si>
    <t>Decoiled Straight</t>
  </si>
  <si>
    <t>Round Duct</t>
  </si>
  <si>
    <t>Rectangular Straights (full)</t>
  </si>
  <si>
    <t>Rectangular Straights (short)</t>
  </si>
  <si>
    <t>Rectangular Fittings</t>
  </si>
  <si>
    <t>Round Straights</t>
  </si>
  <si>
    <t>Round Fittings</t>
  </si>
  <si>
    <t>Fabricated</t>
  </si>
  <si>
    <t>*</t>
  </si>
  <si>
    <t>Other Cost</t>
  </si>
  <si>
    <t>Subcontracts</t>
  </si>
  <si>
    <t>Rentals</t>
  </si>
  <si>
    <t>Management</t>
  </si>
  <si>
    <t>Misc.</t>
  </si>
  <si>
    <t>Rate</t>
  </si>
  <si>
    <t>Shop Labor</t>
  </si>
  <si>
    <t>Field Labor</t>
  </si>
  <si>
    <t>Project Management</t>
  </si>
  <si>
    <t>Supervision</t>
  </si>
  <si>
    <t>Administration</t>
  </si>
  <si>
    <t>Detail/Coordination</t>
  </si>
  <si>
    <t>Material Handling</t>
  </si>
  <si>
    <t>Saftey</t>
  </si>
  <si>
    <t>Total</t>
  </si>
  <si>
    <t>Cost</t>
  </si>
  <si>
    <t>Qty/ft</t>
  </si>
  <si>
    <t>Description</t>
  </si>
  <si>
    <t>%</t>
  </si>
  <si>
    <t>Tag</t>
  </si>
  <si>
    <t>SHOP LABOR</t>
  </si>
  <si>
    <t>FIELD LABOR</t>
  </si>
  <si>
    <t>Other Costs</t>
  </si>
  <si>
    <t>Labor</t>
  </si>
  <si>
    <t>Balancing</t>
  </si>
  <si>
    <t>Controls</t>
  </si>
  <si>
    <t>Coring</t>
  </si>
  <si>
    <t>Excavation</t>
  </si>
  <si>
    <t>Fire Stop</t>
  </si>
  <si>
    <t>Insulation</t>
  </si>
  <si>
    <t>Paint</t>
  </si>
  <si>
    <t>Barricades</t>
  </si>
  <si>
    <t>Crane</t>
  </si>
  <si>
    <t>Fork Lift</t>
  </si>
  <si>
    <t>Job Office Trailers</t>
  </si>
  <si>
    <t>Job Storage Trailers</t>
  </si>
  <si>
    <t>Man Lift</t>
  </si>
  <si>
    <t>Shoring</t>
  </si>
  <si>
    <t>% of total field hrs =</t>
  </si>
  <si>
    <t>Administrative Costs</t>
  </si>
  <si>
    <t>Method</t>
  </si>
  <si>
    <t>Hours</t>
  </si>
  <si>
    <t>Detailing/Coordination</t>
  </si>
  <si>
    <t>Safety</t>
  </si>
  <si>
    <t>Field Support</t>
  </si>
  <si>
    <t>Travel</t>
  </si>
  <si>
    <t>Over Time Labor</t>
  </si>
  <si>
    <t>Start-Up</t>
  </si>
  <si>
    <t>Project Total</t>
  </si>
  <si>
    <t>Sales Tax</t>
  </si>
  <si>
    <t>Markup</t>
  </si>
  <si>
    <t>CONTRACTOR</t>
  </si>
  <si>
    <t>% of TOTAL</t>
  </si>
  <si>
    <t>WEIGHT</t>
  </si>
  <si>
    <t>LENGTH</t>
  </si>
  <si>
    <t>AREA</t>
  </si>
  <si>
    <t>PIECES</t>
  </si>
  <si>
    <t>Qty</t>
  </si>
  <si>
    <t>Material</t>
  </si>
  <si>
    <t>multipliers</t>
  </si>
  <si>
    <t>Each ($)</t>
  </si>
  <si>
    <t>Subtotal ($)</t>
  </si>
  <si>
    <t>Overall Profit Margin</t>
  </si>
  <si>
    <t>Ductwork Accessories Summary</t>
  </si>
  <si>
    <t>Ductwork Ancillary Summary</t>
  </si>
  <si>
    <t>Equipment Summary</t>
  </si>
  <si>
    <t>Ductwork Summary</t>
  </si>
  <si>
    <t>Air Distribution Summary</t>
  </si>
  <si>
    <t>EST</t>
  </si>
  <si>
    <t>Service Type</t>
  </si>
  <si>
    <t>Cut Type</t>
  </si>
  <si>
    <t>Fitting Type</t>
  </si>
  <si>
    <t>Category</t>
  </si>
  <si>
    <t>Mat</t>
  </si>
  <si>
    <t>Fab</t>
  </si>
  <si>
    <t>Install</t>
  </si>
  <si>
    <t>Manufactured</t>
  </si>
  <si>
    <t>Group</t>
  </si>
  <si>
    <t>Rect Straights</t>
  </si>
  <si>
    <t>Rect Fittings</t>
  </si>
  <si>
    <t>Round Pipes</t>
  </si>
  <si>
    <t>Oval Fittings</t>
  </si>
  <si>
    <t>*Generic HVAC Equipment*</t>
  </si>
  <si>
    <t>Generic</t>
  </si>
  <si>
    <t>HVAC - Manufactures</t>
  </si>
  <si>
    <t>Mechanical - Manufactures</t>
  </si>
  <si>
    <t>Miscellaneous</t>
  </si>
  <si>
    <t>Sleeves</t>
  </si>
  <si>
    <t>Hanger Summary</t>
  </si>
  <si>
    <t>Damper Summary</t>
  </si>
  <si>
    <t>Flex Duct Summary</t>
  </si>
  <si>
    <t>Sleeve Summary</t>
  </si>
  <si>
    <t>Field</t>
  </si>
  <si>
    <t>Value</t>
  </si>
  <si>
    <t>Tax Rate</t>
  </si>
  <si>
    <t>difference</t>
  </si>
  <si>
    <r>
      <t xml:space="preserve">Labor </t>
    </r>
    <r>
      <rPr>
        <b/>
        <sz val="11"/>
        <color theme="0" tint="-0.499984740745262"/>
        <rFont val="Calibri"/>
        <family val="2"/>
        <scheme val="minor"/>
      </rPr>
      <t>($)</t>
    </r>
  </si>
  <si>
    <r>
      <t xml:space="preserve">Labor </t>
    </r>
    <r>
      <rPr>
        <b/>
        <sz val="11"/>
        <color theme="0" tint="-0.499984740745262"/>
        <rFont val="Calibri"/>
        <family val="2"/>
        <scheme val="minor"/>
      </rPr>
      <t>(hrs)</t>
    </r>
  </si>
  <si>
    <t>summary sheet</t>
  </si>
  <si>
    <r>
      <t>Total</t>
    </r>
    <r>
      <rPr>
        <b/>
        <sz val="11"/>
        <color theme="0" tint="-0.499984740745262"/>
        <rFont val="Calibri"/>
        <family val="2"/>
        <scheme val="minor"/>
      </rPr>
      <t xml:space="preserve"> ($)</t>
    </r>
  </si>
  <si>
    <t>Subcontract Markup</t>
  </si>
  <si>
    <t>Profit Margin</t>
  </si>
  <si>
    <t>Insulation Summary</t>
  </si>
  <si>
    <t>Qty (sq ft)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</si>
</sst>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2">
    <numFmt numFmtId="8" formatCode="&quot;$&quot;#,##0.00_);[Red]\(&quot;$&quot;#,##0.00\)"/>
    <numFmt numFmtId="44" formatCode="_(&quot;$&quot;* #,##0.00_);_(&quot;$&quot;* \(#,##0.00\);_(&quot;$&quot;* &quot;-&quot;??_);_(@_)"/>
    <numFmt numFmtId="164" formatCode="#,###&quot; hrs&quot;;;&quot;&quot;"/>
    <numFmt numFmtId="165" formatCode="_(&quot;$&quot;* #,##0_);;&quot;&quot;"/>
    <numFmt numFmtId="166" formatCode="#,###;;&quot;&quot;"/>
    <numFmt numFmtId="167" formatCode="#,###&quot; lbs&quot;;;;@"/>
    <numFmt numFmtId="168" formatCode="#,###&quot; lbs&quot;;;&quot;&quot;;@"/>
    <numFmt numFmtId="169" formatCode="#,###\ \f\t\²;;;@"/>
    <numFmt numFmtId="170" formatCode="0;;&quot;&quot;;@"/>
    <numFmt numFmtId="171" formatCode="h:mm;@"/>
    <numFmt numFmtId="172" formatCode="0\';;&quot;&quot;"/>
    <numFmt numFmtId="173" formatCode="[h]:mm:ss;@"/>
    <numFmt numFmtId="174" formatCode="[h]&quot; hrs&quot;;;&quot;&quot;"/>
    <numFmt numFmtId="175" formatCode="#,##0.000"/>
    <numFmt numFmtId="176" formatCode="&quot;$&quot;#,##0.00"/>
    <numFmt numFmtId="177" formatCode="#,##0;;&quot;&quot;"/>
    <numFmt numFmtId="178" formatCode="&quot;$&quot;#,##0"/>
    <numFmt numFmtId="179" formatCode="0;0;;@"/>
    <numFmt numFmtId="180" formatCode="0.00;0.00;;@"/>
    <numFmt numFmtId="181" formatCode="0.0%"/>
    <numFmt numFmtId="182" formatCode="#,##0.00;;&quot;&quot;"/>
    <numFmt numFmtId="183" formatCode="#,##0.0"/>
  </numFmts>
  <fonts count="22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1"/>
      <color theme="0" tint="-0.34998626667073579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-0.24994659260841701"/>
        <bgColor theme="0"/>
      </patternFill>
    </fill>
    <fill>
      <patternFill patternType="solid">
        <fgColor theme="9" tint="-0.24994659260841701"/>
        <bgColor indexed="64"/>
      </patternFill>
    </fill>
    <fill>
      <patternFill patternType="solid">
        <fgColor theme="9" tint="0.79998168889431442"/>
        <bgColor theme="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5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9" tint="-0.499984740745262"/>
      </left>
      <right style="thin">
        <color theme="9" tint="0.39994506668294322"/>
      </right>
      <top style="thin">
        <color theme="9" tint="-0.499984740745262"/>
      </top>
      <bottom style="thin">
        <color rgb="FFECF5E7"/>
      </bottom>
      <diagonal/>
    </border>
    <border>
      <left/>
      <right/>
      <top style="thin">
        <color theme="9" tint="-0.499984740745262"/>
      </top>
      <bottom/>
      <diagonal/>
    </border>
    <border>
      <left/>
      <right style="thin">
        <color theme="9" tint="-0.499984740745262"/>
      </right>
      <top style="thin">
        <color theme="9" tint="-0.499984740745262"/>
      </top>
      <bottom/>
      <diagonal/>
    </border>
    <border>
      <left/>
      <right/>
      <top style="thin">
        <color theme="9" tint="0.79995117038483843"/>
      </top>
      <bottom/>
      <diagonal/>
    </border>
    <border>
      <left/>
      <right style="thin">
        <color theme="9" tint="-0.499984740745262"/>
      </right>
      <top style="thin">
        <color theme="9" tint="0.79995117038483843"/>
      </top>
      <bottom/>
      <diagonal/>
    </border>
    <border>
      <left/>
      <right/>
      <top style="thin">
        <color theme="9" tint="0.79998168889431442"/>
      </top>
      <bottom/>
      <diagonal/>
    </border>
    <border>
      <left/>
      <right style="thin">
        <color theme="9" tint="-0.499984740745262"/>
      </right>
      <top style="thin">
        <color theme="9" tint="0.79998168889431442"/>
      </top>
      <bottom/>
      <diagonal/>
    </border>
    <border>
      <left style="thin">
        <color theme="9" tint="-0.499984740745262"/>
      </left>
      <right/>
      <top style="thin">
        <color theme="9" tint="-0.499984740745262"/>
      </top>
      <bottom/>
      <diagonal/>
    </border>
    <border>
      <left style="thin">
        <color theme="9" tint="0.39994506668294322"/>
      </left>
      <right/>
      <top style="thin">
        <color theme="9" tint="-0.499984740745262"/>
      </top>
      <bottom/>
      <diagonal/>
    </border>
    <border>
      <left style="thin">
        <color theme="9" tint="-0.499984740745262"/>
      </left>
      <right/>
      <top style="thin">
        <color rgb="FFECF5E7"/>
      </top>
      <bottom/>
      <diagonal/>
    </border>
    <border>
      <left style="thin">
        <color theme="9" tint="0.39994506668294322"/>
      </left>
      <right/>
      <top style="thin">
        <color theme="9" tint="0.79995117038483843"/>
      </top>
      <bottom/>
      <diagonal/>
    </border>
    <border>
      <left style="thin">
        <color theme="9" tint="0.39994506668294322"/>
      </left>
      <right/>
      <top style="thin">
        <color theme="9" tint="0.79998168889431442"/>
      </top>
      <bottom/>
      <diagonal/>
    </border>
    <border>
      <left style="thin">
        <color theme="9" tint="-0.499984740745262"/>
      </left>
      <right/>
      <top style="thin">
        <color theme="9" tint="0.39994506668294322"/>
      </top>
      <bottom style="thin">
        <color theme="9" tint="-0.499984740745262"/>
      </bottom>
      <diagonal/>
    </border>
    <border>
      <left style="thin">
        <color theme="9" tint="0.79998168889431442"/>
      </left>
      <right/>
      <top style="thin">
        <color theme="9" tint="0.39994506668294322"/>
      </top>
      <bottom style="thin">
        <color theme="9" tint="-0.499984740745262"/>
      </bottom>
      <diagonal/>
    </border>
    <border>
      <left style="thin">
        <color theme="9" tint="0.39994506668294322"/>
      </left>
      <right/>
      <top style="thin">
        <color theme="9" tint="-0.499984740745262"/>
      </top>
      <bottom style="thin">
        <color theme="9" tint="0.79995117038483843"/>
      </bottom>
      <diagonal/>
    </border>
    <border>
      <left/>
      <right/>
      <top style="thin">
        <color theme="9" tint="-0.499984740745262"/>
      </top>
      <bottom style="thin">
        <color theme="9" tint="0.79995117038483843"/>
      </bottom>
      <diagonal/>
    </border>
    <border>
      <left/>
      <right/>
      <top style="thin">
        <color theme="9" tint="0.39994506668294322"/>
      </top>
      <bottom style="thin">
        <color theme="9" tint="-0.499984740745262"/>
      </bottom>
      <diagonal/>
    </border>
    <border>
      <left/>
      <right style="thin">
        <color theme="9" tint="-0.499984740745262"/>
      </right>
      <top style="thin">
        <color theme="9" tint="0.39994506668294322"/>
      </top>
      <bottom style="thin">
        <color theme="9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4.9989318521683403E-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4.9989318521683403E-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9" tint="0.39994506668294322"/>
      </left>
      <right/>
      <top style="thin">
        <color theme="9" tint="0.79995117038483843"/>
      </top>
      <bottom style="thin">
        <color theme="9" tint="0.79998168889431442"/>
      </bottom>
      <diagonal/>
    </border>
    <border>
      <left/>
      <right/>
      <top style="thin">
        <color theme="9" tint="0.79995117038483843"/>
      </top>
      <bottom style="thin">
        <color theme="9" tint="0.79998168889431442"/>
      </bottom>
      <diagonal/>
    </border>
    <border>
      <left style="thin">
        <color theme="9" tint="0.39994506668294322"/>
      </left>
      <right/>
      <top style="thin">
        <color theme="9" tint="0.79998168889431442"/>
      </top>
      <bottom style="thin">
        <color theme="9" tint="0.79995117038483843"/>
      </bottom>
      <diagonal/>
    </border>
    <border>
      <left/>
      <right/>
      <top style="thin">
        <color theme="9" tint="0.79998168889431442"/>
      </top>
      <bottom style="thin">
        <color theme="9" tint="0.79995117038483843"/>
      </bottom>
      <diagonal/>
    </border>
    <border>
      <left/>
      <right/>
      <top style="thin">
        <color theme="9" tint="0.39991454817346722"/>
      </top>
      <bottom style="thin">
        <color theme="9" tint="0.39988402966399123"/>
      </bottom>
      <diagonal/>
    </border>
    <border>
      <left/>
      <right style="thin">
        <color theme="9" tint="-0.499984740745262"/>
      </right>
      <top style="thin">
        <color theme="9" tint="0.39991454817346722"/>
      </top>
      <bottom style="thin">
        <color theme="9" tint="0.39988402966399123"/>
      </bottom>
      <diagonal/>
    </border>
    <border>
      <left style="thin">
        <color theme="9" tint="-0.499984740745262"/>
      </left>
      <right/>
      <top style="thin">
        <color theme="9" tint="0.39988402966399123"/>
      </top>
      <bottom style="thin">
        <color theme="9" tint="0.39988402966399123"/>
      </bottom>
      <diagonal/>
    </border>
    <border>
      <left/>
      <right style="thin">
        <color theme="9" tint="-0.499984740745262"/>
      </right>
      <top style="thin">
        <color theme="9" tint="0.39988402966399123"/>
      </top>
      <bottom style="thin">
        <color theme="9" tint="0.39988402966399123"/>
      </bottom>
      <diagonal/>
    </border>
    <border>
      <left style="thin">
        <color theme="9" tint="-0.499984740745262"/>
      </left>
      <right/>
      <top style="thin">
        <color theme="9" tint="0.39988402966399123"/>
      </top>
      <bottom style="thin">
        <color theme="9" tint="-0.499984740745262"/>
      </bottom>
      <diagonal/>
    </border>
    <border>
      <left/>
      <right style="thin">
        <color theme="9" tint="-0.499984740745262"/>
      </right>
      <top style="thin">
        <color theme="9" tint="0.39988402966399123"/>
      </top>
      <bottom style="thin">
        <color theme="9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4506668294322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theme="9" tint="0.39994506668294322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9" tint="0.39994506668294322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n">
        <color indexed="64"/>
      </left>
      <right style="thin">
        <color theme="9" tint="0.39994506668294322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9" tint="0.39994506668294322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9" tint="0.39994506668294322"/>
      </right>
      <top style="thin">
        <color theme="0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9" tint="0.39994506668294322"/>
      </left>
      <right/>
      <top style="thin">
        <color theme="9" tint="0.79998168889431442"/>
      </top>
      <bottom style="thin">
        <color theme="9" tint="0.79998168889431442"/>
      </bottom>
      <diagonal/>
    </border>
    <border>
      <left/>
      <right/>
      <top style="thin">
        <color theme="9" tint="0.79998168889431442"/>
      </top>
      <bottom style="thin">
        <color theme="9" tint="0.79998168889431442"/>
      </bottom>
      <diagonal/>
    </border>
    <border>
      <left/>
      <right style="thin">
        <color theme="9" tint="-0.499984740745262"/>
      </right>
      <top style="thin">
        <color theme="9" tint="0.79998168889431442"/>
      </top>
      <bottom style="thin">
        <color theme="9" tint="0.79998168889431442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0" borderId="0" applyNumberForma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256">
    <xf numFmtId="0" fontId="0" fillId="0" borderId="0" xfId="0"/>
    <xf numFmtId="0" fontId="0" fillId="0" borderId="0" xfId="0" applyAlignment="1">
      <alignment horizontal="right" indent="1"/>
    </xf>
    <xf numFmtId="0" fontId="2" fillId="0" borderId="1" xfId="2"/>
    <xf numFmtId="0" fontId="3" fillId="0" borderId="0" xfId="3" applyAlignment="1"/>
    <xf numFmtId="0" fontId="0" fillId="0" borderId="0" xfId="0" applyAlignment="1">
      <alignment horizontal="left"/>
    </xf>
    <xf numFmtId="0" fontId="5" fillId="0" borderId="0" xfId="0" applyFont="1" applyAlignment="1">
      <alignment horizontal="right"/>
    </xf>
    <xf numFmtId="0" fontId="1" fillId="0" borderId="0" xfId="1"/>
    <xf numFmtId="166" fontId="0" fillId="0" borderId="0" xfId="0" applyNumberFormat="1" applyAlignment="1">
      <alignment horizontal="right" indent="1"/>
    </xf>
    <xf numFmtId="0" fontId="0" fillId="0" borderId="0" xfId="0" applyNumberFormat="1"/>
    <xf numFmtId="14" fontId="4" fillId="0" borderId="0" xfId="0" applyNumberFormat="1" applyFont="1" applyAlignment="1">
      <alignment horizontal="left"/>
    </xf>
    <xf numFmtId="44" fontId="0" fillId="0" borderId="0" xfId="4" applyFont="1"/>
    <xf numFmtId="0" fontId="7" fillId="0" borderId="0" xfId="0" applyFont="1"/>
    <xf numFmtId="0" fontId="8" fillId="2" borderId="2" xfId="0" applyFont="1" applyFill="1" applyBorder="1"/>
    <xf numFmtId="0" fontId="9" fillId="3" borderId="0" xfId="0" applyFont="1" applyFill="1"/>
    <xf numFmtId="0" fontId="9" fillId="3" borderId="3" xfId="0" applyFont="1" applyFill="1" applyBorder="1" applyAlignment="1">
      <alignment horizontal="right" indent="1"/>
    </xf>
    <xf numFmtId="167" fontId="0" fillId="0" borderId="0" xfId="0" applyNumberFormat="1"/>
    <xf numFmtId="44" fontId="0" fillId="0" borderId="0" xfId="4" applyFont="1" applyAlignment="1">
      <alignment horizontal="right" indent="1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right" indent="1"/>
    </xf>
    <xf numFmtId="0" fontId="2" fillId="0" borderId="1" xfId="2" applyAlignment="1">
      <alignment horizontal="right" indent="1"/>
    </xf>
    <xf numFmtId="0" fontId="0" fillId="0" borderId="0" xfId="0" applyAlignment="1">
      <alignment horizontal="right"/>
    </xf>
    <xf numFmtId="44" fontId="0" fillId="0" borderId="0" xfId="0" applyNumberFormat="1" applyFont="1" applyAlignment="1">
      <alignment horizontal="right" indent="1"/>
    </xf>
    <xf numFmtId="4" fontId="0" fillId="0" borderId="0" xfId="0" applyNumberFormat="1" applyAlignment="1">
      <alignment horizontal="right" indent="1"/>
    </xf>
    <xf numFmtId="0" fontId="10" fillId="3" borderId="3" xfId="0" applyFont="1" applyFill="1" applyBorder="1" applyAlignment="1">
      <alignment horizontal="right" indent="1"/>
    </xf>
    <xf numFmtId="0" fontId="8" fillId="2" borderId="9" xfId="0" applyFont="1" applyFill="1" applyBorder="1"/>
    <xf numFmtId="0" fontId="10" fillId="3" borderId="10" xfId="0" applyFont="1" applyFill="1" applyBorder="1" applyAlignment="1">
      <alignment horizontal="right" indent="1"/>
    </xf>
    <xf numFmtId="0" fontId="11" fillId="4" borderId="11" xfId="0" applyFont="1" applyFill="1" applyBorder="1"/>
    <xf numFmtId="0" fontId="11" fillId="6" borderId="14" xfId="0" applyFont="1" applyFill="1" applyBorder="1"/>
    <xf numFmtId="9" fontId="13" fillId="0" borderId="0" xfId="0" applyNumberFormat="1" applyFont="1" applyAlignment="1"/>
    <xf numFmtId="167" fontId="2" fillId="0" borderId="1" xfId="2" applyNumberFormat="1"/>
    <xf numFmtId="0" fontId="13" fillId="0" borderId="0" xfId="0" applyFont="1"/>
    <xf numFmtId="0" fontId="14" fillId="0" borderId="0" xfId="0" applyFont="1"/>
    <xf numFmtId="0" fontId="12" fillId="0" borderId="0" xfId="0" applyFont="1"/>
    <xf numFmtId="168" fontId="5" fillId="0" borderId="0" xfId="0" applyNumberFormat="1" applyFont="1" applyAlignment="1">
      <alignment horizontal="right"/>
    </xf>
    <xf numFmtId="169" fontId="0" fillId="0" borderId="0" xfId="0" applyNumberFormat="1"/>
    <xf numFmtId="169" fontId="2" fillId="0" borderId="1" xfId="2" applyNumberFormat="1"/>
    <xf numFmtId="170" fontId="0" fillId="0" borderId="0" xfId="0" applyNumberFormat="1" applyAlignment="1">
      <alignment horizontal="right" indent="1"/>
    </xf>
    <xf numFmtId="170" fontId="2" fillId="0" borderId="1" xfId="2" applyNumberFormat="1" applyAlignment="1">
      <alignment horizontal="right" indent="1"/>
    </xf>
    <xf numFmtId="170" fontId="9" fillId="3" borderId="3" xfId="0" applyNumberFormat="1" applyFont="1" applyFill="1" applyBorder="1" applyAlignment="1">
      <alignment horizontal="right" indent="1"/>
    </xf>
    <xf numFmtId="0" fontId="0" fillId="0" borderId="0" xfId="0" applyFont="1"/>
    <xf numFmtId="172" fontId="0" fillId="0" borderId="0" xfId="0" applyNumberFormat="1"/>
    <xf numFmtId="172" fontId="2" fillId="0" borderId="1" xfId="2" applyNumberFormat="1"/>
    <xf numFmtId="172" fontId="0" fillId="0" borderId="0" xfId="0" applyNumberFormat="1" applyAlignment="1">
      <alignment horizontal="right" indent="1"/>
    </xf>
    <xf numFmtId="174" fontId="0" fillId="7" borderId="15" xfId="0" applyNumberFormat="1" applyFill="1" applyBorder="1" applyAlignment="1">
      <alignment horizontal="right" indent="1"/>
    </xf>
    <xf numFmtId="173" fontId="7" fillId="0" borderId="0" xfId="0" applyNumberFormat="1" applyFont="1"/>
    <xf numFmtId="4" fontId="2" fillId="0" borderId="1" xfId="2" applyNumberFormat="1" applyAlignment="1">
      <alignment horizontal="right" indent="1"/>
    </xf>
    <xf numFmtId="4" fontId="9" fillId="3" borderId="4" xfId="0" applyNumberFormat="1" applyFont="1" applyFill="1" applyBorder="1" applyAlignment="1">
      <alignment horizontal="right" indent="1"/>
    </xf>
    <xf numFmtId="175" fontId="0" fillId="0" borderId="0" xfId="0" applyNumberFormat="1" applyAlignment="1">
      <alignment horizontal="right" indent="1"/>
    </xf>
    <xf numFmtId="175" fontId="9" fillId="3" borderId="3" xfId="0" applyNumberFormat="1" applyFont="1" applyFill="1" applyBorder="1" applyAlignment="1">
      <alignment horizontal="right" indent="1"/>
    </xf>
    <xf numFmtId="176" fontId="0" fillId="0" borderId="0" xfId="0" applyNumberFormat="1" applyAlignment="1">
      <alignment horizontal="right" indent="1"/>
    </xf>
    <xf numFmtId="4" fontId="7" fillId="0" borderId="0" xfId="0" applyNumberFormat="1" applyFont="1"/>
    <xf numFmtId="4" fontId="0" fillId="0" borderId="0" xfId="0" applyNumberFormat="1"/>
    <xf numFmtId="3" fontId="0" fillId="0" borderId="0" xfId="0" applyNumberFormat="1" applyAlignment="1">
      <alignment horizontal="right" indent="1"/>
    </xf>
    <xf numFmtId="0" fontId="9" fillId="3" borderId="3" xfId="0" applyFont="1" applyFill="1" applyBorder="1" applyAlignment="1">
      <alignment horizontal="left" indent="1"/>
    </xf>
    <xf numFmtId="167" fontId="15" fillId="0" borderId="0" xfId="0" applyNumberFormat="1" applyFont="1" applyAlignment="1">
      <alignment horizontal="left"/>
    </xf>
    <xf numFmtId="0" fontId="2" fillId="0" borderId="1" xfId="2" applyAlignment="1">
      <alignment horizontal="right"/>
    </xf>
    <xf numFmtId="177" fontId="0" fillId="0" borderId="0" xfId="0" applyNumberFormat="1" applyAlignment="1">
      <alignment horizontal="right"/>
    </xf>
    <xf numFmtId="0" fontId="10" fillId="3" borderId="17" xfId="0" applyFont="1" applyFill="1" applyBorder="1" applyAlignment="1">
      <alignment horizontal="centerContinuous"/>
    </xf>
    <xf numFmtId="164" fontId="15" fillId="0" borderId="5" xfId="0" applyNumberFormat="1" applyFont="1" applyBorder="1" applyAlignment="1">
      <alignment horizontal="left" vertical="center"/>
    </xf>
    <xf numFmtId="0" fontId="10" fillId="3" borderId="3" xfId="0" applyFont="1" applyFill="1" applyBorder="1" applyAlignment="1">
      <alignment horizontal="centerContinuous"/>
    </xf>
    <xf numFmtId="164" fontId="15" fillId="7" borderId="18" xfId="0" applyNumberFormat="1" applyFont="1" applyFill="1" applyBorder="1" applyAlignment="1"/>
    <xf numFmtId="164" fontId="15" fillId="0" borderId="5" xfId="0" applyNumberFormat="1" applyFont="1" applyBorder="1" applyAlignment="1">
      <alignment horizontal="right" vertical="center"/>
    </xf>
    <xf numFmtId="164" fontId="15" fillId="5" borderId="7" xfId="0" applyNumberFormat="1" applyFont="1" applyFill="1" applyBorder="1" applyAlignment="1">
      <alignment horizontal="right" vertical="center"/>
    </xf>
    <xf numFmtId="164" fontId="15" fillId="7" borderId="18" xfId="0" applyNumberFormat="1" applyFont="1" applyFill="1" applyBorder="1" applyAlignment="1">
      <alignment horizontal="right"/>
    </xf>
    <xf numFmtId="177" fontId="0" fillId="0" borderId="12" xfId="0" applyNumberFormat="1" applyBorder="1" applyAlignment="1">
      <alignment horizontal="right" vertical="center"/>
    </xf>
    <xf numFmtId="177" fontId="0" fillId="7" borderId="15" xfId="0" applyNumberFormat="1" applyFill="1" applyBorder="1" applyAlignment="1"/>
    <xf numFmtId="177" fontId="0" fillId="0" borderId="5" xfId="0" applyNumberFormat="1" applyBorder="1" applyAlignment="1">
      <alignment vertical="center"/>
    </xf>
    <xf numFmtId="177" fontId="0" fillId="7" borderId="18" xfId="0" applyNumberFormat="1" applyFill="1" applyBorder="1" applyAlignment="1"/>
    <xf numFmtId="177" fontId="0" fillId="0" borderId="5" xfId="0" applyNumberFormat="1" applyBorder="1" applyAlignment="1">
      <alignment horizontal="right" vertical="center"/>
    </xf>
    <xf numFmtId="3" fontId="0" fillId="0" borderId="0" xfId="0" applyNumberFormat="1"/>
    <xf numFmtId="0" fontId="10" fillId="3" borderId="3" xfId="0" applyFont="1" applyFill="1" applyBorder="1" applyAlignment="1"/>
    <xf numFmtId="0" fontId="16" fillId="0" borderId="0" xfId="0" applyFont="1"/>
    <xf numFmtId="0" fontId="2" fillId="0" borderId="1" xfId="2" applyAlignment="1">
      <alignment horizontal="center"/>
    </xf>
    <xf numFmtId="174" fontId="0" fillId="7" borderId="18" xfId="0" applyNumberFormat="1" applyFill="1" applyBorder="1" applyAlignment="1">
      <alignment horizontal="right" indent="1"/>
    </xf>
    <xf numFmtId="165" fontId="0" fillId="7" borderId="18" xfId="0" applyNumberFormat="1" applyFill="1" applyBorder="1" applyAlignment="1">
      <alignment horizontal="right" indent="1"/>
    </xf>
    <xf numFmtId="0" fontId="0" fillId="0" borderId="20" xfId="0" applyBorder="1"/>
    <xf numFmtId="0" fontId="15" fillId="0" borderId="20" xfId="0" applyFont="1" applyBorder="1" applyAlignment="1">
      <alignment horizontal="right"/>
    </xf>
    <xf numFmtId="0" fontId="0" fillId="0" borderId="21" xfId="0" applyBorder="1"/>
    <xf numFmtId="0" fontId="0" fillId="0" borderId="22" xfId="0" applyBorder="1"/>
    <xf numFmtId="0" fontId="11" fillId="4" borderId="11" xfId="0" applyFont="1" applyFill="1" applyBorder="1" applyProtection="1">
      <protection locked="0"/>
    </xf>
    <xf numFmtId="0" fontId="10" fillId="3" borderId="10" xfId="0" applyFont="1" applyFill="1" applyBorder="1" applyAlignment="1">
      <alignment horizontal="left" indent="1"/>
    </xf>
    <xf numFmtId="0" fontId="10" fillId="3" borderId="3" xfId="0" applyFont="1" applyFill="1" applyBorder="1" applyAlignment="1">
      <alignment horizontal="left" indent="1"/>
    </xf>
    <xf numFmtId="0" fontId="17" fillId="0" borderId="0" xfId="0" applyFont="1"/>
    <xf numFmtId="164" fontId="15" fillId="7" borderId="27" xfId="0" applyNumberFormat="1" applyFont="1" applyFill="1" applyBorder="1" applyAlignment="1">
      <alignment horizontal="right"/>
    </xf>
    <xf numFmtId="164" fontId="15" fillId="5" borderId="29" xfId="0" applyNumberFormat="1" applyFont="1" applyFill="1" applyBorder="1" applyAlignment="1">
      <alignment horizontal="right" vertical="center"/>
    </xf>
    <xf numFmtId="164" fontId="15" fillId="0" borderId="31" xfId="0" applyNumberFormat="1" applyFont="1" applyBorder="1" applyAlignment="1">
      <alignment horizontal="right" vertical="center"/>
    </xf>
    <xf numFmtId="0" fontId="17" fillId="0" borderId="0" xfId="0" applyFont="1" applyAlignment="1">
      <alignment horizontal="right" indent="1"/>
    </xf>
    <xf numFmtId="10" fontId="17" fillId="0" borderId="0" xfId="5" applyNumberFormat="1" applyFont="1" applyBorder="1" applyAlignment="1">
      <alignment horizontal="right" indent="1"/>
    </xf>
    <xf numFmtId="0" fontId="10" fillId="3" borderId="4" xfId="0" applyFont="1" applyFill="1" applyBorder="1" applyAlignment="1">
      <alignment horizontal="right" indent="2"/>
    </xf>
    <xf numFmtId="177" fontId="0" fillId="0" borderId="6" xfId="0" applyNumberFormat="1" applyBorder="1" applyAlignment="1">
      <alignment horizontal="right" indent="1"/>
    </xf>
    <xf numFmtId="177" fontId="0" fillId="5" borderId="8" xfId="0" applyNumberFormat="1" applyFill="1" applyBorder="1" applyAlignment="1">
      <alignment horizontal="right" indent="1"/>
    </xf>
    <xf numFmtId="177" fontId="0" fillId="7" borderId="28" xfId="0" applyNumberFormat="1" applyFill="1" applyBorder="1" applyAlignment="1">
      <alignment horizontal="right" vertical="center" indent="1"/>
    </xf>
    <xf numFmtId="177" fontId="0" fillId="5" borderId="30" xfId="0" applyNumberFormat="1" applyFill="1" applyBorder="1" applyAlignment="1">
      <alignment horizontal="right" vertical="center" indent="1"/>
    </xf>
    <xf numFmtId="177" fontId="0" fillId="0" borderId="32" xfId="0" applyNumberFormat="1" applyBorder="1" applyAlignment="1">
      <alignment horizontal="right" vertical="center" indent="1"/>
    </xf>
    <xf numFmtId="174" fontId="0" fillId="7" borderId="15" xfId="0" applyNumberFormat="1" applyFill="1" applyBorder="1" applyAlignment="1">
      <alignment horizontal="right" vertical="center"/>
    </xf>
    <xf numFmtId="174" fontId="0" fillId="7" borderId="18" xfId="0" applyNumberFormat="1" applyFill="1" applyBorder="1" applyAlignment="1">
      <alignment horizontal="right" vertical="center"/>
    </xf>
    <xf numFmtId="165" fontId="0" fillId="7" borderId="18" xfId="0" applyNumberFormat="1" applyFill="1" applyBorder="1" applyAlignment="1">
      <alignment horizontal="right" vertical="center"/>
    </xf>
    <xf numFmtId="164" fontId="15" fillId="7" borderId="27" xfId="0" applyNumberFormat="1" applyFont="1" applyFill="1" applyBorder="1" applyAlignment="1">
      <alignment horizontal="right" vertical="center"/>
    </xf>
    <xf numFmtId="164" fontId="15" fillId="7" borderId="29" xfId="0" applyNumberFormat="1" applyFont="1" applyFill="1" applyBorder="1" applyAlignment="1">
      <alignment horizontal="right" vertical="center"/>
    </xf>
    <xf numFmtId="177" fontId="13" fillId="0" borderId="0" xfId="0" applyNumberFormat="1" applyFont="1" applyAlignment="1"/>
    <xf numFmtId="177" fontId="0" fillId="0" borderId="0" xfId="0" applyNumberFormat="1"/>
    <xf numFmtId="0" fontId="10" fillId="3" borderId="3" xfId="0" applyFont="1" applyFill="1" applyBorder="1" applyAlignment="1">
      <alignment horizontal="center"/>
    </xf>
    <xf numFmtId="0" fontId="15" fillId="0" borderId="0" xfId="0" applyFont="1" applyAlignment="1">
      <alignment horizontal="right"/>
    </xf>
    <xf numFmtId="177" fontId="15" fillId="0" borderId="0" xfId="0" applyNumberFormat="1" applyFont="1" applyAlignment="1"/>
    <xf numFmtId="0" fontId="10" fillId="3" borderId="3" xfId="0" applyFont="1" applyFill="1" applyBorder="1" applyAlignment="1">
      <alignment horizontal="right"/>
    </xf>
    <xf numFmtId="167" fontId="10" fillId="3" borderId="3" xfId="0" applyNumberFormat="1" applyFont="1" applyFill="1" applyBorder="1" applyAlignment="1">
      <alignment horizontal="right"/>
    </xf>
    <xf numFmtId="167" fontId="10" fillId="3" borderId="3" xfId="0" applyNumberFormat="1" applyFont="1" applyFill="1" applyBorder="1" applyAlignment="1">
      <alignment horizontal="right" indent="1"/>
    </xf>
    <xf numFmtId="172" fontId="10" fillId="3" borderId="3" xfId="0" applyNumberFormat="1" applyFont="1" applyFill="1" applyBorder="1" applyAlignment="1">
      <alignment horizontal="right" indent="1"/>
    </xf>
    <xf numFmtId="169" fontId="10" fillId="3" borderId="3" xfId="0" applyNumberFormat="1" applyFont="1" applyFill="1" applyBorder="1" applyAlignment="1">
      <alignment horizontal="right"/>
    </xf>
    <xf numFmtId="169" fontId="10" fillId="3" borderId="3" xfId="0" applyNumberFormat="1" applyFont="1" applyFill="1" applyBorder="1" applyAlignment="1">
      <alignment horizontal="right" indent="1"/>
    </xf>
    <xf numFmtId="169" fontId="15" fillId="0" borderId="0" xfId="0" applyNumberFormat="1" applyFont="1" applyAlignment="1">
      <alignment horizontal="left"/>
    </xf>
    <xf numFmtId="177" fontId="15" fillId="0" borderId="0" xfId="0" applyNumberFormat="1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44" fontId="0" fillId="0" borderId="0" xfId="4" applyFont="1" applyProtection="1">
      <protection locked="0"/>
    </xf>
    <xf numFmtId="44" fontId="0" fillId="0" borderId="0" xfId="0" applyNumberFormat="1" applyFont="1"/>
    <xf numFmtId="173" fontId="0" fillId="0" borderId="0" xfId="0" applyNumberFormat="1" applyFont="1"/>
    <xf numFmtId="4" fontId="0" fillId="0" borderId="0" xfId="0" applyNumberFormat="1" applyFont="1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9" fillId="3" borderId="3" xfId="0" applyFont="1" applyFill="1" applyBorder="1" applyAlignment="1">
      <alignment horizontal="center"/>
    </xf>
    <xf numFmtId="0" fontId="0" fillId="0" borderId="0" xfId="0" applyNumberFormat="1" applyProtection="1"/>
    <xf numFmtId="0" fontId="0" fillId="0" borderId="0" xfId="0" applyNumberFormat="1" applyAlignment="1" applyProtection="1">
      <alignment horizontal="center"/>
    </xf>
    <xf numFmtId="0" fontId="7" fillId="0" borderId="0" xfId="0" applyNumberFormat="1" applyFont="1"/>
    <xf numFmtId="1" fontId="0" fillId="0" borderId="0" xfId="0" applyNumberFormat="1" applyAlignment="1" applyProtection="1">
      <alignment horizontal="center"/>
    </xf>
    <xf numFmtId="0" fontId="9" fillId="3" borderId="3" xfId="0" applyFont="1" applyFill="1" applyBorder="1" applyAlignment="1">
      <alignment horizontal="centerContinuous"/>
    </xf>
    <xf numFmtId="164" fontId="15" fillId="0" borderId="0" xfId="0" applyNumberFormat="1" applyFont="1" applyAlignment="1">
      <alignment horizontal="left"/>
    </xf>
    <xf numFmtId="178" fontId="0" fillId="0" borderId="0" xfId="0" applyNumberFormat="1" applyAlignment="1">
      <alignment horizontal="right" indent="1"/>
    </xf>
    <xf numFmtId="0" fontId="18" fillId="8" borderId="33" xfId="0" applyFont="1" applyFill="1" applyBorder="1" applyAlignment="1">
      <alignment horizontal="centerContinuous"/>
    </xf>
    <xf numFmtId="0" fontId="18" fillId="8" borderId="34" xfId="0" applyFont="1" applyFill="1" applyBorder="1" applyAlignment="1">
      <alignment horizontal="centerContinuous"/>
    </xf>
    <xf numFmtId="0" fontId="11" fillId="9" borderId="38" xfId="0" applyFont="1" applyFill="1" applyBorder="1"/>
    <xf numFmtId="0" fontId="11" fillId="9" borderId="39" xfId="0" applyFont="1" applyFill="1" applyBorder="1"/>
    <xf numFmtId="0" fontId="11" fillId="9" borderId="40" xfId="0" applyFont="1" applyFill="1" applyBorder="1"/>
    <xf numFmtId="0" fontId="0" fillId="0" borderId="0" xfId="0" applyAlignment="1"/>
    <xf numFmtId="0" fontId="0" fillId="0" borderId="0" xfId="0" applyNumberFormat="1" applyFont="1"/>
    <xf numFmtId="49" fontId="7" fillId="0" borderId="0" xfId="0" applyNumberFormat="1" applyFont="1"/>
    <xf numFmtId="49" fontId="0" fillId="0" borderId="0" xfId="0" applyNumberFormat="1" applyFont="1"/>
    <xf numFmtId="179" fontId="0" fillId="0" borderId="0" xfId="0" applyNumberFormat="1" applyAlignment="1" applyProtection="1">
      <alignment horizontal="center"/>
    </xf>
    <xf numFmtId="0" fontId="3" fillId="0" borderId="0" xfId="3" applyAlignment="1">
      <alignment horizontal="center"/>
    </xf>
    <xf numFmtId="14" fontId="4" fillId="0" borderId="0" xfId="0" applyNumberFormat="1" applyFont="1" applyAlignment="1">
      <alignment horizontal="center"/>
    </xf>
    <xf numFmtId="0" fontId="1" fillId="0" borderId="0" xfId="1" applyAlignment="1">
      <alignment horizontal="center"/>
    </xf>
    <xf numFmtId="170" fontId="9" fillId="3" borderId="3" xfId="0" applyNumberFormat="1" applyFont="1" applyFill="1" applyBorder="1" applyAlignment="1">
      <alignment horizontal="center"/>
    </xf>
    <xf numFmtId="180" fontId="0" fillId="0" borderId="0" xfId="0" applyNumberFormat="1" applyAlignment="1" applyProtection="1">
      <alignment horizontal="right"/>
    </xf>
    <xf numFmtId="180" fontId="0" fillId="0" borderId="0" xfId="0" applyNumberFormat="1" applyAlignment="1">
      <alignment horizontal="right" indent="1"/>
    </xf>
    <xf numFmtId="180" fontId="0" fillId="0" borderId="0" xfId="0" applyNumberFormat="1" applyAlignment="1">
      <alignment horizontal="right"/>
    </xf>
    <xf numFmtId="179" fontId="0" fillId="0" borderId="0" xfId="0" applyNumberFormat="1" applyAlignment="1">
      <alignment horizontal="center"/>
    </xf>
    <xf numFmtId="180" fontId="0" fillId="0" borderId="0" xfId="0" applyNumberFormat="1" applyAlignment="1" applyProtection="1">
      <alignment horizontal="right" indent="1"/>
    </xf>
    <xf numFmtId="180" fontId="13" fillId="0" borderId="0" xfId="0" applyNumberFormat="1" applyFont="1" applyAlignment="1"/>
    <xf numFmtId="4" fontId="9" fillId="3" borderId="4" xfId="0" applyNumberFormat="1" applyFont="1" applyFill="1" applyBorder="1" applyAlignment="1"/>
    <xf numFmtId="180" fontId="13" fillId="0" borderId="0" xfId="0" applyNumberFormat="1" applyFont="1" applyAlignment="1">
      <alignment horizontal="right" indent="1"/>
    </xf>
    <xf numFmtId="180" fontId="0" fillId="0" borderId="0" xfId="0" applyNumberFormat="1" applyAlignment="1" applyProtection="1">
      <alignment horizontal="right" indent="2"/>
    </xf>
    <xf numFmtId="180" fontId="13" fillId="0" borderId="0" xfId="0" applyNumberFormat="1" applyFont="1" applyAlignment="1" applyProtection="1">
      <alignment horizontal="right" indent="1"/>
    </xf>
    <xf numFmtId="164" fontId="13" fillId="0" borderId="0" xfId="0" applyNumberFormat="1" applyFont="1" applyAlignment="1">
      <alignment horizontal="right" indent="1"/>
    </xf>
    <xf numFmtId="0" fontId="0" fillId="0" borderId="0" xfId="0" applyNumberFormat="1" applyAlignment="1" applyProtection="1">
      <alignment horizontal="left" indent="1"/>
    </xf>
    <xf numFmtId="10" fontId="17" fillId="0" borderId="0" xfId="5" applyNumberFormat="1" applyFont="1" applyBorder="1" applyAlignment="1">
      <alignment horizontal="right"/>
    </xf>
    <xf numFmtId="0" fontId="0" fillId="0" borderId="0" xfId="0" applyAlignment="1">
      <alignment horizontal="left" indent="1"/>
    </xf>
    <xf numFmtId="0" fontId="2" fillId="0" borderId="1" xfId="2" applyAlignment="1">
      <alignment horizontal="left" indent="1"/>
    </xf>
    <xf numFmtId="0" fontId="3" fillId="0" borderId="0" xfId="3" applyAlignment="1">
      <alignment horizontal="left" indent="1"/>
    </xf>
    <xf numFmtId="14" fontId="4" fillId="0" borderId="0" xfId="0" applyNumberFormat="1" applyFont="1" applyAlignment="1">
      <alignment horizontal="left" indent="1"/>
    </xf>
    <xf numFmtId="0" fontId="1" fillId="0" borderId="0" xfId="1" applyAlignment="1">
      <alignment horizontal="left" indent="1"/>
    </xf>
    <xf numFmtId="0" fontId="9" fillId="2" borderId="3" xfId="0" applyFont="1" applyFill="1" applyBorder="1" applyAlignment="1">
      <alignment horizontal="left" indent="1"/>
    </xf>
    <xf numFmtId="176" fontId="0" fillId="0" borderId="0" xfId="0" applyNumberFormat="1"/>
    <xf numFmtId="0" fontId="19" fillId="0" borderId="0" xfId="0" applyFont="1"/>
    <xf numFmtId="0" fontId="20" fillId="0" borderId="43" xfId="0" applyFont="1" applyBorder="1"/>
    <xf numFmtId="4" fontId="20" fillId="0" borderId="43" xfId="0" applyNumberFormat="1" applyFont="1" applyBorder="1"/>
    <xf numFmtId="0" fontId="5" fillId="0" borderId="0" xfId="0" applyFont="1" applyAlignment="1">
      <alignment horizontal="center"/>
    </xf>
    <xf numFmtId="0" fontId="3" fillId="0" borderId="0" xfId="3" applyAlignment="1">
      <alignment horizontal="right"/>
    </xf>
    <xf numFmtId="0" fontId="2" fillId="0" borderId="1" xfId="2" applyFill="1" applyBorder="1"/>
    <xf numFmtId="0" fontId="2" fillId="0" borderId="1" xfId="2" applyFill="1" applyBorder="1" applyAlignment="1">
      <alignment horizontal="right" indent="1"/>
    </xf>
    <xf numFmtId="164" fontId="15" fillId="0" borderId="31" xfId="0" applyNumberFormat="1" applyFont="1" applyFill="1" applyBorder="1" applyAlignment="1">
      <alignment horizontal="right" vertical="center"/>
    </xf>
    <xf numFmtId="177" fontId="0" fillId="0" borderId="32" xfId="0" applyNumberFormat="1" applyFill="1" applyBorder="1" applyAlignment="1">
      <alignment horizontal="right" vertical="center" indent="1"/>
    </xf>
    <xf numFmtId="0" fontId="0" fillId="0" borderId="0" xfId="0" applyBorder="1"/>
    <xf numFmtId="21" fontId="0" fillId="0" borderId="0" xfId="0" applyNumberFormat="1" applyBorder="1"/>
    <xf numFmtId="0" fontId="7" fillId="0" borderId="0" xfId="0" applyFont="1" applyBorder="1" applyAlignment="1">
      <alignment horizontal="left" indent="1"/>
    </xf>
    <xf numFmtId="0" fontId="0" fillId="0" borderId="0" xfId="0" applyFont="1" applyBorder="1" applyAlignment="1">
      <alignment horizontal="left" indent="1"/>
    </xf>
    <xf numFmtId="9" fontId="17" fillId="0" borderId="42" xfId="5" applyFont="1" applyBorder="1" applyAlignment="1" applyProtection="1">
      <alignment horizontal="right" vertical="center" indent="1"/>
      <protection locked="0"/>
    </xf>
    <xf numFmtId="1" fontId="0" fillId="0" borderId="0" xfId="0" applyNumberFormat="1" applyAlignment="1">
      <alignment horizontal="center"/>
    </xf>
    <xf numFmtId="44" fontId="6" fillId="0" borderId="0" xfId="0" applyNumberFormat="1" applyFont="1"/>
    <xf numFmtId="177" fontId="0" fillId="7" borderId="19" xfId="0" applyNumberFormat="1" applyFill="1" applyBorder="1" applyAlignment="1">
      <alignment horizontal="right" indent="1"/>
    </xf>
    <xf numFmtId="177" fontId="0" fillId="0" borderId="6" xfId="0" applyNumberFormat="1" applyBorder="1" applyAlignment="1" applyProtection="1">
      <alignment horizontal="right" vertical="center" indent="1"/>
      <protection locked="0"/>
    </xf>
    <xf numFmtId="177" fontId="0" fillId="5" borderId="8" xfId="0" applyNumberFormat="1" applyFill="1" applyBorder="1" applyAlignment="1" applyProtection="1">
      <alignment horizontal="right" vertical="center" indent="1"/>
      <protection locked="0"/>
    </xf>
    <xf numFmtId="177" fontId="0" fillId="0" borderId="6" xfId="0" applyNumberFormat="1" applyBorder="1" applyAlignment="1">
      <alignment horizontal="right" vertical="center" indent="1"/>
    </xf>
    <xf numFmtId="44" fontId="6" fillId="0" borderId="0" xfId="4" applyNumberFormat="1" applyFont="1"/>
    <xf numFmtId="0" fontId="0" fillId="0" borderId="0" xfId="4" applyNumberFormat="1" applyFont="1" applyProtection="1">
      <protection locked="0"/>
    </xf>
    <xf numFmtId="181" fontId="0" fillId="0" borderId="0" xfId="5" applyNumberFormat="1" applyFont="1" applyProtection="1">
      <protection locked="0"/>
    </xf>
    <xf numFmtId="181" fontId="17" fillId="0" borderId="3" xfId="5" applyNumberFormat="1" applyFont="1" applyBorder="1" applyAlignment="1" applyProtection="1">
      <alignment horizontal="right" indent="1"/>
    </xf>
    <xf numFmtId="177" fontId="0" fillId="7" borderId="0" xfId="0" applyNumberFormat="1" applyFill="1" applyBorder="1" applyAlignment="1">
      <alignment horizontal="right" indent="1"/>
    </xf>
    <xf numFmtId="177" fontId="0" fillId="7" borderId="45" xfId="0" applyNumberFormat="1" applyFill="1" applyBorder="1" applyAlignment="1">
      <alignment horizontal="right" indent="1"/>
    </xf>
    <xf numFmtId="177" fontId="0" fillId="7" borderId="46" xfId="0" applyNumberFormat="1" applyFill="1" applyBorder="1" applyAlignment="1">
      <alignment horizontal="right" indent="1"/>
    </xf>
    <xf numFmtId="174" fontId="0" fillId="5" borderId="25" xfId="0" applyNumberFormat="1" applyFill="1" applyBorder="1" applyAlignment="1"/>
    <xf numFmtId="174" fontId="0" fillId="5" borderId="26" xfId="0" applyNumberFormat="1" applyFill="1" applyBorder="1" applyAlignment="1"/>
    <xf numFmtId="174" fontId="0" fillId="0" borderId="23" xfId="0" applyNumberFormat="1" applyBorder="1" applyAlignment="1"/>
    <xf numFmtId="174" fontId="0" fillId="0" borderId="24" xfId="0" applyNumberFormat="1" applyBorder="1" applyAlignment="1"/>
    <xf numFmtId="49" fontId="0" fillId="0" borderId="0" xfId="0" applyNumberFormat="1" applyBorder="1"/>
    <xf numFmtId="0" fontId="10" fillId="3" borderId="16" xfId="0" applyFont="1" applyFill="1" applyBorder="1" applyAlignment="1">
      <alignment horizontal="centerContinuous"/>
    </xf>
    <xf numFmtId="0" fontId="20" fillId="0" borderId="0" xfId="0" applyFont="1" applyFill="1" applyBorder="1" applyAlignment="1">
      <alignment horizontal="right" indent="1"/>
    </xf>
    <xf numFmtId="39" fontId="0" fillId="0" borderId="0" xfId="4" applyNumberFormat="1" applyFont="1"/>
    <xf numFmtId="39" fontId="0" fillId="0" borderId="41" xfId="4" applyNumberFormat="1" applyFont="1" applyBorder="1"/>
    <xf numFmtId="40" fontId="0" fillId="0" borderId="41" xfId="0" applyNumberFormat="1" applyBorder="1"/>
    <xf numFmtId="40" fontId="0" fillId="0" borderId="0" xfId="0" applyNumberFormat="1"/>
    <xf numFmtId="40" fontId="0" fillId="0" borderId="0" xfId="0" applyNumberFormat="1" applyBorder="1"/>
    <xf numFmtId="0" fontId="7" fillId="0" borderId="41" xfId="0" applyFont="1" applyBorder="1" applyAlignment="1">
      <alignment horizontal="center"/>
    </xf>
    <xf numFmtId="0" fontId="4" fillId="0" borderId="0" xfId="0" applyFont="1"/>
    <xf numFmtId="40" fontId="0" fillId="0" borderId="44" xfId="0" applyNumberFormat="1" applyBorder="1"/>
    <xf numFmtId="0" fontId="7" fillId="0" borderId="0" xfId="0" applyFont="1" applyBorder="1" applyAlignment="1">
      <alignment horizontal="center"/>
    </xf>
    <xf numFmtId="39" fontId="0" fillId="0" borderId="0" xfId="4" applyNumberFormat="1" applyFont="1" applyBorder="1"/>
    <xf numFmtId="0" fontId="7" fillId="0" borderId="41" xfId="0" applyFont="1" applyBorder="1" applyAlignment="1">
      <alignment horizontal="right"/>
    </xf>
    <xf numFmtId="0" fontId="7" fillId="0" borderId="41" xfId="0" applyFont="1" applyBorder="1" applyAlignment="1">
      <alignment horizontal="right" indent="1"/>
    </xf>
    <xf numFmtId="40" fontId="0" fillId="0" borderId="44" xfId="0" applyNumberFormat="1" applyBorder="1" applyAlignment="1">
      <alignment horizontal="right" indent="1"/>
    </xf>
    <xf numFmtId="40" fontId="0" fillId="0" borderId="0" xfId="0" applyNumberFormat="1" applyAlignment="1">
      <alignment horizontal="right" indent="1"/>
    </xf>
    <xf numFmtId="8" fontId="0" fillId="0" borderId="0" xfId="4" applyNumberFormat="1" applyFont="1"/>
    <xf numFmtId="2" fontId="0" fillId="0" borderId="0" xfId="0" applyNumberFormat="1"/>
    <xf numFmtId="182" fontId="0" fillId="0" borderId="0" xfId="0" applyNumberFormat="1"/>
    <xf numFmtId="0" fontId="0" fillId="0" borderId="0" xfId="0" applyBorder="1" applyAlignment="1">
      <alignment horizontal="center"/>
    </xf>
    <xf numFmtId="180" fontId="0" fillId="0" borderId="0" xfId="0" applyNumberFormat="1" applyBorder="1" applyAlignment="1">
      <alignment horizontal="right"/>
    </xf>
    <xf numFmtId="177" fontId="15" fillId="0" borderId="0" xfId="0" applyNumberFormat="1" applyFont="1" applyBorder="1" applyAlignment="1"/>
    <xf numFmtId="176" fontId="0" fillId="0" borderId="0" xfId="0" applyNumberFormat="1" applyBorder="1" applyAlignment="1">
      <alignment horizontal="right" indent="1"/>
    </xf>
    <xf numFmtId="0" fontId="0" fillId="0" borderId="0" xfId="0" applyProtection="1"/>
    <xf numFmtId="44" fontId="0" fillId="0" borderId="0" xfId="4" applyFont="1" applyProtection="1"/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37" xfId="0" applyBorder="1" applyAlignment="1" applyProtection="1">
      <alignment horizontal="center" vertical="center"/>
      <protection locked="0"/>
    </xf>
    <xf numFmtId="9" fontId="17" fillId="0" borderId="0" xfId="5" applyFont="1" applyAlignment="1" applyProtection="1">
      <alignment horizontal="left" indent="1"/>
    </xf>
    <xf numFmtId="9" fontId="17" fillId="0" borderId="0" xfId="5" applyFont="1" applyBorder="1" applyAlignment="1" applyProtection="1">
      <alignment vertical="center"/>
    </xf>
    <xf numFmtId="21" fontId="0" fillId="0" borderId="0" xfId="0" applyNumberFormat="1"/>
    <xf numFmtId="2" fontId="7" fillId="0" borderId="0" xfId="0" applyNumberFormat="1" applyFont="1"/>
    <xf numFmtId="183" fontId="7" fillId="0" borderId="0" xfId="0" applyNumberFormat="1" applyFont="1" applyAlignment="1">
      <alignment horizontal="center"/>
    </xf>
    <xf numFmtId="49" fontId="0" fillId="0" borderId="0" xfId="0" applyNumberFormat="1"/>
    <xf numFmtId="177" fontId="0" fillId="0" borderId="13" xfId="0" applyNumberFormat="1" applyFill="1" applyBorder="1" applyAlignment="1">
      <alignment horizontal="right" vertical="center"/>
    </xf>
    <xf numFmtId="164" fontId="15" fillId="0" borderId="7" xfId="0" applyNumberFormat="1" applyFont="1" applyFill="1" applyBorder="1" applyAlignment="1">
      <alignment horizontal="left" vertical="center"/>
    </xf>
    <xf numFmtId="177" fontId="0" fillId="0" borderId="7" xfId="0" applyNumberFormat="1" applyFill="1" applyBorder="1" applyAlignment="1">
      <alignment vertical="center"/>
    </xf>
    <xf numFmtId="164" fontId="15" fillId="0" borderId="7" xfId="0" applyNumberFormat="1" applyFont="1" applyFill="1" applyBorder="1" applyAlignment="1">
      <alignment horizontal="right" vertical="center"/>
    </xf>
    <xf numFmtId="177" fontId="0" fillId="0" borderId="7" xfId="0" applyNumberFormat="1" applyFill="1" applyBorder="1" applyAlignment="1">
      <alignment horizontal="right" vertical="center"/>
    </xf>
    <xf numFmtId="177" fontId="0" fillId="0" borderId="8" xfId="0" applyNumberFormat="1" applyFill="1" applyBorder="1" applyAlignment="1">
      <alignment horizontal="right" indent="1"/>
    </xf>
    <xf numFmtId="177" fontId="0" fillId="5" borderId="47" xfId="0" applyNumberFormat="1" applyFill="1" applyBorder="1" applyAlignment="1">
      <alignment horizontal="right" vertical="center"/>
    </xf>
    <xf numFmtId="164" fontId="15" fillId="5" borderId="48" xfId="0" applyNumberFormat="1" applyFont="1" applyFill="1" applyBorder="1" applyAlignment="1">
      <alignment horizontal="left" vertical="center"/>
    </xf>
    <xf numFmtId="177" fontId="0" fillId="5" borderId="48" xfId="0" applyNumberFormat="1" applyFill="1" applyBorder="1" applyAlignment="1">
      <alignment vertical="center"/>
    </xf>
    <xf numFmtId="164" fontId="15" fillId="5" borderId="48" xfId="0" applyNumberFormat="1" applyFont="1" applyFill="1" applyBorder="1" applyAlignment="1">
      <alignment horizontal="right" vertical="center"/>
    </xf>
    <xf numFmtId="177" fontId="0" fillId="5" borderId="48" xfId="0" applyNumberFormat="1" applyFill="1" applyBorder="1" applyAlignment="1">
      <alignment horizontal="right" vertical="center"/>
    </xf>
    <xf numFmtId="177" fontId="0" fillId="5" borderId="49" xfId="0" applyNumberFormat="1" applyFill="1" applyBorder="1" applyAlignment="1">
      <alignment horizontal="right" indent="1"/>
    </xf>
    <xf numFmtId="177" fontId="0" fillId="0" borderId="47" xfId="0" applyNumberFormat="1" applyFill="1" applyBorder="1" applyAlignment="1">
      <alignment horizontal="right" vertical="center"/>
    </xf>
    <xf numFmtId="164" fontId="15" fillId="0" borderId="48" xfId="0" applyNumberFormat="1" applyFont="1" applyFill="1" applyBorder="1" applyAlignment="1">
      <alignment horizontal="left" vertical="center"/>
    </xf>
    <xf numFmtId="177" fontId="0" fillId="0" borderId="48" xfId="0" applyNumberFormat="1" applyFill="1" applyBorder="1" applyAlignment="1">
      <alignment vertical="center"/>
    </xf>
    <xf numFmtId="164" fontId="15" fillId="0" borderId="48" xfId="0" applyNumberFormat="1" applyFont="1" applyFill="1" applyBorder="1" applyAlignment="1">
      <alignment horizontal="right" vertical="center"/>
    </xf>
    <xf numFmtId="177" fontId="0" fillId="0" borderId="48" xfId="0" applyNumberFormat="1" applyFill="1" applyBorder="1" applyAlignment="1">
      <alignment horizontal="right" vertical="center"/>
    </xf>
    <xf numFmtId="177" fontId="0" fillId="0" borderId="49" xfId="0" applyNumberFormat="1" applyFill="1" applyBorder="1" applyAlignment="1">
      <alignment horizontal="right" indent="1"/>
    </xf>
    <xf numFmtId="178" fontId="0" fillId="0" borderId="0" xfId="0" applyNumberFormat="1" applyAlignment="1" applyProtection="1">
      <alignment horizontal="right" indent="1"/>
    </xf>
    <xf numFmtId="21" fontId="0" fillId="0" borderId="0" xfId="0" applyNumberFormat="1" applyFont="1"/>
    <xf numFmtId="171" fontId="0" fillId="0" borderId="0" xfId="0" applyNumberFormat="1" applyFont="1"/>
    <xf numFmtId="2" fontId="0" fillId="0" borderId="0" xfId="0" applyNumberFormat="1" applyFont="1"/>
    <xf numFmtId="183" fontId="0" fillId="0" borderId="0" xfId="0" applyNumberFormat="1" applyFont="1" applyAlignment="1">
      <alignment horizontal="center"/>
    </xf>
    <xf numFmtId="174" fontId="0" fillId="5" borderId="25" xfId="0" applyNumberFormat="1" applyFill="1" applyBorder="1" applyAlignment="1" applyProtection="1">
      <alignment horizontal="left" vertical="center"/>
      <protection locked="0"/>
    </xf>
    <xf numFmtId="174" fontId="0" fillId="5" borderId="26" xfId="0" applyNumberFormat="1" applyFill="1" applyBorder="1" applyAlignment="1" applyProtection="1">
      <alignment horizontal="left" vertical="center"/>
      <protection locked="0"/>
    </xf>
    <xf numFmtId="174" fontId="0" fillId="0" borderId="23" xfId="0" applyNumberFormat="1" applyBorder="1" applyAlignment="1" applyProtection="1">
      <alignment horizontal="left" vertical="center"/>
      <protection locked="0"/>
    </xf>
    <xf numFmtId="174" fontId="0" fillId="0" borderId="24" xfId="0" applyNumberFormat="1" applyBorder="1" applyAlignment="1" applyProtection="1">
      <alignment horizontal="left" vertical="center"/>
      <protection locked="0"/>
    </xf>
  </cellXfs>
  <cellStyles count="6">
    <cellStyle name="Currency" xfId="4" builtinId="4"/>
    <cellStyle name="Heading 1" xfId="2" builtinId="16"/>
    <cellStyle name="Heading 4" xfId="3" builtinId="19"/>
    <cellStyle name="Normal" xfId="0" builtinId="0"/>
    <cellStyle name="Percent" xfId="5" builtinId="5"/>
    <cellStyle name="Title" xfId="1" builtinId="15"/>
  </cellStyles>
  <dxfs count="598"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protection locked="0" hidden="0"/>
    </dxf>
    <dxf>
      <protection locked="0" hidden="0"/>
    </dxf>
    <dxf>
      <protection locked="0" hidden="0"/>
    </dxf>
    <dxf>
      <numFmt numFmtId="176" formatCode="&quot;$&quot;#,##0.00"/>
      <alignment horizontal="right" vertical="bottom" textRotation="0" wrapText="0" indent="1" justifyLastLine="0" shrinkToFit="0" readingOrder="0"/>
    </dxf>
    <dxf>
      <numFmt numFmtId="180" formatCode="0.00;0.00;;@"/>
      <alignment horizontal="right" vertical="bottom" textRotation="0" wrapText="0" relativeIndent="1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64" formatCode="#,###&quot; hrs&quot;;;&quot;&quot;"/>
      <alignment horizontal="left" vertical="bottom" textRotation="0" wrapText="0" indent="0" justifyLastLine="0" shrinkToFit="0" readingOrder="0"/>
    </dxf>
    <dxf>
      <numFmt numFmtId="177" formatCode="#,##0;;&quot;&quot;"/>
      <alignment horizontal="center" vertical="bottom" textRotation="0" wrapText="0" indent="0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numFmt numFmtId="180" formatCode="0.00;0.00;;@"/>
      <alignment horizontal="right" vertical="bottom" textRotation="0" wrapText="0" indent="0" justifyLastLine="0" shrinkToFit="0" readingOrder="0"/>
    </dxf>
    <dxf>
      <numFmt numFmtId="180" formatCode="0.00;0.00;;@"/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64" formatCode="#,###&quot; hrs&quot;;;&quot;&quot;"/>
      <alignment horizontal="left" vertical="bottom" textRotation="0" wrapText="0" indent="0" justifyLastLine="0" shrinkToFit="0" readingOrder="0"/>
    </dxf>
    <dxf>
      <font>
        <color theme="0" tint="-0.34998626667073579"/>
      </font>
      <numFmt numFmtId="177" formatCode="#,##0;;&quot;&quot;"/>
      <alignment horizontal="general" vertical="bottom" textRotation="0" wrapText="0" indent="0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numFmt numFmtId="180" formatCode="0.00;0.00;;@"/>
      <alignment horizontal="right" vertical="bottom" textRotation="0" wrapText="0" indent="0" justifyLastLine="0" shrinkToFit="0" readingOrder="0"/>
    </dxf>
    <dxf>
      <numFmt numFmtId="180" formatCode="0.00;0.00;;@"/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numFmt numFmtId="179" formatCode="0;0;;@"/>
      <alignment horizontal="center" vertical="bottom" textRotation="0" wrapText="0" indent="0" justifyLastLine="0" shrinkToFit="0" readingOrder="0"/>
    </dxf>
    <dxf>
      <numFmt numFmtId="179" formatCode="0;0;;@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border diagonalUp="0" diagonalDown="0" outline="0">
        <left/>
        <right/>
        <top/>
        <bottom/>
      </border>
    </dxf>
    <dxf>
      <numFmt numFmtId="0" formatCode="General"/>
      <protection locked="1" hidden="0"/>
    </dxf>
    <dxf>
      <alignment horizontal="right" vertical="bottom" textRotation="0" wrapText="0" indent="1" justifyLastLine="0" shrinkToFit="0" readingOrder="0"/>
    </dxf>
    <dxf>
      <protection locked="0" hidden="0"/>
    </dxf>
    <dxf>
      <font>
        <color rgb="FFFF0000"/>
      </font>
    </dxf>
    <dxf>
      <numFmt numFmtId="176" formatCode="&quot;$&quot;#,##0.00"/>
      <alignment horizontal="right" vertical="bottom" textRotation="0" wrapText="0" indent="1" justifyLastLine="0" shrinkToFit="0" readingOrder="0"/>
    </dxf>
    <dxf>
      <numFmt numFmtId="180" formatCode="0.00;0.00;;@"/>
      <alignment horizontal="right" vertical="bottom" textRotation="0" wrapText="0" relativeIndent="1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64" formatCode="#,###&quot; hrs&quot;;;&quot;&quot;"/>
      <alignment horizontal="left" vertical="bottom" textRotation="0" wrapText="0" indent="0" justifyLastLine="0" shrinkToFit="0" readingOrder="0"/>
    </dxf>
    <dxf>
      <numFmt numFmtId="177" formatCode="#,##0;;&quot;&quot;"/>
      <alignment horizontal="center" vertical="bottom" textRotation="0" wrapText="0" indent="0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numFmt numFmtId="180" formatCode="0.00;0.00;;@"/>
      <alignment horizontal="right" vertical="bottom" textRotation="0" wrapText="0" indent="0" justifyLastLine="0" shrinkToFit="0" readingOrder="0"/>
    </dxf>
    <dxf>
      <numFmt numFmtId="180" formatCode="0.00;0.00;;@"/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64" formatCode="#,###&quot; hrs&quot;;;&quot;&quot;"/>
      <alignment horizontal="left" vertical="bottom" textRotation="0" wrapText="0" indent="0" justifyLastLine="0" shrinkToFit="0" readingOrder="0"/>
    </dxf>
    <dxf>
      <font>
        <color theme="0" tint="-0.34998626667073579"/>
      </font>
      <numFmt numFmtId="177" formatCode="#,##0;;&quot;&quot;"/>
      <alignment horizontal="general" vertical="bottom" textRotation="0" wrapText="0" indent="0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numFmt numFmtId="180" formatCode="0.00;0.00;;@"/>
      <alignment horizontal="right" vertical="bottom" textRotation="0" wrapText="0" indent="0" justifyLastLine="0" shrinkToFit="0" readingOrder="0"/>
    </dxf>
    <dxf>
      <numFmt numFmtId="180" formatCode="0.00;0.00;;@"/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numFmt numFmtId="179" formatCode="0;0;;@"/>
      <alignment horizontal="center" vertical="bottom" textRotation="0" wrapText="0" indent="0" justifyLastLine="0" shrinkToFit="0" readingOrder="0"/>
    </dxf>
    <dxf>
      <numFmt numFmtId="179" formatCode="0;0;;@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border diagonalUp="0" diagonalDown="0" outline="0">
        <left/>
        <right/>
        <top/>
        <bottom/>
      </border>
    </dxf>
    <dxf>
      <numFmt numFmtId="0" formatCode="General"/>
      <protection locked="1" hidden="0"/>
    </dxf>
    <dxf>
      <alignment horizontal="right" vertical="bottom" textRotation="0" wrapText="0" indent="1" justifyLastLine="0" shrinkToFit="0" readingOrder="0"/>
    </dxf>
    <dxf>
      <protection locked="0" hidden="0"/>
    </dxf>
    <dxf>
      <font>
        <color rgb="FFFF0000"/>
      </font>
    </dxf>
    <dxf>
      <numFmt numFmtId="176" formatCode="&quot;$&quot;#,##0.00"/>
      <alignment horizontal="right" vertical="bottom" textRotation="0" wrapText="0" indent="1" justifyLastLine="0" shrinkToFit="0" readingOrder="0"/>
    </dxf>
    <dxf>
      <numFmt numFmtId="180" formatCode="0.00;0.00;;@"/>
      <alignment horizontal="right" vertical="bottom" textRotation="0" wrapText="0" relativeIndent="1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64" formatCode="#,###&quot; hrs&quot;;;&quot;&quot;"/>
      <alignment horizontal="left" vertical="bottom" textRotation="0" wrapText="0" indent="0" justifyLastLine="0" shrinkToFit="0" readingOrder="0"/>
    </dxf>
    <dxf>
      <numFmt numFmtId="177" formatCode="#,##0;;&quot;&quot;"/>
      <alignment horizontal="center" vertical="bottom" textRotation="0" wrapText="0" indent="0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numFmt numFmtId="180" formatCode="0.00;0.00;;@"/>
      <alignment horizontal="right" vertical="bottom" textRotation="0" wrapText="0" indent="0" justifyLastLine="0" shrinkToFit="0" readingOrder="0"/>
    </dxf>
    <dxf>
      <numFmt numFmtId="180" formatCode="0.00;0.00;;@"/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numFmt numFmtId="179" formatCode="0;0;;@"/>
      <alignment horizontal="center" vertical="bottom" textRotation="0" wrapText="0" indent="0" justifyLastLine="0" shrinkToFit="0" readingOrder="0"/>
    </dxf>
    <dxf>
      <numFmt numFmtId="179" formatCode="0;0;;@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border diagonalUp="0" diagonalDown="0" outline="0">
        <left/>
        <right/>
        <top/>
        <bottom/>
      </border>
    </dxf>
    <dxf>
      <numFmt numFmtId="0" formatCode="General"/>
      <protection locked="1" hidden="0"/>
    </dxf>
    <dxf>
      <alignment horizontal="right" vertical="bottom" textRotation="0" wrapText="0" indent="1" justifyLastLine="0" shrinkToFit="0" readingOrder="0"/>
    </dxf>
    <dxf>
      <protection locked="0" hidden="0"/>
    </dxf>
    <dxf>
      <font>
        <color rgb="FFFF0000"/>
      </font>
    </dxf>
    <dxf>
      <numFmt numFmtId="176" formatCode="&quot;$&quot;#,##0.00"/>
      <alignment horizontal="right" vertical="bottom" textRotation="0" wrapText="0" indent="1" justifyLastLine="0" shrinkToFit="0" readingOrder="0"/>
    </dxf>
    <dxf>
      <numFmt numFmtId="180" formatCode="0.00;0.00;;@"/>
      <alignment horizontal="right" vertical="bottom" textRotation="0" wrapText="0" relativeIndent="1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64" formatCode="#,###&quot; hrs&quot;;;&quot;&quot;"/>
      <alignment horizontal="left" vertical="bottom" textRotation="0" wrapText="0" indent="0" justifyLastLine="0" shrinkToFit="0" readingOrder="0"/>
    </dxf>
    <dxf>
      <numFmt numFmtId="177" formatCode="#,##0;;&quot;&quot;"/>
      <alignment horizontal="center" vertical="bottom" textRotation="0" wrapText="0" indent="0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numFmt numFmtId="180" formatCode="0.00;0.00;;@"/>
      <alignment horizontal="right" vertical="bottom" textRotation="0" wrapText="0" indent="0" justifyLastLine="0" shrinkToFit="0" readingOrder="0"/>
    </dxf>
    <dxf>
      <numFmt numFmtId="180" formatCode="0.00;0.00;;@"/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64" formatCode="#,###&quot; hrs&quot;;;&quot;&quot;"/>
      <alignment horizontal="left" vertical="bottom" textRotation="0" wrapText="0" indent="0" justifyLastLine="0" shrinkToFit="0" readingOrder="0"/>
    </dxf>
    <dxf>
      <font>
        <color theme="0" tint="-0.34998626667073579"/>
      </font>
      <numFmt numFmtId="177" formatCode="#,##0;;&quot;&quot;"/>
      <alignment horizontal="general" vertical="bottom" textRotation="0" wrapText="0" indent="0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numFmt numFmtId="180" formatCode="0.00;0.00;;@"/>
      <alignment horizontal="right" vertical="bottom" textRotation="0" wrapText="0" indent="0" justifyLastLine="0" shrinkToFit="0" readingOrder="0"/>
    </dxf>
    <dxf>
      <numFmt numFmtId="180" formatCode="0.00;0.00;;@"/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numFmt numFmtId="179" formatCode="0;0;;@"/>
      <alignment horizontal="center" vertical="bottom" textRotation="0" wrapText="0" indent="0" justifyLastLine="0" shrinkToFit="0" readingOrder="0"/>
    </dxf>
    <dxf>
      <numFmt numFmtId="179" formatCode="0;0;;@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border diagonalUp="0" diagonalDown="0" outline="0">
        <left/>
        <right/>
        <top/>
        <bottom/>
      </border>
    </dxf>
    <dxf>
      <numFmt numFmtId="0" formatCode="General"/>
      <protection locked="1" hidden="0"/>
    </dxf>
    <dxf>
      <alignment horizontal="right" vertical="bottom" textRotation="0" wrapText="0" indent="1" justifyLastLine="0" shrinkToFit="0" readingOrder="0"/>
    </dxf>
    <dxf>
      <protection locked="0" hidden="0"/>
    </dxf>
    <dxf>
      <font>
        <color rgb="FFFF0000"/>
      </font>
    </dxf>
    <dxf>
      <numFmt numFmtId="176" formatCode="&quot;$&quot;#,##0.00"/>
      <alignment horizontal="right" vertical="bottom" textRotation="0" wrapText="0" indent="1" justifyLastLine="0" shrinkToFit="0" readingOrder="0"/>
    </dxf>
    <dxf>
      <numFmt numFmtId="4" formatCode="#,##0.00"/>
      <alignment horizontal="right" vertical="bottom" textRotation="0" wrapText="0" relativeIndent="1" justifyLastLine="0" shrinkToFit="0" readingOrder="0"/>
    </dxf>
    <dxf>
      <alignment horizontal="right" vertical="bottom" textRotation="0" wrapText="0" indent="1" justifyLastLine="0" shrinkToFit="0" readingOrder="0"/>
    </dxf>
    <dxf>
      <numFmt numFmtId="175" formatCode="#,##0.000"/>
      <alignment horizontal="right" vertical="bottom" textRotation="0" wrapText="0" indent="1" justifyLastLine="0" shrinkToFit="0" readingOrder="0"/>
    </dxf>
    <dxf>
      <alignment horizontal="right" vertical="bottom" textRotation="0" wrapText="0" indent="1" justifyLastLine="0" shrinkToFit="0" readingOrder="0"/>
    </dxf>
    <dxf>
      <numFmt numFmtId="3" formatCode="#,##0"/>
      <alignment horizontal="right" vertical="bottom" textRotation="0" wrapText="0" indent="1" justifyLastLine="0" shrinkToFit="0" readingOrder="0"/>
    </dxf>
    <dxf>
      <numFmt numFmtId="0" formatCode="General"/>
    </dxf>
    <dxf>
      <numFmt numFmtId="176" formatCode="&quot;$&quot;#,##0.00"/>
      <alignment horizontal="right" vertical="bottom" textRotation="0" wrapText="0" indent="1" justifyLastLine="0" shrinkToFit="0" readingOrder="0"/>
    </dxf>
    <dxf>
      <numFmt numFmtId="180" formatCode="0.00;0.00;;@"/>
      <alignment horizontal="right" vertical="bottom" textRotation="0" wrapText="0" relativeIndent="1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#,###&quot; hrs&quot;;;&quot;&quot;"/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80" formatCode="0.00;0.00;;@"/>
      <alignment horizontal="right" vertical="bottom" textRotation="0" wrapText="0" relativeIndent="1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64" formatCode="#,###&quot; hrs&quot;;;&quot;&quot;"/>
      <alignment horizontal="left" vertical="bottom" textRotation="0" wrapText="0" indent="0" justifyLastLine="0" shrinkToFit="0" readingOrder="0"/>
    </dxf>
    <dxf>
      <numFmt numFmtId="177" formatCode="#,##0;;&quot;&quot;"/>
      <alignment horizontal="center" vertical="bottom" textRotation="0" wrapText="0" indent="0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numFmt numFmtId="180" formatCode="0.00;0.00;;@"/>
      <alignment horizontal="right" vertical="bottom" textRotation="0" wrapText="0" indent="0" justifyLastLine="0" shrinkToFit="0" readingOrder="0"/>
    </dxf>
    <dxf>
      <numFmt numFmtId="180" formatCode="0.00;0.00;;@"/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64" formatCode="#,###&quot; hrs&quot;;;&quot;&quot;"/>
      <alignment horizontal="left" vertical="bottom" textRotation="0" wrapText="0" indent="0" justifyLastLine="0" shrinkToFit="0" readingOrder="0"/>
    </dxf>
    <dxf>
      <font>
        <color theme="0" tint="-0.34998626667073579"/>
      </font>
      <numFmt numFmtId="177" formatCode="#,##0;;&quot;&quot;"/>
      <alignment horizontal="general" vertical="bottom" textRotation="0" wrapText="0" indent="0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numFmt numFmtId="180" formatCode="0.00;0.00;;@"/>
      <alignment horizontal="right" vertical="bottom" textRotation="0" wrapText="0" indent="0" justifyLastLine="0" shrinkToFit="0" readingOrder="0"/>
    </dxf>
    <dxf>
      <numFmt numFmtId="180" formatCode="0.00;0.00;;@"/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numFmt numFmtId="0" formatCode="General"/>
      <alignment horizontal="left" vertical="bottom" textRotation="0" wrapText="0" relative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border diagonalUp="0" diagonalDown="0" outline="0">
        <left/>
        <right/>
        <top/>
        <bottom/>
      </border>
    </dxf>
    <dxf>
      <numFmt numFmtId="0" formatCode="General"/>
      <protection locked="0" hidden="0"/>
    </dxf>
    <dxf>
      <alignment horizontal="right" vertical="bottom" textRotation="0" wrapText="0" indent="1" justifyLastLine="0" shrinkToFit="0" readingOrder="0"/>
    </dxf>
    <dxf>
      <protection locked="0" hidden="0"/>
    </dxf>
    <dxf>
      <font>
        <color rgb="FFFF0000"/>
      </font>
    </dxf>
    <dxf>
      <numFmt numFmtId="176" formatCode="&quot;$&quot;#,##0.00"/>
      <alignment horizontal="right" vertical="bottom" textRotation="0" wrapText="0" indent="1" justifyLastLine="0" shrinkToFit="0" readingOrder="0"/>
    </dxf>
    <dxf>
      <numFmt numFmtId="180" formatCode="0.00;0.00;;@"/>
      <alignment horizontal="right" vertical="bottom" textRotation="0" wrapText="0" relativeIndent="1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64" formatCode="#,###&quot; hrs&quot;;;&quot;&quot;"/>
      <alignment horizontal="left" vertical="bottom" textRotation="0" wrapText="0" indent="0" justifyLastLine="0" shrinkToFit="0" readingOrder="0"/>
    </dxf>
    <dxf>
      <numFmt numFmtId="177" formatCode="#,##0;;&quot;&quot;"/>
      <alignment horizontal="center" vertical="bottom" textRotation="0" wrapText="0" indent="0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numFmt numFmtId="180" formatCode="0.00;0.00;;@"/>
      <alignment horizontal="right" vertical="bottom" textRotation="0" wrapText="0" indent="0" justifyLastLine="0" shrinkToFit="0" readingOrder="0"/>
    </dxf>
    <dxf>
      <numFmt numFmtId="180" formatCode="0.00;0.00;;@"/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64" formatCode="#,###&quot; hrs&quot;;;&quot;&quot;"/>
      <alignment horizontal="left" vertical="bottom" textRotation="0" wrapText="0" indent="0" justifyLastLine="0" shrinkToFit="0" readingOrder="0"/>
    </dxf>
    <dxf>
      <font>
        <color theme="0" tint="-0.34998626667073579"/>
      </font>
      <numFmt numFmtId="177" formatCode="#,##0;;&quot;&quot;"/>
      <alignment horizontal="general" vertical="bottom" textRotation="0" wrapText="0" indent="0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numFmt numFmtId="180" formatCode="0.00;0.00;;@"/>
      <alignment horizontal="right" vertical="bottom" textRotation="0" wrapText="0" indent="0" justifyLastLine="0" shrinkToFit="0" readingOrder="0"/>
    </dxf>
    <dxf>
      <numFmt numFmtId="180" formatCode="0.00;0.00;;@"/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numFmt numFmtId="179" formatCode="0;0;;@"/>
      <alignment horizontal="center" vertical="bottom" textRotation="0" wrapText="0" indent="0" justifyLastLine="0" shrinkToFit="0" readingOrder="0"/>
    </dxf>
    <dxf>
      <numFmt numFmtId="179" formatCode="0;0;;@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alignment horizontal="left" vertical="bottom" textRotation="0" wrapText="0" indent="1" justifyLastLine="0" shrinkToFit="0" readingOrder="0"/>
    </dxf>
    <dxf>
      <numFmt numFmtId="0" formatCode="General"/>
      <alignment horizontal="left" vertical="bottom" textRotation="0" wrapText="0" relativeIndent="1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border diagonalUp="0" diagonalDown="0" outline="0">
        <left/>
        <right/>
        <top/>
        <bottom/>
      </border>
    </dxf>
    <dxf>
      <alignment horizontal="right" vertical="bottom" textRotation="0" wrapText="0" indent="1" justifyLastLine="0" shrinkToFit="0" readingOrder="0"/>
    </dxf>
    <dxf>
      <protection locked="0" hidden="0"/>
    </dxf>
    <dxf>
      <font>
        <color rgb="FFFF0000"/>
      </font>
    </dxf>
    <dxf>
      <numFmt numFmtId="176" formatCode="&quot;$&quot;#,##0.00"/>
      <alignment horizontal="right" vertical="bottom" textRotation="0" wrapText="0" indent="1" justifyLastLine="0" shrinkToFit="0" readingOrder="0"/>
    </dxf>
    <dxf>
      <numFmt numFmtId="180" formatCode="0.00;0.00;;@"/>
      <alignment horizontal="right" vertical="bottom" textRotation="0" wrapText="0" relativeIndent="1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64" formatCode="#,###&quot; hrs&quot;;;&quot;&quot;"/>
      <alignment horizontal="left" vertical="bottom" textRotation="0" wrapText="0" indent="0" justifyLastLine="0" shrinkToFit="0" readingOrder="0"/>
    </dxf>
    <dxf>
      <numFmt numFmtId="177" formatCode="#,##0;;&quot;&quot;"/>
      <alignment horizontal="center" vertical="bottom" textRotation="0" wrapText="0" indent="0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numFmt numFmtId="180" formatCode="0.00;0.00;;@"/>
      <alignment horizontal="right" vertical="bottom" textRotation="0" wrapText="0" indent="0" justifyLastLine="0" shrinkToFit="0" readingOrder="0"/>
    </dxf>
    <dxf>
      <numFmt numFmtId="180" formatCode="0.00;0.00;;@"/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64" formatCode="#,###&quot; hrs&quot;;;&quot;&quot;"/>
      <alignment horizontal="left" vertical="bottom" textRotation="0" wrapText="0" indent="0" justifyLastLine="0" shrinkToFit="0" readingOrder="0"/>
    </dxf>
    <dxf>
      <font>
        <color theme="0" tint="-0.34998626667073579"/>
      </font>
      <numFmt numFmtId="177" formatCode="#,##0;;&quot;&quot;"/>
      <alignment horizontal="general" vertical="bottom" textRotation="0" wrapText="0" indent="0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numFmt numFmtId="180" formatCode="0.00;0.00;;@"/>
      <alignment horizontal="right" vertical="bottom" textRotation="0" wrapText="0" indent="0" justifyLastLine="0" shrinkToFit="0" readingOrder="0"/>
    </dxf>
    <dxf>
      <numFmt numFmtId="180" formatCode="0.00;0.00;;@"/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1" justifyLastLine="0" shrinkToFit="0" readingOrder="0"/>
    </dxf>
    <dxf>
      <numFmt numFmtId="179" formatCode="0;0;;@"/>
      <alignment horizontal="center" vertical="bottom" textRotation="0" wrapText="0" indent="0" justifyLastLine="0" shrinkToFit="0" readingOrder="0"/>
    </dxf>
    <dxf>
      <numFmt numFmtId="179" formatCode="0;0;;@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border diagonalUp="0" diagonalDown="0" outline="0">
        <left/>
        <right/>
        <top/>
        <bottom/>
      </border>
    </dxf>
    <dxf>
      <numFmt numFmtId="0" formatCode="General"/>
      <protection locked="1" hidden="0"/>
    </dxf>
    <dxf>
      <alignment horizontal="right" vertical="bottom" textRotation="0" wrapText="0" indent="1" justifyLastLine="0" shrinkToFit="0" readingOrder="0"/>
    </dxf>
    <dxf>
      <protection locked="0" hidden="0"/>
    </dxf>
    <dxf>
      <font>
        <color rgb="FFFF0000"/>
      </font>
    </dxf>
    <dxf>
      <numFmt numFmtId="176" formatCode="&quot;$&quot;#,##0.00"/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numFmt numFmtId="180" formatCode="0.00;0.00;;@"/>
      <alignment horizontal="right" vertical="bottom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color theme="0" tint="-0.34998626667073579"/>
      </font>
      <numFmt numFmtId="177" formatCode="#,##0;;&quot;&quot;"/>
      <alignment horizontal="general" vertical="bottom" textRotation="0" wrapText="0" indent="0" justifyLastLine="0" shrinkToFit="0" readingOrder="0"/>
    </dxf>
    <dxf>
      <numFmt numFmtId="180" formatCode="0.00;0.00;;@"/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80" formatCode="0.00;0.00;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color theme="0" tint="-0.34998626667073579"/>
      </font>
      <numFmt numFmtId="177" formatCode="#,##0;;&quot;&quot;"/>
      <alignment horizontal="general" vertical="bottom" textRotation="0" wrapText="0" indent="0" justifyLastLine="0" shrinkToFit="0" readingOrder="0"/>
    </dxf>
    <dxf>
      <numFmt numFmtId="180" formatCode="0.00;0.00;;@"/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80" formatCode="0.00;0.00;;@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79" formatCode="0;0;;@"/>
      <alignment horizontal="center" vertical="bottom" textRotation="0" wrapText="0" indent="0" justifyLastLine="0" shrinkToFit="0" readingOrder="0"/>
    </dxf>
    <dxf>
      <border diagonalUp="0" diagonalDown="0" outline="0">
        <left/>
        <right/>
        <top/>
        <bottom/>
      </border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3" formatCode="0%"/>
      <alignment horizontal="righ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77" formatCode="#,##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66" formatCode="#,###;;&quot;&quot;"/>
      <alignment horizontal="right" vertical="bottom" textRotation="0" wrapText="0" indent="1" justifyLastLine="0" shrinkToFit="0" readingOrder="0"/>
    </dxf>
    <dxf>
      <numFmt numFmtId="166" formatCode="#,###;;&quot;&quot;"/>
      <alignment horizontal="right" vertical="bottom" textRotation="0" wrapText="0" indent="1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69" formatCode="#,###\ \f\t\²;;;@"/>
      <alignment horizontal="left" vertical="bottom" textRotation="0" wrapText="0" indent="0" justifyLastLine="0" shrinkToFit="0" readingOrder="0"/>
    </dxf>
    <dxf>
      <font>
        <color theme="0" tint="-0.34998626667073579"/>
      </font>
      <numFmt numFmtId="167" formatCode="#,###&quot; lbs&quot;;;;@"/>
      <alignment horizontal="lef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  <alignment horizontal="right" vertical="bottom" textRotation="0" wrapText="0" indent="0" justifyLastLine="0" shrinkToFit="0" readingOrder="0"/>
    </dxf>
    <dxf>
      <numFmt numFmtId="177" formatCode="#,##0;;&quot;&quot;"/>
      <alignment horizontal="righ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2" formatCode="0\';;&quot;&quot;"/>
      <alignment horizontal="right" vertical="bottom" textRotation="0" wrapText="0" indent="1" justifyLastLine="0" shrinkToFit="0" readingOrder="0"/>
    </dxf>
    <dxf>
      <numFmt numFmtId="172" formatCode="0\';;&quot;&quot;"/>
      <alignment horizontal="right" vertical="bottom" textRotation="0" wrapText="0" indent="1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67" formatCode="#,###&quot; lbs&quot;;;;@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67" formatCode="#,###&quot; lbs&quot;;;;@"/>
      <alignment horizontal="lef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  <alignment horizontal="right" vertical="bottom" textRotation="0" wrapText="0" indent="0" justifyLastLine="0" shrinkToFit="0" readingOrder="0"/>
    </dxf>
    <dxf>
      <numFmt numFmtId="177" formatCode="#,##0;;&quot;&quot;"/>
      <alignment horizontal="righ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color theme="0" tint="-0.34998626667073579"/>
      </font>
      <numFmt numFmtId="184" formatCode="0%;;&quot;&quot;;@"/>
      <alignment horizontal="righ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77" formatCode="#,##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66" formatCode="#,###;;&quot;&quot;"/>
      <alignment horizontal="right" vertical="bottom" textRotation="0" wrapText="0" indent="1" justifyLastLine="0" shrinkToFit="0" readingOrder="0"/>
    </dxf>
    <dxf>
      <numFmt numFmtId="166" formatCode="#,###;;&quot;&quot;"/>
      <alignment horizontal="right" vertical="bottom" textRotation="0" wrapText="0" indent="1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69" formatCode="#,###\ \f\t\²;;;@"/>
      <alignment horizontal="left" vertical="bottom" textRotation="0" wrapText="0" indent="0" justifyLastLine="0" shrinkToFit="0" readingOrder="0"/>
    </dxf>
    <dxf>
      <font>
        <color theme="0" tint="-0.34998626667073579"/>
      </font>
      <numFmt numFmtId="167" formatCode="#,###&quot; lbs&quot;;;;@"/>
      <alignment horizontal="lef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  <alignment horizontal="right" vertical="bottom" textRotation="0" wrapText="0" indent="0" justifyLastLine="0" shrinkToFit="0" readingOrder="0"/>
    </dxf>
    <dxf>
      <numFmt numFmtId="177" formatCode="#,##0;;&quot;&quot;"/>
      <alignment horizontal="righ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2" formatCode="0\';;&quot;&quot;"/>
      <alignment horizontal="right" vertical="bottom" textRotation="0" wrapText="0" indent="1" justifyLastLine="0" shrinkToFit="0" readingOrder="0"/>
    </dxf>
    <dxf>
      <numFmt numFmtId="172" formatCode="0\';;&quot;&quot;"/>
      <alignment horizontal="right" vertical="bottom" textRotation="0" wrapText="0" indent="1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67" formatCode="#,###&quot; lbs&quot;;;;@"/>
      <alignment horizontal="left" vertical="bottom" textRotation="0" wrapText="0" indent="0" justifyLastLine="0" shrinkToFit="0" readingOrder="0"/>
    </dxf>
    <dxf>
      <font>
        <color theme="0" tint="-0.34998626667073579"/>
      </font>
      <numFmt numFmtId="167" formatCode="#,###&quot; lbs&quot;;;;@"/>
      <alignment horizontal="lef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  <alignment horizontal="right" vertical="bottom" textRotation="0" wrapText="0" indent="0" justifyLastLine="0" shrinkToFit="0" readingOrder="0"/>
    </dxf>
    <dxf>
      <numFmt numFmtId="177" formatCode="#,##0;;&quot;&quot;"/>
      <alignment horizontal="righ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3" formatCode="0%"/>
      <alignment horizontal="righ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77" formatCode="#,##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66" formatCode="#,###;;&quot;&quot;"/>
      <alignment horizontal="right" vertical="bottom" textRotation="0" wrapText="0" indent="1" justifyLastLine="0" shrinkToFit="0" readingOrder="0"/>
    </dxf>
    <dxf>
      <numFmt numFmtId="166" formatCode="#,###;;&quot;&quot;"/>
      <alignment horizontal="right" vertical="bottom" textRotation="0" wrapText="0" indent="1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69" formatCode="#,###\ \f\t\²;;;@"/>
      <alignment horizontal="left" vertical="bottom" textRotation="0" wrapText="0" indent="0" justifyLastLine="0" shrinkToFit="0" readingOrder="0"/>
    </dxf>
    <dxf>
      <font>
        <color theme="0" tint="-0.34998626667073579"/>
      </font>
      <numFmt numFmtId="167" formatCode="#,###&quot; lbs&quot;;;;@"/>
      <alignment horizontal="lef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  <alignment horizontal="right" vertical="bottom" textRotation="0" wrapText="0" indent="0" justifyLastLine="0" shrinkToFit="0" readingOrder="0"/>
    </dxf>
    <dxf>
      <numFmt numFmtId="177" formatCode="#,##0;;&quot;&quot;"/>
      <alignment horizontal="righ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2" formatCode="0\';;&quot;&quot;"/>
      <alignment horizontal="right" vertical="bottom" textRotation="0" wrapText="0" indent="1" justifyLastLine="0" shrinkToFit="0" readingOrder="0"/>
    </dxf>
    <dxf>
      <numFmt numFmtId="172" formatCode="0\';;&quot;&quot;"/>
      <alignment horizontal="right" vertical="bottom" textRotation="0" wrapText="0" indent="1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67" formatCode="#,###&quot; lbs&quot;;;;@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67" formatCode="#,###&quot; lbs&quot;;;;@"/>
      <alignment horizontal="lef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  <alignment horizontal="right" vertical="bottom" textRotation="0" wrapText="0" indent="0" justifyLastLine="0" shrinkToFit="0" readingOrder="0"/>
    </dxf>
    <dxf>
      <numFmt numFmtId="177" formatCode="#,##0;;&quot;&quot;"/>
      <alignment horizontal="righ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color theme="0" tint="-0.34998626667073579"/>
      </font>
      <numFmt numFmtId="184" formatCode="0%;;&quot;&quot;;@"/>
      <alignment horizontal="righ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77" formatCode="#,##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66" formatCode="#,###;;&quot;&quot;"/>
      <alignment horizontal="right" vertical="bottom" textRotation="0" wrapText="0" indent="1" justifyLastLine="0" shrinkToFit="0" readingOrder="0"/>
    </dxf>
    <dxf>
      <numFmt numFmtId="166" formatCode="#,###;;&quot;&quot;"/>
      <alignment horizontal="right" vertical="bottom" textRotation="0" wrapText="0" indent="1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69" formatCode="#,###\ \f\t\²;;;@"/>
      <alignment horizontal="left" vertical="bottom" textRotation="0" wrapText="0" indent="0" justifyLastLine="0" shrinkToFit="0" readingOrder="0"/>
    </dxf>
    <dxf>
      <font>
        <color theme="0" tint="-0.34998626667073579"/>
      </font>
      <numFmt numFmtId="167" formatCode="#,###&quot; lbs&quot;;;;@"/>
      <alignment horizontal="lef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  <alignment horizontal="right" vertical="bottom" textRotation="0" wrapText="0" indent="0" justifyLastLine="0" shrinkToFit="0" readingOrder="0"/>
    </dxf>
    <dxf>
      <numFmt numFmtId="177" formatCode="#,##0;;&quot;&quot;"/>
      <alignment horizontal="righ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2" formatCode="0\';;&quot;&quot;"/>
      <alignment horizontal="right" vertical="bottom" textRotation="0" wrapText="0" indent="1" justifyLastLine="0" shrinkToFit="0" readingOrder="0"/>
    </dxf>
    <dxf>
      <numFmt numFmtId="172" formatCode="0\';;&quot;&quot;"/>
      <alignment horizontal="right" vertical="bottom" textRotation="0" wrapText="0" indent="1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67" formatCode="#,###&quot; lbs&quot;;;;@"/>
      <alignment horizontal="left" vertical="bottom" textRotation="0" wrapText="0" indent="0" justifyLastLine="0" shrinkToFit="0" readingOrder="0"/>
    </dxf>
    <dxf>
      <font>
        <color theme="0" tint="-0.34998626667073579"/>
      </font>
      <numFmt numFmtId="167" formatCode="#,###&quot; lbs&quot;;;;@"/>
      <alignment horizontal="lef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  <alignment horizontal="right" vertical="bottom" textRotation="0" wrapText="0" indent="0" justifyLastLine="0" shrinkToFit="0" readingOrder="0"/>
    </dxf>
    <dxf>
      <numFmt numFmtId="177" formatCode="#,##0;;&quot;&quot;"/>
      <alignment horizontal="righ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3" formatCode="0%"/>
      <alignment horizontal="righ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77" formatCode="#,##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66" formatCode="#,###;;&quot;&quot;"/>
      <alignment horizontal="right" vertical="bottom" textRotation="0" wrapText="0" indent="1" justifyLastLine="0" shrinkToFit="0" readingOrder="0"/>
    </dxf>
    <dxf>
      <numFmt numFmtId="166" formatCode="#,###;;&quot;&quot;"/>
      <alignment horizontal="right" vertical="bottom" textRotation="0" wrapText="0" indent="1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69" formatCode="#,###\ \f\t\²;;;@"/>
      <alignment horizontal="left" vertical="bottom" textRotation="0" wrapText="0" indent="0" justifyLastLine="0" shrinkToFit="0" readingOrder="0"/>
    </dxf>
    <dxf>
      <font>
        <color theme="0" tint="-0.34998626667073579"/>
      </font>
      <numFmt numFmtId="167" formatCode="#,###&quot; lbs&quot;;;;@"/>
      <alignment horizontal="lef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  <alignment horizontal="right" vertical="bottom" textRotation="0" wrapText="0" indent="0" justifyLastLine="0" shrinkToFit="0" readingOrder="0"/>
    </dxf>
    <dxf>
      <numFmt numFmtId="177" formatCode="#,##0;;&quot;&quot;"/>
      <alignment horizontal="righ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2" formatCode="0\';;&quot;&quot;"/>
      <alignment horizontal="right" vertical="bottom" textRotation="0" wrapText="0" indent="1" justifyLastLine="0" shrinkToFit="0" readingOrder="0"/>
    </dxf>
    <dxf>
      <numFmt numFmtId="172" formatCode="0\';;&quot;&quot;"/>
      <alignment horizontal="right" vertical="bottom" textRotation="0" wrapText="0" indent="1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67" formatCode="#,###&quot; lbs&quot;;;;@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67" formatCode="#,###&quot; lbs&quot;;;;@"/>
      <alignment horizontal="lef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  <alignment horizontal="right" vertical="bottom" textRotation="0" wrapText="0" indent="0" justifyLastLine="0" shrinkToFit="0" readingOrder="0"/>
    </dxf>
    <dxf>
      <numFmt numFmtId="177" formatCode="#,##0;;&quot;&quot;"/>
      <alignment horizontal="righ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color theme="0" tint="-0.34998626667073579"/>
      </font>
      <numFmt numFmtId="184" formatCode="0%;;&quot;&quot;;@"/>
      <alignment horizontal="righ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77" formatCode="#,##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66" formatCode="#,###;;&quot;&quot;"/>
      <alignment horizontal="right" vertical="bottom" textRotation="0" wrapText="0" indent="1" justifyLastLine="0" shrinkToFit="0" readingOrder="0"/>
    </dxf>
    <dxf>
      <numFmt numFmtId="166" formatCode="#,###;;&quot;&quot;"/>
      <alignment horizontal="right" vertical="bottom" textRotation="0" wrapText="0" indent="1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69" formatCode="#,###\ \f\t\²;;;@"/>
      <alignment horizontal="left" vertical="bottom" textRotation="0" wrapText="0" indent="0" justifyLastLine="0" shrinkToFit="0" readingOrder="0"/>
    </dxf>
    <dxf>
      <font>
        <color theme="0" tint="-0.34998626667073579"/>
      </font>
      <numFmt numFmtId="167" formatCode="#,###&quot; lbs&quot;;;;@"/>
      <alignment horizontal="lef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  <alignment horizontal="right" vertical="bottom" textRotation="0" wrapText="0" indent="0" justifyLastLine="0" shrinkToFit="0" readingOrder="0"/>
    </dxf>
    <dxf>
      <numFmt numFmtId="177" formatCode="#,##0;;&quot;&quot;"/>
      <alignment horizontal="righ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2" formatCode="0\';;&quot;&quot;"/>
      <alignment horizontal="right" vertical="bottom" textRotation="0" wrapText="0" indent="1" justifyLastLine="0" shrinkToFit="0" readingOrder="0"/>
    </dxf>
    <dxf>
      <numFmt numFmtId="172" formatCode="0\';;&quot;&quot;"/>
      <alignment horizontal="right" vertical="bottom" textRotation="0" wrapText="0" indent="1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67" formatCode="#,###&quot; lbs&quot;;;;@"/>
      <alignment horizontal="left" vertical="bottom" textRotation="0" wrapText="0" indent="0" justifyLastLine="0" shrinkToFit="0" readingOrder="0"/>
    </dxf>
    <dxf>
      <font>
        <color theme="0" tint="-0.34998626667073579"/>
      </font>
      <numFmt numFmtId="167" formatCode="#,###&quot; lbs&quot;;;;@"/>
      <alignment horizontal="lef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  <alignment horizontal="right" vertical="bottom" textRotation="0" wrapText="0" indent="0" justifyLastLine="0" shrinkToFit="0" readingOrder="0"/>
    </dxf>
    <dxf>
      <numFmt numFmtId="177" formatCode="#,##0;;&quot;&quot;"/>
      <alignment horizontal="righ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3" formatCode="0%"/>
      <alignment horizontal="righ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77" formatCode="#,##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66" formatCode="#,###;;&quot;&quot;"/>
      <alignment horizontal="right" vertical="bottom" textRotation="0" wrapText="0" indent="1" justifyLastLine="0" shrinkToFit="0" readingOrder="0"/>
    </dxf>
    <dxf>
      <numFmt numFmtId="166" formatCode="#,###;;&quot;&quot;"/>
      <alignment horizontal="right" vertical="bottom" textRotation="0" wrapText="0" relativeIndent="1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69" formatCode="#,###\ \f\t\²;;;@"/>
      <alignment horizontal="left" vertical="bottom" textRotation="0" wrapText="0" indent="0" justifyLastLine="0" shrinkToFit="0" readingOrder="0"/>
    </dxf>
    <dxf>
      <font>
        <color theme="0" tint="-0.34998626667073579"/>
      </font>
      <numFmt numFmtId="167" formatCode="#,###&quot; lbs&quot;;;;@"/>
      <alignment horizontal="lef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  <alignment horizontal="right" vertical="bottom" textRotation="0" wrapText="0" indent="0" justifyLastLine="0" shrinkToFit="0" readingOrder="0"/>
    </dxf>
    <dxf>
      <numFmt numFmtId="177" formatCode="#,##0;;&quot;&quot;"/>
      <alignment horizontal="right" vertical="bottom" textRotation="0" wrapText="0" relativeIndent="-1" justifyLastLine="0" shrinkToFit="0" readingOrder="0"/>
    </dxf>
    <dxf>
      <alignment horizontal="right" vertical="bottom" textRotation="0" wrapText="0" indent="1" justifyLastLine="0" shrinkToFit="0" readingOrder="0"/>
    </dxf>
    <dxf>
      <numFmt numFmtId="172" formatCode="0\';;&quot;&quot;"/>
      <alignment horizontal="right" vertical="bottom" textRotation="0" wrapText="0" indent="1" justifyLastLine="0" shrinkToFit="0" readingOrder="0"/>
    </dxf>
    <dxf>
      <numFmt numFmtId="172" formatCode="0\';;&quot;&quot;"/>
      <alignment horizontal="right" vertical="bottom" textRotation="0" wrapText="0" relativeIndent="1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67" formatCode="#,###&quot; lbs&quot;;;;@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67" formatCode="#,###&quot; lbs&quot;;;;@"/>
      <alignment horizontal="lef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  <alignment horizontal="right" vertical="bottom" textRotation="0" wrapText="0" indent="0" justifyLastLine="0" shrinkToFit="0" readingOrder="0"/>
    </dxf>
    <dxf>
      <numFmt numFmtId="177" formatCode="#,##0;;&quot;&quot;"/>
      <alignment horizontal="right" vertical="bottom" textRotation="0" wrapText="0" relativeIndent="-1" justifyLastLine="0" shrinkToFit="0" readingOrder="0"/>
    </dxf>
    <dxf>
      <alignment horizontal="right" vertical="bottom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color theme="0" tint="-0.34998626667073579"/>
      </font>
      <numFmt numFmtId="184" formatCode="0%;;&quot;&quot;;@"/>
      <alignment horizontal="righ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77" formatCode="#,##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7" formatCode="#,##0;;&quot;&quot;"/>
      <alignment horizontal="general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66" formatCode="#,###;;&quot;&quot;"/>
      <alignment horizontal="right" vertical="bottom" textRotation="0" wrapText="0" indent="1" justifyLastLine="0" shrinkToFit="0" readingOrder="0"/>
    </dxf>
    <dxf>
      <numFmt numFmtId="166" formatCode="#,###;;&quot;&quot;"/>
      <alignment horizontal="right" vertical="bottom" textRotation="0" wrapText="0" indent="1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69" formatCode="#,###\ \f\t\²;;;@"/>
      <alignment horizontal="left" vertical="bottom" textRotation="0" wrapText="0" indent="0" justifyLastLine="0" shrinkToFit="0" readingOrder="0"/>
    </dxf>
    <dxf>
      <font>
        <color theme="0" tint="-0.34998626667073579"/>
      </font>
      <numFmt numFmtId="167" formatCode="#,###&quot; lbs&quot;;;;@"/>
      <alignment horizontal="lef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  <alignment horizontal="right" vertical="bottom" textRotation="0" wrapText="0" indent="0" justifyLastLine="0" shrinkToFit="0" readingOrder="0"/>
    </dxf>
    <dxf>
      <numFmt numFmtId="177" formatCode="#,##0;;&quot;&quot;"/>
      <alignment horizontal="righ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2" formatCode="0\';;&quot;&quot;"/>
      <alignment horizontal="right" vertical="bottom" textRotation="0" wrapText="0" indent="1" justifyLastLine="0" shrinkToFit="0" readingOrder="0"/>
    </dxf>
    <dxf>
      <numFmt numFmtId="172" formatCode="0\';;&quot;&quot;"/>
      <alignment horizontal="right" vertical="bottom" textRotation="0" wrapText="0" indent="1" justifyLastLine="0" shrinkToFit="0" readingOrder="0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67" formatCode="#,###&quot; lbs&quot;;;;@"/>
      <alignment horizontal="left" vertical="bottom" textRotation="0" wrapText="0" indent="0" justifyLastLine="0" shrinkToFit="0" readingOrder="0"/>
    </dxf>
    <dxf>
      <font>
        <color theme="0" tint="-0.34998626667073579"/>
      </font>
      <numFmt numFmtId="167" formatCode="#,###&quot; lbs&quot;;;;@"/>
      <alignment horizontal="lef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numFmt numFmtId="177" formatCode="#,##0;;&quot;&quot;"/>
      <alignment horizontal="right" vertical="bottom" textRotation="0" wrapText="0" indent="0" justifyLastLine="0" shrinkToFit="0" readingOrder="0"/>
    </dxf>
    <dxf>
      <numFmt numFmtId="177" formatCode="#,##0;;&quot;&quot;"/>
      <alignment horizontal="right" vertical="bottom" textRotation="0" wrapText="0" indent="0" justifyLastLine="0" shrinkToFit="0" readingOrder="0"/>
    </dxf>
    <dxf>
      <alignment horizontal="right" vertical="bottom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0" tint="-4.9989318521683403E-2"/>
        </patternFill>
      </fill>
      <border>
        <top style="thin">
          <color theme="9" tint="0.79998168889431442"/>
        </top>
      </border>
    </dxf>
    <dxf>
      <border>
        <top style="thin">
          <color theme="9" tint="0.79995117038483843"/>
        </top>
        <horizontal/>
      </border>
    </dxf>
    <dxf>
      <font>
        <color theme="9" tint="-0.499984740745262"/>
      </font>
      <fill>
        <patternFill patternType="solid">
          <fgColor theme="0"/>
          <bgColor theme="9" tint="0.79998168889431442"/>
        </patternFill>
      </fill>
      <border>
        <left style="thin">
          <color theme="9" tint="-0.499984740745262"/>
        </left>
        <right style="thin">
          <color theme="9" tint="0.39994506668294322"/>
        </right>
        <horizontal style="thin">
          <color rgb="FFECF5E7"/>
        </horizontal>
      </border>
    </dxf>
    <dxf>
      <fill>
        <patternFill patternType="solid">
          <bgColor theme="0"/>
        </patternFill>
      </fill>
      <border>
        <left style="thin">
          <color theme="9" tint="-0.499984740745262"/>
        </left>
        <right style="thin">
          <color theme="9" tint="-0.499984740745262"/>
        </right>
        <top style="thin">
          <color theme="9" tint="0.39994506668294322"/>
        </top>
        <bottom style="thin">
          <color theme="9" tint="-0.499984740745262"/>
        </bottom>
        <vertical/>
      </border>
    </dxf>
    <dxf>
      <font>
        <color theme="0" tint="-4.9989318521683403E-2"/>
      </font>
      <fill>
        <patternFill>
          <bgColor theme="9" tint="-0.24994659260841701"/>
        </patternFill>
      </fill>
    </dxf>
    <dxf>
      <border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597"/>
      <tableStyleElement type="headerRow" dxfId="596"/>
    </tableStyle>
    <tableStyle name="Vegas" pivot="0" count="6">
      <tableStyleElement type="wholeTable" dxfId="595"/>
      <tableStyleElement type="headerRow" dxfId="594"/>
      <tableStyleElement type="totalRow" dxfId="593"/>
      <tableStyleElement type="firstColumn" dxfId="592"/>
      <tableStyleElement type="firstRowStripe" dxfId="591"/>
      <tableStyleElement type="secondRowStripe" dxfId="590"/>
    </tableStyle>
  </tableStyles>
  <colors>
    <mruColors>
      <color rgb="FF606062"/>
      <color rgb="FF4D6F79"/>
      <color rgb="FF548235"/>
      <color rgb="FFFFFFCC"/>
      <color rgb="FF777777"/>
      <color rgb="FFE2EFDA"/>
      <color rgb="FFECF5E7"/>
      <color rgb="FFF3F3F3"/>
      <color rgb="FFECECEC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581025</xdr:colOff>
      <xdr:row>1</xdr:row>
      <xdr:rowOff>57150</xdr:rowOff>
    </xdr:from>
    <xdr:to>
      <xdr:col>12</xdr:col>
      <xdr:colOff>142875</xdr:colOff>
      <xdr:row>1</xdr:row>
      <xdr:rowOff>441509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29E09B-97B3-42E5-97F7-EEE9FE92C4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72375" y="133350"/>
          <a:ext cx="857250" cy="3843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220980</xdr:colOff>
      <xdr:row>1</xdr:row>
      <xdr:rowOff>47625</xdr:rowOff>
    </xdr:from>
    <xdr:to>
      <xdr:col>25</xdr:col>
      <xdr:colOff>102870</xdr:colOff>
      <xdr:row>1</xdr:row>
      <xdr:rowOff>431984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5F7DC90-93F1-44A0-9A88-62B2AE02FE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17830" y="123825"/>
          <a:ext cx="910590" cy="38435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285750</xdr:colOff>
      <xdr:row>1</xdr:row>
      <xdr:rowOff>38100</xdr:rowOff>
    </xdr:from>
    <xdr:to>
      <xdr:col>12</xdr:col>
      <xdr:colOff>114300</xdr:colOff>
      <xdr:row>1</xdr:row>
      <xdr:rowOff>422459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1AA83E8-B790-463A-93F7-2224EC9DF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20175" y="114300"/>
          <a:ext cx="857250" cy="38435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295275</xdr:colOff>
      <xdr:row>1</xdr:row>
      <xdr:rowOff>28575</xdr:rowOff>
    </xdr:from>
    <xdr:to>
      <xdr:col>12</xdr:col>
      <xdr:colOff>123825</xdr:colOff>
      <xdr:row>1</xdr:row>
      <xdr:rowOff>412934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7BEC1AC-11AD-46ED-A115-C38F008A3C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15425" y="104775"/>
          <a:ext cx="857250" cy="38435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295275</xdr:colOff>
      <xdr:row>1</xdr:row>
      <xdr:rowOff>38100</xdr:rowOff>
    </xdr:from>
    <xdr:to>
      <xdr:col>13</xdr:col>
      <xdr:colOff>123825</xdr:colOff>
      <xdr:row>1</xdr:row>
      <xdr:rowOff>422459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8B5E8DA-A2A1-4861-921C-70C7F3F82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5050" y="114300"/>
          <a:ext cx="857250" cy="38435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295275</xdr:colOff>
      <xdr:row>1</xdr:row>
      <xdr:rowOff>38100</xdr:rowOff>
    </xdr:from>
    <xdr:to>
      <xdr:col>14</xdr:col>
      <xdr:colOff>123825</xdr:colOff>
      <xdr:row>1</xdr:row>
      <xdr:rowOff>422459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734F4E6-9CF8-41DA-8F41-752827A823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9950" y="114300"/>
          <a:ext cx="857250" cy="384359"/>
        </a:xfrm>
        <a:prstGeom prst="rect">
          <a:avLst/>
        </a:prstGeom>
      </xdr:spPr>
    </xdr:pic>
    <xdr:clientData/>
  </xdr:twoCellAnchor>
  <xdr:twoCellAnchor>
    <xdr:from>
      <xdr:col>11</xdr:col>
      <xdr:colOff>200025</xdr:colOff>
      <xdr:row>13</xdr:row>
      <xdr:rowOff>38100</xdr:rowOff>
    </xdr:from>
    <xdr:to>
      <xdr:col>15</xdr:col>
      <xdr:colOff>123825</xdr:colOff>
      <xdr:row>20</xdr:row>
      <xdr:rowOff>47625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C92A63A1-F960-45B2-8332-89216F4D453D}"/>
            </a:ext>
          </a:extLst>
        </xdr:cNvPr>
        <xdr:cNvSpPr/>
      </xdr:nvSpPr>
      <xdr:spPr>
        <a:xfrm>
          <a:off x="9020175" y="2781300"/>
          <a:ext cx="2276475" cy="1343025"/>
        </a:xfrm>
        <a:prstGeom prst="rect">
          <a:avLst/>
        </a:prstGeom>
        <a:solidFill>
          <a:srgbClr val="FFFFCC"/>
        </a:solidFill>
        <a:ln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Note:</a:t>
          </a:r>
        </a:p>
        <a:p>
          <a:pPr algn="l"/>
          <a:r>
            <a:rPr lang="en-US" sz="1100">
              <a:solidFill>
                <a:sysClr val="windowText" lastClr="000000"/>
              </a:solidFill>
            </a:rPr>
            <a:t>All</a:t>
          </a:r>
          <a:r>
            <a:rPr lang="en-US" sz="1100" baseline="0">
              <a:solidFill>
                <a:sysClr val="windowText" lastClr="000000"/>
              </a:solidFill>
            </a:rPr>
            <a:t> equipment must have a tag designated.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390525</xdr:colOff>
      <xdr:row>19</xdr:row>
      <xdr:rowOff>28575</xdr:rowOff>
    </xdr:from>
    <xdr:to>
      <xdr:col>8</xdr:col>
      <xdr:colOff>95250</xdr:colOff>
      <xdr:row>26</xdr:row>
      <xdr:rowOff>38100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7D9B5A6F-9336-425F-A690-B6A2FE817ABF}"/>
            </a:ext>
          </a:extLst>
        </xdr:cNvPr>
        <xdr:cNvSpPr/>
      </xdr:nvSpPr>
      <xdr:spPr>
        <a:xfrm>
          <a:off x="4429125" y="3914775"/>
          <a:ext cx="2276475" cy="1343025"/>
        </a:xfrm>
        <a:prstGeom prst="rect">
          <a:avLst/>
        </a:prstGeom>
        <a:solidFill>
          <a:srgbClr val="FFFFCC"/>
        </a:solidFill>
        <a:ln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Note:</a:t>
          </a:r>
        </a:p>
        <a:p>
          <a:pPr algn="l"/>
          <a:r>
            <a:rPr lang="en-US" sz="1100" b="1">
              <a:solidFill>
                <a:sysClr val="windowText" lastClr="000000"/>
              </a:solidFill>
            </a:rPr>
            <a:t>This table is not complete</a:t>
          </a:r>
        </a:p>
        <a:p>
          <a:pPr algn="l"/>
          <a:endParaRPr lang="en-US" sz="1100">
            <a:solidFill>
              <a:sysClr val="windowText" lastClr="000000"/>
            </a:solidFill>
          </a:endParaRPr>
        </a:p>
        <a:p>
          <a:pPr algn="l"/>
          <a:r>
            <a:rPr lang="en-US" sz="1100" i="1">
              <a:solidFill>
                <a:sysClr val="windowText" lastClr="000000"/>
              </a:solidFill>
            </a:rPr>
            <a:t>(still trying to</a:t>
          </a:r>
          <a:r>
            <a:rPr lang="en-US" sz="1100" i="1" baseline="0">
              <a:solidFill>
                <a:sysClr val="windowText" lastClr="000000"/>
              </a:solidFill>
            </a:rPr>
            <a:t> figure out the best way to handle this, any feedback you have would be appreciated)</a:t>
          </a:r>
          <a:endParaRPr lang="en-US" sz="1100" i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390525</xdr:colOff>
      <xdr:row>1</xdr:row>
      <xdr:rowOff>9525</xdr:rowOff>
    </xdr:from>
    <xdr:to>
      <xdr:col>9</xdr:col>
      <xdr:colOff>133350</xdr:colOff>
      <xdr:row>1</xdr:row>
      <xdr:rowOff>393884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B3F5615-EB29-4FC4-8190-05BE6B0AEE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53525" y="85725"/>
          <a:ext cx="857250" cy="384359"/>
        </a:xfrm>
        <a:prstGeom prst="rect">
          <a:avLst/>
        </a:prstGeom>
      </xdr:spPr>
    </xdr:pic>
    <xdr:clientData/>
  </xdr:twoCellAnchor>
  <xdr:twoCellAnchor>
    <xdr:from>
      <xdr:col>6</xdr:col>
      <xdr:colOff>76200</xdr:colOff>
      <xdr:row>7</xdr:row>
      <xdr:rowOff>57149</xdr:rowOff>
    </xdr:from>
    <xdr:to>
      <xdr:col>10</xdr:col>
      <xdr:colOff>276225</xdr:colOff>
      <xdr:row>14</xdr:row>
      <xdr:rowOff>19049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5D15A91-EC94-4C36-808E-71297E103DB1}"/>
            </a:ext>
          </a:extLst>
        </xdr:cNvPr>
        <xdr:cNvSpPr/>
      </xdr:nvSpPr>
      <xdr:spPr>
        <a:xfrm>
          <a:off x="6410325" y="1609724"/>
          <a:ext cx="2276475" cy="1343025"/>
        </a:xfrm>
        <a:prstGeom prst="rect">
          <a:avLst/>
        </a:prstGeom>
        <a:solidFill>
          <a:srgbClr val="FFFFCC"/>
        </a:solidFill>
        <a:ln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Note:</a:t>
          </a:r>
        </a:p>
        <a:p>
          <a:pPr algn="l"/>
          <a:r>
            <a:rPr lang="en-US" sz="1100">
              <a:solidFill>
                <a:sysClr val="windowText" lastClr="000000"/>
              </a:solidFill>
            </a:rPr>
            <a:t>For error checking only, ancillary labor and cost are</a:t>
          </a:r>
          <a:r>
            <a:rPr lang="en-US" sz="1100" baseline="0">
              <a:solidFill>
                <a:sysClr val="windowText" lastClr="000000"/>
              </a:solidFill>
            </a:rPr>
            <a:t> included with the items.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295275</xdr:colOff>
      <xdr:row>1</xdr:row>
      <xdr:rowOff>28575</xdr:rowOff>
    </xdr:from>
    <xdr:to>
      <xdr:col>12</xdr:col>
      <xdr:colOff>123825</xdr:colOff>
      <xdr:row>1</xdr:row>
      <xdr:rowOff>412934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B995658-DCBE-4878-B87F-AA10B7004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104775"/>
          <a:ext cx="857250" cy="38435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295275</xdr:colOff>
      <xdr:row>1</xdr:row>
      <xdr:rowOff>28575</xdr:rowOff>
    </xdr:from>
    <xdr:to>
      <xdr:col>10</xdr:col>
      <xdr:colOff>123825</xdr:colOff>
      <xdr:row>1</xdr:row>
      <xdr:rowOff>412934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E9897FE-60E5-414E-9A56-0311CA672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104775"/>
          <a:ext cx="857250" cy="38435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295275</xdr:colOff>
      <xdr:row>1</xdr:row>
      <xdr:rowOff>28575</xdr:rowOff>
    </xdr:from>
    <xdr:to>
      <xdr:col>12</xdr:col>
      <xdr:colOff>123825</xdr:colOff>
      <xdr:row>1</xdr:row>
      <xdr:rowOff>412934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6453EE3-19E4-436A-9C12-FC8081DA44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104775"/>
          <a:ext cx="857250" cy="38435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295275</xdr:colOff>
      <xdr:row>1</xdr:row>
      <xdr:rowOff>28575</xdr:rowOff>
    </xdr:from>
    <xdr:to>
      <xdr:col>12</xdr:col>
      <xdr:colOff>123825</xdr:colOff>
      <xdr:row>1</xdr:row>
      <xdr:rowOff>412934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D919B87-655C-4CB0-BBC8-30F8CD3A9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104775"/>
          <a:ext cx="857250" cy="38435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866775</xdr:colOff>
      <xdr:row>1</xdr:row>
      <xdr:rowOff>19050</xdr:rowOff>
    </xdr:from>
    <xdr:to>
      <xdr:col>8</xdr:col>
      <xdr:colOff>857250</xdr:colOff>
      <xdr:row>1</xdr:row>
      <xdr:rowOff>403409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3BAEB77-8591-4105-A043-1004B159F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7725" y="95250"/>
          <a:ext cx="857250" cy="38435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304800</xdr:colOff>
      <xdr:row>1</xdr:row>
      <xdr:rowOff>0</xdr:rowOff>
    </xdr:from>
    <xdr:to>
      <xdr:col>10</xdr:col>
      <xdr:colOff>133350</xdr:colOff>
      <xdr:row>1</xdr:row>
      <xdr:rowOff>384359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71909F6-C09A-435B-96A0-CFB8B6122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01200" y="76200"/>
          <a:ext cx="857250" cy="384359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SM-EST-Duct" growShrinkType="overwriteClear" connectionId="4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SM-EST-Accessories" growShrinkType="overwriteClear" connectionId="1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SM-EST-Dampers" growShrinkType="overwriteClear" connectionId="3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SM-EST-Ancillaries" growShrinkType="overwriteClear" connectionId="2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SM-EST-Hangers" growShrinkType="overwriteClear" connectionId="8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SM-EST-Equipment" growShrinkType="overwriteClear" connectionId="5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SM-EST-Flex Duct" growShrinkType="overwriteClear" connectionId="6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SM-EST-GRDs" growShrinkType="overwriteClear" connectionId="7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SM-EST-Sleeves" growShrinkType="overwriteClear" connectionId="11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SM-EST-Insulation" growShrinkType="overwriteClear" connectionId="9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SM-EST-Job Info" growShrinkType="overwriteClear" connectionId="10" autoFormatId="16" applyNumberFormats="0" applyBorderFormats="0" applyFontFormats="0" applyPatternFormats="0" applyAlignmentFormats="0" applyWidthHeightFormats="0"/>
</file>

<file path=xl/tables/table1.xml><?xml version="1.0" encoding="utf-8"?>
<table xmlns="http://schemas.openxmlformats.org/spreadsheetml/2006/main" id="3" name="BouthtOut1" displayName="BouthtOut1" ref="B18:U23" headerRowCount="0" totalsRowCount="1">
  <tableColumns count="20">
    <tableColumn id="1" name="Bought Out" totalsRowFunction="custom" headerRowDxfId="581">
      <totalsRowFormula>IF(SUM(X18:X20)&gt;3,"Total w/Multiplier","Total")</totalsRowFormula>
    </tableColumn>
    <tableColumn id="2" name="Service Type"/>
    <tableColumn id="3" name="Cut Type"/>
    <tableColumn id="4" name="Bought Out2"/>
    <tableColumn id="5" name="Fitting Type"/>
    <tableColumn id="6" name="Weight (lbs)" totalsRowFunction="sum" headerRowDxfId="580" dataDxfId="579" totalsRowDxfId="578">
      <calculatedColumnFormula>SUMIFS(SM_Weight,SM_Material,B$8,SM_ServiceType,C18,SM_CutType,D18,SM_BoughtOut,E18,SM_FittingType,F18)</calculatedColumnFormula>
    </tableColumn>
    <tableColumn id="11" name="Column2" totalsRowFunction="custom" headerRowDxfId="577" dataDxfId="576" totalsRowDxfId="575">
      <calculatedColumnFormula>IF(G18=0,"","lbs")</calculatedColumnFormula>
      <totalsRowFormula>IF(G23=0,"","lbs")</totalsRowFormula>
    </tableColumn>
    <tableColumn id="7" name="Length (ft)" totalsRowFunction="sum" headerRowDxfId="574" dataDxfId="573" totalsRowDxfId="572">
      <calculatedColumnFormula>SUMIFS(SM_Length,SM_Material,B$8,SM_ServiceType,C18,SM_CutType,D18,SM_BoughtOut,E18,SM_FittingType,F18)</calculatedColumnFormula>
    </tableColumn>
    <tableColumn id="8" name="Area (SqFt)" totalsRowFunction="sum" headerRowDxfId="571" dataDxfId="570" totalsRowDxfId="569">
      <calculatedColumnFormula>SUMIFS(SM_Area,SM_Material,B$8,SM_ServiceType,C18,SM_CutType,D18,SM_BoughtOut,E18,SM_FittingType,F18)</calculatedColumnFormula>
    </tableColumn>
    <tableColumn id="12" name="Column3" totalsRowFunction="custom" headerRowDxfId="568" dataDxfId="567" totalsRowDxfId="566">
      <calculatedColumnFormula>IF(J18=0,"","ft²")</calculatedColumnFormula>
      <totalsRowFormula>IF(J23=0,"","ft²")</totalsRowFormula>
    </tableColumn>
    <tableColumn id="9" name="Pieces" totalsRowFunction="sum" headerRowDxfId="565" dataDxfId="564" totalsRowDxfId="563">
      <calculatedColumnFormula>SUMIFS(SM_Qty,SM_Material,B$8,SM_ServiceType,C18,SM_CutType,D18,SM_BoughtOut,E18,SM_FittingType,F18)</calculatedColumnFormula>
    </tableColumn>
    <tableColumn id="13" name="Column4" totalsRowFunction="custom" headerRowDxfId="562" dataDxfId="561" totalsRowDxfId="560">
      <calculatedColumnFormula>SUMIFS(SM_Ftime,SM_Material,B$8,SM_ServiceType,C18,SM_CutType,D18,SM_BoughtOut,E18,SM_FittingType,F18)*24</calculatedColumnFormula>
      <totalsRowFormula>SUBTOTAL(109,BouthtOut1[Column4])*X18</totalsRowFormula>
    </tableColumn>
    <tableColumn id="14" name="Column5" totalsRowFunction="custom" headerRowDxfId="559" dataDxfId="558" totalsRowDxfId="557">
      <calculatedColumnFormula>IF(M18=0,"","hrs")</calculatedColumnFormula>
      <totalsRowFormula>IF(M23=0,"","hrs")</totalsRowFormula>
    </tableColumn>
    <tableColumn id="15" name="Column6" totalsRowFunction="custom" headerRowDxfId="556" dataDxfId="555" totalsRowDxfId="554">
      <calculatedColumnFormula>SUMIFS(SM_Etime,SM_Material,B$8,SM_ServiceType,C18,SM_CutType,D18,SM_BoughtOut,E18,SM_FittingType,F18)*24</calculatedColumnFormula>
      <totalsRowFormula>SUBTOTAL(109,BouthtOut1[Column6])*X19</totalsRowFormula>
    </tableColumn>
    <tableColumn id="16" name="Column7" totalsRowFunction="custom" headerRowDxfId="553" dataDxfId="552" totalsRowDxfId="551">
      <calculatedColumnFormula>IF(O18=0,"","hrs")</calculatedColumnFormula>
      <totalsRowFormula>IF(O23=0,"","hrs")</totalsRowFormula>
    </tableColumn>
    <tableColumn id="10" name="Column1" totalsRowFunction="custom" headerRowDxfId="550" dataDxfId="549" totalsRowDxfId="548">
      <calculatedColumnFormula>IF(R18=0,"","$")</calculatedColumnFormula>
      <totalsRowFormula>IF(R23=0,"","$")</totalsRowFormula>
    </tableColumn>
    <tableColumn id="17" name="Column8" totalsRowFunction="sum" headerRowDxfId="547" dataDxfId="546" totalsRowDxfId="545">
      <calculatedColumnFormula>(BouthtOut1[[#This Row],[Column4]]*SM_ShopLaborRate)+(BouthtOut1[[#This Row],[Column6]]*SM_FieldLaborRate)</calculatedColumnFormula>
    </tableColumn>
    <tableColumn id="18" name="Column9" totalsRowFunction="custom" headerRowDxfId="544" dataDxfId="543" totalsRowDxfId="542">
      <calculatedColumnFormula>IF(T18=0,"","$")</calculatedColumnFormula>
      <totalsRowFormula>IF(T23=0,"","$")</totalsRowFormula>
    </tableColumn>
    <tableColumn id="19" name="Column10" totalsRowFunction="custom" headerRowDxfId="541" dataDxfId="540" totalsRowDxfId="539">
      <calculatedColumnFormula>SUMIFS(SM_MaterialCost,SM_Material,B$8,SM_ServiceType,C18,SM_CutType,D18,SM_BoughtOut,E18,SM_FittingType,F18)</calculatedColumnFormula>
      <totalsRowFormula>SUBTOTAL(109,BouthtOut1[Column10])*X20</totalsRowFormula>
    </tableColumn>
    <tableColumn id="20" name="Column11" totalsRowFunction="sum" headerRowDxfId="538" dataDxfId="537" totalsRowDxfId="536">
      <calculatedColumnFormula>IF(L18=0,"",L18/$L$23)</calculatedColumnFormula>
    </tableColumn>
  </tableColumns>
  <tableStyleInfo name="Vegas" showFirstColumn="1" showLastColumn="0" showRowStripes="1" showColumnStripes="0"/>
</table>
</file>

<file path=xl/tables/table2.xml><?xml version="1.0" encoding="utf-8"?>
<table xmlns="http://schemas.openxmlformats.org/spreadsheetml/2006/main" id="2" name="Fabricated1" displayName="Fabricated1" ref="B9:U14" headerRowCount="0" totalsRowCount="1">
  <tableColumns count="20">
    <tableColumn id="1" name="Fabricated" totalsRowFunction="custom" headerRowDxfId="535">
      <totalsRowFormula>IF(SUM(X9:X11)&gt;3,"Total w/Multiplier","Total")</totalsRowFormula>
    </tableColumn>
    <tableColumn id="2" name="ServiceType"/>
    <tableColumn id="3" name="Cut Type"/>
    <tableColumn id="4" name="Bought Out"/>
    <tableColumn id="5" name="Fitting Type"/>
    <tableColumn id="6" name="Weight (lbs)" totalsRowFunction="sum" headerRowDxfId="534" dataDxfId="533" totalsRowDxfId="532">
      <calculatedColumnFormula>SUMIFS(SM_Weight,SM_Material,B$8,SM_ServiceType,C9,SM_CutType,D9,SM_BoughtOut,E9,SM_FittingType,F9)</calculatedColumnFormula>
    </tableColumn>
    <tableColumn id="12" name="Column2" totalsRowFunction="custom" headerRowDxfId="531" dataDxfId="530" totalsRowDxfId="529">
      <calculatedColumnFormula>IF(G9=0,"","lbs")</calculatedColumnFormula>
      <totalsRowFormula>IF(G14=0,"","lbs")</totalsRowFormula>
    </tableColumn>
    <tableColumn id="7" name="Length (ft)" totalsRowFunction="sum" headerRowDxfId="528" dataDxfId="527" totalsRowDxfId="526">
      <calculatedColumnFormula>SUMIFS(SM_Length,SM_Material,B$8,SM_ServiceType,C9,SM_CutType,D9,SM_BoughtOut,E9,SM_FittingType,F9)</calculatedColumnFormula>
    </tableColumn>
    <tableColumn id="8" name="Area (SqFt)" totalsRowFunction="sum" headerRowDxfId="525" dataDxfId="524" totalsRowDxfId="523">
      <calculatedColumnFormula>SUMIFS(SM_Area,SM_Material,B$8,SM_ServiceType,C9,SM_CutType,D9,SM_BoughtOut,E9,SM_FittingType,F9)</calculatedColumnFormula>
    </tableColumn>
    <tableColumn id="13" name="Column3" totalsRowFunction="custom" headerRowDxfId="522" dataDxfId="521" totalsRowDxfId="520">
      <calculatedColumnFormula>IF(J9=0,"","ft²")</calculatedColumnFormula>
      <totalsRowFormula>IF(J14=0,"","ft²")</totalsRowFormula>
    </tableColumn>
    <tableColumn id="9" name="Pieces" totalsRowFunction="sum" headerRowDxfId="519" dataDxfId="518" totalsRowDxfId="517">
      <calculatedColumnFormula>SUMIFS(SM_Qty,SM_Material,B$8,SM_ServiceType,C9,SM_CutType,D9,SM_BoughtOut,E9,SM_FittingType,F9)</calculatedColumnFormula>
    </tableColumn>
    <tableColumn id="14" name="Column5" totalsRowFunction="custom" headerRowDxfId="516" dataDxfId="515" totalsRowDxfId="514">
      <calculatedColumnFormula>SUMIFS(SM_Ftime,SM_Material,B$8,SM_ServiceType,C9,SM_CutType,D9,SM_BoughtOut,E9,SM_FittingType,F9)*24</calculatedColumnFormula>
      <totalsRowFormula>SUBTOTAL(109,Fabricated1[Column5])*X9</totalsRowFormula>
    </tableColumn>
    <tableColumn id="24" name="Column4" totalsRowFunction="custom" headerRowDxfId="513" dataDxfId="512" totalsRowDxfId="511">
      <calculatedColumnFormula>IF(M9=0,"","hrs")</calculatedColumnFormula>
      <totalsRowFormula>IF(M14=0,"","hrs")</totalsRowFormula>
    </tableColumn>
    <tableColumn id="16" name="Column7" totalsRowFunction="custom" headerRowDxfId="510" dataDxfId="509" totalsRowDxfId="508">
      <calculatedColumnFormula>SUMIFS(SM_Etime,SM_Material,B$8,SM_ServiceType,C9,SM_CutType,D9,SM_BoughtOut,E9,SM_FittingType,F9)*24</calculatedColumnFormula>
      <totalsRowFormula>SUBTOTAL(109,Fabricated1[Column7])*X10</totalsRowFormula>
    </tableColumn>
    <tableColumn id="25" name="Column15" totalsRowFunction="custom" headerRowDxfId="507" dataDxfId="506" totalsRowDxfId="505">
      <calculatedColumnFormula>IF(O9=0,"","hrs")</calculatedColumnFormula>
      <totalsRowFormula>IF(O14=0,"","hrs")</totalsRowFormula>
    </tableColumn>
    <tableColumn id="17" name="Column8" totalsRowFunction="custom" headerRowDxfId="504" dataDxfId="503" totalsRowDxfId="502">
      <calculatedColumnFormula>IF(R9=0,"","$")</calculatedColumnFormula>
      <totalsRowFormula>IF(R14=0,"","$")</totalsRowFormula>
    </tableColumn>
    <tableColumn id="18" name="Column9" totalsRowFunction="sum" headerRowDxfId="501" dataDxfId="500" totalsRowDxfId="499">
      <calculatedColumnFormula>(Fabricated1[[#This Row],[Column5]]*SM_ShopLaborRate)+(Fabricated1[[#This Row],[Column7]]*SM_FieldLaborRate)</calculatedColumnFormula>
    </tableColumn>
    <tableColumn id="19" name="Column10" totalsRowFunction="custom" headerRowDxfId="498" dataDxfId="497" totalsRowDxfId="496" dataCellStyle="Normal">
      <calculatedColumnFormula>IF(T9=0,"","$")</calculatedColumnFormula>
      <totalsRowFormula>IF(T14=0,"","$")</totalsRowFormula>
    </tableColumn>
    <tableColumn id="20" name="Column11" totalsRowFunction="custom" headerRowDxfId="495" dataDxfId="494" totalsRowDxfId="493">
      <calculatedColumnFormula>SUMIFS(SM_MaterialCost,SM_Material,B$8,SM_ServiceType,C9,SM_CutType,D9,SM_BoughtOut,E9,SM_FittingType,F9)</calculatedColumnFormula>
      <totalsRowFormula>SUBTOTAL(109,Fabricated1[Column11])*X11</totalsRowFormula>
    </tableColumn>
    <tableColumn id="10" name="Column1" totalsRowFunction="sum" headerRowDxfId="492" dataDxfId="491" totalsRowDxfId="490">
      <calculatedColumnFormula>IF(L9=0,"",L9/$L$14)</calculatedColumnFormula>
    </tableColumn>
  </tableColumns>
  <tableStyleInfo name="Vegas" showFirstColumn="1" showLastColumn="0" showRowStripes="1" showColumnStripes="0"/>
</table>
</file>

<file path=xl/tables/table3.xml><?xml version="1.0" encoding="utf-8"?>
<table xmlns="http://schemas.openxmlformats.org/spreadsheetml/2006/main" id="1" name="BouthtOut12" displayName="BouthtOut12" ref="B36:U41" headerRowCount="0" totalsRowCount="1">
  <tableColumns count="20">
    <tableColumn id="1" name="Bought Out" totalsRowFunction="custom" headerRowDxfId="489">
      <totalsRowFormula>IF(SUM(X36:X38)&gt;3,"Total w/Multiplier","Total")</totalsRowFormula>
    </tableColumn>
    <tableColumn id="2" name="Service Type"/>
    <tableColumn id="3" name="Cut Type"/>
    <tableColumn id="4" name="Bought Out2"/>
    <tableColumn id="5" name="Fitting Type"/>
    <tableColumn id="6" name="Weight (lbs)" totalsRowFunction="sum" headerRowDxfId="488" dataDxfId="487" totalsRowDxfId="486">
      <calculatedColumnFormula>SUMIFS(SM_Weight,SM_Material,B$35,SM_ServiceType,C36,SM_CutType,D36,SM_BoughtOut,E36,SM_FittingType,F36)</calculatedColumnFormula>
    </tableColumn>
    <tableColumn id="11" name="Column2" totalsRowFunction="custom" headerRowDxfId="485" dataDxfId="484" totalsRowDxfId="483">
      <calculatedColumnFormula>IF(G36=0,"","lbs")</calculatedColumnFormula>
      <totalsRowFormula>IF(G41=0,"","lbs")</totalsRowFormula>
    </tableColumn>
    <tableColumn id="7" name="Length (ft)" totalsRowFunction="sum" headerRowDxfId="482" dataDxfId="481" totalsRowDxfId="480">
      <calculatedColumnFormula>SUMIFS(SM_Length,SM_Material,B$35,SM_ServiceType,C36,SM_CutType,D36,SM_BoughtOut,E36,SM_FittingType,F36)</calculatedColumnFormula>
    </tableColumn>
    <tableColumn id="8" name="Area (SqFt)" totalsRowFunction="sum" headerRowDxfId="479" dataDxfId="478" totalsRowDxfId="477">
      <calculatedColumnFormula>SUMIFS(SM_Area,SM_Material,B$35,SM_ServiceType,C36,SM_CutType,D36,SM_BoughtOut,E36,SM_FittingType,F36)</calculatedColumnFormula>
    </tableColumn>
    <tableColumn id="12" name="Column3" totalsRowFunction="custom" headerRowDxfId="476" dataDxfId="475" totalsRowDxfId="474">
      <calculatedColumnFormula>IF(J36=0,"","ft²")</calculatedColumnFormula>
      <totalsRowFormula>IF(J41=0,"","ft²")</totalsRowFormula>
    </tableColumn>
    <tableColumn id="9" name="Pieces" totalsRowFunction="sum" headerRowDxfId="473" dataDxfId="472" totalsRowDxfId="471">
      <calculatedColumnFormula>SUMIFS(SM_Qty,SM_Material,B$35,SM_ServiceType,C36,SM_CutType,D36,SM_BoughtOut,E36,SM_FittingType,F36)</calculatedColumnFormula>
    </tableColumn>
    <tableColumn id="13" name="Column4" totalsRowFunction="custom" headerRowDxfId="470" dataDxfId="469" totalsRowDxfId="468">
      <calculatedColumnFormula>SUMIFS(SM_Ftime,SM_Material,B$35,SM_ServiceType,C36,SM_CutType,D36,SM_BoughtOut,E36,SM_FittingType,F36)*24</calculatedColumnFormula>
      <totalsRowFormula>SUBTOTAL(109,BouthtOut12[Column4])*X36</totalsRowFormula>
    </tableColumn>
    <tableColumn id="14" name="Column5" totalsRowFunction="custom" headerRowDxfId="467" dataDxfId="466" totalsRowDxfId="465">
      <calculatedColumnFormula>IF(M36=0,"","hrs")</calculatedColumnFormula>
      <totalsRowFormula>IF(M41=0,"","hrs")</totalsRowFormula>
    </tableColumn>
    <tableColumn id="15" name="Column6" totalsRowFunction="custom" headerRowDxfId="464" dataDxfId="463" totalsRowDxfId="462">
      <calculatedColumnFormula>SUMIFS(SM_Etime,SM_Material,B$35,SM_ServiceType,C36,SM_CutType,D36,SM_BoughtOut,E36,SM_FittingType,F36)*24</calculatedColumnFormula>
      <totalsRowFormula>SUBTOTAL(109,BouthtOut12[Column6])*X37</totalsRowFormula>
    </tableColumn>
    <tableColumn id="16" name="Column7" totalsRowFunction="custom" headerRowDxfId="461" dataDxfId="460" totalsRowDxfId="459">
      <calculatedColumnFormula>IF(O36=0,"","hrs")</calculatedColumnFormula>
      <totalsRowFormula>IF(O41=0,"","hrs")</totalsRowFormula>
    </tableColumn>
    <tableColumn id="10" name="Column1" totalsRowFunction="custom" headerRowDxfId="458" dataDxfId="457" totalsRowDxfId="456">
      <calculatedColumnFormula>IF(R36=0,"","$")</calculatedColumnFormula>
      <totalsRowFormula>IF(R41=0,"","$")</totalsRowFormula>
    </tableColumn>
    <tableColumn id="17" name="Column8" totalsRowFunction="sum" headerRowDxfId="455" dataDxfId="454" totalsRowDxfId="453">
      <calculatedColumnFormula>(BouthtOut12[[#This Row],[Column4]]*SM_ShopLaborRate)+(BouthtOut12[[#This Row],[Column6]]*SM_FieldLaborRate)</calculatedColumnFormula>
    </tableColumn>
    <tableColumn id="18" name="Column9" totalsRowFunction="custom" headerRowDxfId="452" dataDxfId="451" totalsRowDxfId="450">
      <calculatedColumnFormula>IF(T36=0,"","$")</calculatedColumnFormula>
      <totalsRowFormula>IF(T41=0,"","$")</totalsRowFormula>
    </tableColumn>
    <tableColumn id="19" name="Column10" totalsRowFunction="custom" headerRowDxfId="449" dataDxfId="448" totalsRowDxfId="447">
      <calculatedColumnFormula>SUMIFS(SM_MaterialCost,SM_Material,B$35,SM_ServiceType,C36,SM_CutType,D36,SM_BoughtOut,E36,SM_FittingType,F36)</calculatedColumnFormula>
      <totalsRowFormula>SUBTOTAL(109,BouthtOut12[Column10])*X38</totalsRowFormula>
    </tableColumn>
    <tableColumn id="20" name="Column11" totalsRowFunction="sum" headerRowDxfId="446" dataDxfId="445" totalsRowDxfId="444">
      <calculatedColumnFormula>IF(L36=0,"",L36/$L$41)</calculatedColumnFormula>
    </tableColumn>
  </tableColumns>
  <tableStyleInfo name="Vegas" showFirstColumn="1" showLastColumn="0" showRowStripes="1" showColumnStripes="0"/>
</table>
</file>

<file path=xl/tables/table4.xml><?xml version="1.0" encoding="utf-8"?>
<table xmlns="http://schemas.openxmlformats.org/spreadsheetml/2006/main" id="4" name="Fabricated15" displayName="Fabricated15" ref="B27:U32" headerRowCount="0" totalsRowCount="1">
  <tableColumns count="20">
    <tableColumn id="1" name="Fabricated" totalsRowFunction="custom" headerRowDxfId="443">
      <totalsRowFormula>IF(SUM(X27:X29)&gt;3,"Total w/Multiplier","Total")</totalsRowFormula>
    </tableColumn>
    <tableColumn id="2" name="ServiceType"/>
    <tableColumn id="3" name="Cut Type"/>
    <tableColumn id="4" name="Bought Out"/>
    <tableColumn id="5" name="Fitting Type"/>
    <tableColumn id="6" name="Weight (lbs)" totalsRowFunction="sum" headerRowDxfId="442" dataDxfId="441" totalsRowDxfId="440">
      <calculatedColumnFormula>SUMIFS(SM_Weight,SM_Material,B$26,SM_ServiceType,C27,SM_CutType,D27,SM_BoughtOut,E27,SM_FittingType,F27)</calculatedColumnFormula>
    </tableColumn>
    <tableColumn id="12" name="Column2" totalsRowFunction="custom" headerRowDxfId="439" dataDxfId="438" totalsRowDxfId="437">
      <calculatedColumnFormula>IF(G27=0,"","lbs")</calculatedColumnFormula>
      <totalsRowFormula>IF(G32=0,"","lbs")</totalsRowFormula>
    </tableColumn>
    <tableColumn id="7" name="Length (ft)" totalsRowFunction="sum" headerRowDxfId="436" dataDxfId="435" totalsRowDxfId="434">
      <calculatedColumnFormula>SUMIFS(SM_Length,SM_Material,B$26,SM_ServiceType,C27,SM_CutType,D27,SM_BoughtOut,E27,SM_FittingType,F27)</calculatedColumnFormula>
    </tableColumn>
    <tableColumn id="8" name="Area (SqFt)" totalsRowFunction="sum" headerRowDxfId="433" dataDxfId="432" totalsRowDxfId="431">
      <calculatedColumnFormula>SUMIFS(SM_Area,SM_Material,B$26,SM_ServiceType,C27,SM_CutType,D27,SM_BoughtOut,E27,SM_FittingType,F27)</calculatedColumnFormula>
    </tableColumn>
    <tableColumn id="13" name="Column3" totalsRowFunction="custom" headerRowDxfId="430" dataDxfId="429" totalsRowDxfId="428">
      <calculatedColumnFormula>IF(J27=0,"","ft²")</calculatedColumnFormula>
      <totalsRowFormula>IF(J32=0,"","ft²")</totalsRowFormula>
    </tableColumn>
    <tableColumn id="9" name="Pieces" totalsRowFunction="sum" headerRowDxfId="427" dataDxfId="426" totalsRowDxfId="425">
      <calculatedColumnFormula>SUMIFS(SM_Qty,SM_Material,B$26,SM_ServiceType,C27,SM_CutType,D27,SM_BoughtOut,E27,SM_FittingType,F27)</calculatedColumnFormula>
    </tableColumn>
    <tableColumn id="14" name="Column5" totalsRowFunction="custom" headerRowDxfId="424" dataDxfId="423" totalsRowDxfId="422">
      <calculatedColumnFormula>SUMIFS(SM_Ftime,SM_Material,B$26,SM_ServiceType,C27,SM_CutType,D27,SM_BoughtOut,E27,SM_FittingType,F27)*24</calculatedColumnFormula>
      <totalsRowFormula>SUBTOTAL(109,Fabricated15[Column5])*X27</totalsRowFormula>
    </tableColumn>
    <tableColumn id="24" name="Column4" totalsRowFunction="custom" headerRowDxfId="421" dataDxfId="420" totalsRowDxfId="419">
      <calculatedColumnFormula>IF(M27=0,"","hrs")</calculatedColumnFormula>
      <totalsRowFormula>IF(M32=0,"","hrs")</totalsRowFormula>
    </tableColumn>
    <tableColumn id="16" name="Column7" totalsRowFunction="custom" headerRowDxfId="418" dataDxfId="417" totalsRowDxfId="416">
      <calculatedColumnFormula>SUMIFS(SM_Etime,SM_Material,B$26,SM_ServiceType,C27,SM_CutType,D27,SM_BoughtOut,E27,SM_FittingType,F27)*24</calculatedColumnFormula>
      <totalsRowFormula>SUBTOTAL(109,Fabricated15[Column7])*X28</totalsRowFormula>
    </tableColumn>
    <tableColumn id="25" name="Column15" totalsRowFunction="custom" headerRowDxfId="415" dataDxfId="414" totalsRowDxfId="413">
      <calculatedColumnFormula>IF(O27=0,"","hrs")</calculatedColumnFormula>
      <totalsRowFormula>IF(O32=0,"","hrs")</totalsRowFormula>
    </tableColumn>
    <tableColumn id="17" name="Column8" totalsRowFunction="custom" headerRowDxfId="412" dataDxfId="411" totalsRowDxfId="410">
      <calculatedColumnFormula>IF(R27=0,"","$")</calculatedColumnFormula>
      <totalsRowFormula>IF(R32=0,"","$")</totalsRowFormula>
    </tableColumn>
    <tableColumn id="18" name="Column9" totalsRowFunction="sum" headerRowDxfId="409" dataDxfId="408" totalsRowDxfId="407">
      <calculatedColumnFormula>(Fabricated15[[#This Row],[Column5]]*SM_ShopLaborRate)+(Fabricated15[[#This Row],[Column7]]*SM_FieldLaborRate)</calculatedColumnFormula>
    </tableColumn>
    <tableColumn id="19" name="Column10" totalsRowFunction="custom" headerRowDxfId="406" dataDxfId="405" totalsRowDxfId="404" dataCellStyle="Normal">
      <calculatedColumnFormula>IF(T27=0,"","$")</calculatedColumnFormula>
      <totalsRowFormula>IF(T32=0,"","$")</totalsRowFormula>
    </tableColumn>
    <tableColumn id="20" name="Column11" totalsRowFunction="custom" headerRowDxfId="403" dataDxfId="402" totalsRowDxfId="401">
      <calculatedColumnFormula>SUMIFS(SM_MaterialCost,SM_Material,B$26,SM_ServiceType,C27,SM_CutType,D27,SM_BoughtOut,E27,SM_FittingType,F27)</calculatedColumnFormula>
      <totalsRowFormula>SUBTOTAL(109,Fabricated15[Column11])*X29</totalsRowFormula>
    </tableColumn>
    <tableColumn id="10" name="Column1" totalsRowFunction="sum" headerRowDxfId="400" dataDxfId="399" totalsRowDxfId="398">
      <calculatedColumnFormula>IF(L27=0,"",L27/$L$32)</calculatedColumnFormula>
    </tableColumn>
  </tableColumns>
  <tableStyleInfo name="Vegas" showFirstColumn="1" showLastColumn="0" showRowStripes="1" showColumnStripes="0"/>
</table>
</file>

<file path=xl/tables/table5.xml><?xml version="1.0" encoding="utf-8"?>
<table xmlns="http://schemas.openxmlformats.org/spreadsheetml/2006/main" id="5" name="BouthtOut126" displayName="BouthtOut126" ref="B54:U59" headerRowCount="0" totalsRowCount="1">
  <tableColumns count="20">
    <tableColumn id="1" name="Bought Out" totalsRowFunction="custom" headerRowDxfId="397">
      <totalsRowFormula>IF(SUM(X54:X56)&gt;3,"Total w/Multiplier","Total")</totalsRowFormula>
    </tableColumn>
    <tableColumn id="2" name="Service Type"/>
    <tableColumn id="3" name="Cut Type"/>
    <tableColumn id="4" name="Bought Out2"/>
    <tableColumn id="5" name="Fitting Type"/>
    <tableColumn id="6" name="Weight (lbs)" totalsRowFunction="sum" headerRowDxfId="396" dataDxfId="395" totalsRowDxfId="394">
      <calculatedColumnFormula>SUMIFS(SM_Weight,SM_Material,B$53,SM_ServiceType,C54,SM_CutType,D54,SM_BoughtOut,E54,SM_FittingType,F54)</calculatedColumnFormula>
    </tableColumn>
    <tableColumn id="11" name="Column2" totalsRowFunction="custom" headerRowDxfId="393" dataDxfId="392" totalsRowDxfId="391">
      <calculatedColumnFormula>IF(G54=0,"","lbs")</calculatedColumnFormula>
      <totalsRowFormula>IF(G59=0,"","lbs")</totalsRowFormula>
    </tableColumn>
    <tableColumn id="7" name="Length (ft)" totalsRowFunction="sum" headerRowDxfId="390" dataDxfId="389" totalsRowDxfId="388">
      <calculatedColumnFormula>SUMIFS(SM_Length,SM_Material,B$53,SM_ServiceType,C54,SM_CutType,D54,SM_BoughtOut,E54,SM_FittingType,F54)</calculatedColumnFormula>
    </tableColumn>
    <tableColumn id="8" name="Area (SqFt)" totalsRowFunction="sum" headerRowDxfId="387" dataDxfId="386" totalsRowDxfId="385">
      <calculatedColumnFormula>SUMIFS(SM_Area,SM_Material,B$53,SM_ServiceType,C54,SM_CutType,D54,SM_BoughtOut,E54,SM_FittingType,F54)</calculatedColumnFormula>
    </tableColumn>
    <tableColumn id="12" name="Column3" totalsRowFunction="custom" headerRowDxfId="384" dataDxfId="383" totalsRowDxfId="382">
      <calculatedColumnFormula>IF(J54=0,"","ft²")</calculatedColumnFormula>
      <totalsRowFormula>IF(J59=0,"","ft²")</totalsRowFormula>
    </tableColumn>
    <tableColumn id="9" name="Pieces" totalsRowFunction="sum" headerRowDxfId="381" dataDxfId="380" totalsRowDxfId="379">
      <calculatedColumnFormula>SUMIFS(SM_Qty,SM_Material,B$53,SM_ServiceType,C54,SM_CutType,D54,SM_BoughtOut,E54,SM_FittingType,F54)</calculatedColumnFormula>
    </tableColumn>
    <tableColumn id="13" name="Column4" totalsRowFunction="custom" headerRowDxfId="378" dataDxfId="377" totalsRowDxfId="376">
      <calculatedColumnFormula>SUMIFS(SM_Ftime,SM_Material,B$53,SM_ServiceType,C54,SM_CutType,D54,SM_BoughtOut,E54,SM_FittingType,F54)*24</calculatedColumnFormula>
      <totalsRowFormula>SUBTOTAL(109,BouthtOut126[Column4])*X54</totalsRowFormula>
    </tableColumn>
    <tableColumn id="14" name="Column5" totalsRowFunction="custom" headerRowDxfId="375" dataDxfId="374" totalsRowDxfId="373">
      <calculatedColumnFormula>IF(M54=0,"","hrs")</calculatedColumnFormula>
      <totalsRowFormula>IF(M59=0,"","hrs")</totalsRowFormula>
    </tableColumn>
    <tableColumn id="15" name="Column6" totalsRowFunction="custom" headerRowDxfId="372" dataDxfId="371" totalsRowDxfId="370">
      <calculatedColumnFormula>SUMIFS(SM_Etime,SM_Material,B$53,SM_ServiceType,C54,SM_CutType,D54,SM_BoughtOut,E54,SM_FittingType,F54)*24</calculatedColumnFormula>
      <totalsRowFormula>SUBTOTAL(109,BouthtOut126[Column6])*X55</totalsRowFormula>
    </tableColumn>
    <tableColumn id="16" name="Column7" totalsRowFunction="custom" headerRowDxfId="369" dataDxfId="368" totalsRowDxfId="367">
      <calculatedColumnFormula>IF(O54=0,"","hrs")</calculatedColumnFormula>
      <totalsRowFormula>IF(O59=0,"","hrs")</totalsRowFormula>
    </tableColumn>
    <tableColumn id="10" name="Column1" totalsRowFunction="custom" headerRowDxfId="366" dataDxfId="365" totalsRowDxfId="364">
      <calculatedColumnFormula>IF(R54=0,"","$")</calculatedColumnFormula>
      <totalsRowFormula>IF(R59=0,"","$")</totalsRowFormula>
    </tableColumn>
    <tableColumn id="17" name="Column8" totalsRowFunction="sum" headerRowDxfId="363" dataDxfId="362" totalsRowDxfId="361">
      <calculatedColumnFormula>(BouthtOut126[[#This Row],[Column4]]*SM_ShopLaborRate)+(BouthtOut126[[#This Row],[Column6]]*SM_FieldLaborRate)</calculatedColumnFormula>
    </tableColumn>
    <tableColumn id="18" name="Column9" totalsRowFunction="custom" headerRowDxfId="360" dataDxfId="359" totalsRowDxfId="358">
      <calculatedColumnFormula>IF(T54=0,"","$")</calculatedColumnFormula>
      <totalsRowFormula>IF(T59=0,"","$")</totalsRowFormula>
    </tableColumn>
    <tableColumn id="19" name="Column10" totalsRowFunction="custom" headerRowDxfId="357" dataDxfId="356" totalsRowDxfId="355">
      <calculatedColumnFormula>SUMIFS(SM_MaterialCost,SM_Material,B$53,SM_ServiceType,C54,SM_CutType,D54,SM_BoughtOut,E54,SM_FittingType,F54)</calculatedColumnFormula>
      <totalsRowFormula>SUBTOTAL(109,BouthtOut126[Column10])*X56</totalsRowFormula>
    </tableColumn>
    <tableColumn id="20" name="Column11" totalsRowFunction="sum" headerRowDxfId="354" dataDxfId="353" totalsRowDxfId="352">
      <calculatedColumnFormula>IF(L54=0,"",L54/$L$41)</calculatedColumnFormula>
    </tableColumn>
  </tableColumns>
  <tableStyleInfo name="Vegas" showFirstColumn="1" showLastColumn="0" showRowStripes="1" showColumnStripes="0"/>
</table>
</file>

<file path=xl/tables/table6.xml><?xml version="1.0" encoding="utf-8"?>
<table xmlns="http://schemas.openxmlformats.org/spreadsheetml/2006/main" id="8" name="Fabricated159" displayName="Fabricated159" ref="B45:U50" headerRowCount="0" totalsRowCount="1">
  <tableColumns count="20">
    <tableColumn id="1" name="Fabricated" totalsRowFunction="custom" headerRowDxfId="351">
      <totalsRowFormula>IF(SUM(X45:X47)&gt;3,"Total w/Multiplier","Total")</totalsRowFormula>
    </tableColumn>
    <tableColumn id="2" name="ServiceType"/>
    <tableColumn id="3" name="Cut Type"/>
    <tableColumn id="4" name="Bought Out"/>
    <tableColumn id="5" name="Fitting Type"/>
    <tableColumn id="6" name="Weight (lbs)" totalsRowFunction="sum" headerRowDxfId="350" dataDxfId="349" totalsRowDxfId="348">
      <calculatedColumnFormula>SUMIFS(SM_Weight,SM_Material,B$44,SM_ServiceType,C45,SM_CutType,D45,SM_BoughtOut,E45,SM_FittingType,F45)</calculatedColumnFormula>
    </tableColumn>
    <tableColumn id="12" name="Column2" totalsRowFunction="custom" headerRowDxfId="347" dataDxfId="346" totalsRowDxfId="345">
      <calculatedColumnFormula>IF(G45=0,"","lbs")</calculatedColumnFormula>
      <totalsRowFormula>IF(G50=0,"","lbs")</totalsRowFormula>
    </tableColumn>
    <tableColumn id="7" name="Length (ft)" totalsRowFunction="sum" headerRowDxfId="344" dataDxfId="343" totalsRowDxfId="342">
      <calculatedColumnFormula>SUMIFS(SM_Length,SM_Material,B$44,SM_ServiceType,C45,SM_CutType,D45,SM_BoughtOut,E45,SM_FittingType,F45)</calculatedColumnFormula>
    </tableColumn>
    <tableColumn id="8" name="Area (SqFt)" totalsRowFunction="sum" headerRowDxfId="341" dataDxfId="340" totalsRowDxfId="339">
      <calculatedColumnFormula>SUMIFS(SM_Area,SM_Material,B$44,SM_ServiceType,C45,SM_CutType,D45,SM_BoughtOut,E45,SM_FittingType,F45)</calculatedColumnFormula>
    </tableColumn>
    <tableColumn id="13" name="Column3" totalsRowFunction="custom" headerRowDxfId="338" dataDxfId="337" totalsRowDxfId="336">
      <calculatedColumnFormula>IF(J45=0,"","ft²")</calculatedColumnFormula>
      <totalsRowFormula>IF(J50=0,"","ft²")</totalsRowFormula>
    </tableColumn>
    <tableColumn id="9" name="Pieces" totalsRowFunction="sum" headerRowDxfId="335" dataDxfId="334" totalsRowDxfId="333">
      <calculatedColumnFormula>SUMIFS(SM_Qty,SM_Material,B$44,SM_ServiceType,C45,SM_CutType,D45,SM_BoughtOut,E45,SM_FittingType,F45)</calculatedColumnFormula>
    </tableColumn>
    <tableColumn id="14" name="Column5" totalsRowFunction="custom" headerRowDxfId="332" dataDxfId="331" totalsRowDxfId="330">
      <calculatedColumnFormula>SUMIFS(SM_Ftime,SM_Material,B$44,SM_ServiceType,C45,SM_CutType,D45,SM_BoughtOut,E45,SM_FittingType,F45)*24</calculatedColumnFormula>
      <totalsRowFormula>SUBTOTAL(109,Fabricated159[Column5])*X45</totalsRowFormula>
    </tableColumn>
    <tableColumn id="24" name="Column4" totalsRowFunction="custom" headerRowDxfId="329" dataDxfId="328" totalsRowDxfId="327">
      <calculatedColumnFormula>IF(M45=0,"","hrs")</calculatedColumnFormula>
      <totalsRowFormula>IF(M50=0,"","hrs")</totalsRowFormula>
    </tableColumn>
    <tableColumn id="16" name="Column7" totalsRowFunction="custom" headerRowDxfId="326" dataDxfId="325" totalsRowDxfId="324">
      <calculatedColumnFormula>SUMIFS(SM_Etime,SM_Material,B$44,SM_ServiceType,C45,SM_CutType,D45,SM_BoughtOut,E45,SM_FittingType,F45)*24</calculatedColumnFormula>
      <totalsRowFormula>SUBTOTAL(109,Fabricated159[Column7])*X46</totalsRowFormula>
    </tableColumn>
    <tableColumn id="25" name="Column15" totalsRowFunction="custom" headerRowDxfId="323" dataDxfId="322" totalsRowDxfId="321">
      <calculatedColumnFormula>IF(O45=0,"","hrs")</calculatedColumnFormula>
      <totalsRowFormula>IF(O50=0,"","hrs")</totalsRowFormula>
    </tableColumn>
    <tableColumn id="17" name="Column8" totalsRowFunction="custom" headerRowDxfId="320" dataDxfId="319" totalsRowDxfId="318">
      <calculatedColumnFormula>IF(R45=0,"","$")</calculatedColumnFormula>
      <totalsRowFormula>IF(R50=0,"","$")</totalsRowFormula>
    </tableColumn>
    <tableColumn id="18" name="Column9" totalsRowFunction="sum" headerRowDxfId="317" dataDxfId="316" totalsRowDxfId="315">
      <calculatedColumnFormula>(Fabricated159[[#This Row],[Column5]]*SM_ShopLaborRate)+(Fabricated159[[#This Row],[Column7]]*SM_FieldLaborRate)</calculatedColumnFormula>
    </tableColumn>
    <tableColumn id="19" name="Column10" totalsRowFunction="custom" headerRowDxfId="314" dataDxfId="313" totalsRowDxfId="312" dataCellStyle="Normal">
      <calculatedColumnFormula>IF(T45=0,"","$")</calculatedColumnFormula>
      <totalsRowFormula>IF(T50=0,"","$")</totalsRowFormula>
    </tableColumn>
    <tableColumn id="20" name="Column11" totalsRowFunction="custom" headerRowDxfId="311" dataDxfId="310" totalsRowDxfId="309">
      <calculatedColumnFormula>SUMIFS(SM_MaterialCost,SM_Material,B$44,SM_ServiceType,C45,SM_CutType,D45,SM_BoughtOut,E45,SM_FittingType,F45)</calculatedColumnFormula>
      <totalsRowFormula>SUBTOTAL(109,Fabricated159[Column11])*X47</totalsRowFormula>
    </tableColumn>
    <tableColumn id="10" name="Column1" totalsRowFunction="sum" headerRowDxfId="308" dataDxfId="307" totalsRowDxfId="306">
      <calculatedColumnFormula>IF(L45=0,"",L45/$L$32)</calculatedColumnFormula>
    </tableColumn>
  </tableColumns>
  <tableStyleInfo name="Vegas" showFirstColumn="1" showLastColumn="0" showRowStripes="1" showColumnStripes="0"/>
</table>
</file>

<file path=xl/tables/table7.xml><?xml version="1.0" encoding="utf-8"?>
<table xmlns="http://schemas.openxmlformats.org/spreadsheetml/2006/main" id="9" name="BouthtOut12610" displayName="BouthtOut12610" ref="B72:U77" headerRowCount="0" totalsRowCount="1">
  <tableColumns count="20">
    <tableColumn id="1" name="Bought Out" totalsRowFunction="custom" headerRowDxfId="305">
      <totalsRowFormula>IF(SUM(X72:X74)&gt;3,"Total w/Multiplier","Total")</totalsRowFormula>
    </tableColumn>
    <tableColumn id="2" name="Service Type"/>
    <tableColumn id="3" name="Cut Type"/>
    <tableColumn id="4" name="Bought Out2"/>
    <tableColumn id="5" name="Fitting Type"/>
    <tableColumn id="6" name="Weight (lbs)" totalsRowFunction="sum" headerRowDxfId="304" dataDxfId="303" totalsRowDxfId="302">
      <calculatedColumnFormula>SUMIFS(SM_Weight,SM_Material,B$71,SM_ServiceType,C72,SM_CutType,D72,SM_BoughtOut,E72,SM_FittingType,F72)</calculatedColumnFormula>
    </tableColumn>
    <tableColumn id="11" name="Column2" totalsRowFunction="custom" headerRowDxfId="301" dataDxfId="300" totalsRowDxfId="299">
      <calculatedColumnFormula>IF(G72=0,"","lbs")</calculatedColumnFormula>
      <totalsRowFormula>IF(G77=0,"","lbs")</totalsRowFormula>
    </tableColumn>
    <tableColumn id="7" name="Length (ft)" totalsRowFunction="sum" headerRowDxfId="298" dataDxfId="297" totalsRowDxfId="296">
      <calculatedColumnFormula>SUMIFS(SM_Length,SM_Material,B$71,SM_ServiceType,C72,SM_CutType,D72,SM_BoughtOut,E72,SM_FittingType,F72)</calculatedColumnFormula>
    </tableColumn>
    <tableColumn id="8" name="Area (SqFt)" totalsRowFunction="sum" headerRowDxfId="295" dataDxfId="294" totalsRowDxfId="293">
      <calculatedColumnFormula>SUMIFS(SM_Area,SM_Material,B$71,SM_ServiceType,C72,SM_CutType,D72,SM_BoughtOut,E72,SM_FittingType,F72)</calculatedColumnFormula>
    </tableColumn>
    <tableColumn id="12" name="Column3" totalsRowFunction="custom" headerRowDxfId="292" dataDxfId="291" totalsRowDxfId="290">
      <calculatedColumnFormula>IF(J72=0,"","ft²")</calculatedColumnFormula>
      <totalsRowFormula>IF(J77=0,"","ft²")</totalsRowFormula>
    </tableColumn>
    <tableColumn id="9" name="Pieces" totalsRowFunction="sum" headerRowDxfId="289" dataDxfId="288" totalsRowDxfId="287">
      <calculatedColumnFormula>SUMIFS(SM_Qty,SM_Material,B$71,SM_ServiceType,C72,SM_CutType,D72,SM_BoughtOut,E72,SM_FittingType,F72)</calculatedColumnFormula>
    </tableColumn>
    <tableColumn id="13" name="Column4" totalsRowFunction="custom" headerRowDxfId="286" dataDxfId="285" totalsRowDxfId="284">
      <calculatedColumnFormula>SUMIFS(SM_Ftime,SM_Material,B$71,SM_ServiceType,C72,SM_CutType,D72,SM_BoughtOut,E72,SM_FittingType,F72)*24</calculatedColumnFormula>
      <totalsRowFormula>SUBTOTAL(109,BouthtOut12610[Column4])*X72</totalsRowFormula>
    </tableColumn>
    <tableColumn id="14" name="Column5" totalsRowFunction="custom" headerRowDxfId="283" dataDxfId="282" totalsRowDxfId="281">
      <calculatedColumnFormula>IF(M72=0,"","hrs")</calculatedColumnFormula>
      <totalsRowFormula>IF(M77=0,"","hrs")</totalsRowFormula>
    </tableColumn>
    <tableColumn id="15" name="Column6" totalsRowFunction="custom" headerRowDxfId="280" dataDxfId="279" totalsRowDxfId="278">
      <calculatedColumnFormula>SUMIFS(SM_Etime,SM_Material,B$71,SM_ServiceType,C72,SM_CutType,D72,SM_BoughtOut,E72,SM_FittingType,F72)*24</calculatedColumnFormula>
      <totalsRowFormula>SUBTOTAL(109,BouthtOut12610[Column6])*X73</totalsRowFormula>
    </tableColumn>
    <tableColumn id="16" name="Column7" totalsRowFunction="custom" headerRowDxfId="277" dataDxfId="276" totalsRowDxfId="275">
      <calculatedColumnFormula>IF(O72=0,"","hrs")</calculatedColumnFormula>
      <totalsRowFormula>IF(O77=0,"","hrs")</totalsRowFormula>
    </tableColumn>
    <tableColumn id="10" name="Column1" totalsRowFunction="custom" headerRowDxfId="274" dataDxfId="273" totalsRowDxfId="272">
      <calculatedColumnFormula>IF(R72=0,"","$")</calculatedColumnFormula>
      <totalsRowFormula>IF(R77=0,"","$")</totalsRowFormula>
    </tableColumn>
    <tableColumn id="17" name="Column8" totalsRowFunction="sum" headerRowDxfId="271" dataDxfId="270" totalsRowDxfId="269">
      <calculatedColumnFormula>(BouthtOut12610[[#This Row],[Column4]]*SM_ShopLaborRate)+(BouthtOut12610[[#This Row],[Column6]]*SM_FieldLaborRate)</calculatedColumnFormula>
    </tableColumn>
    <tableColumn id="18" name="Column9" totalsRowFunction="custom" headerRowDxfId="268" dataDxfId="267" totalsRowDxfId="266">
      <calculatedColumnFormula>IF(T72=0,"","$")</calculatedColumnFormula>
      <totalsRowFormula>IF(T77=0,"","$")</totalsRowFormula>
    </tableColumn>
    <tableColumn id="19" name="Column10" totalsRowFunction="custom" headerRowDxfId="265" dataDxfId="264" totalsRowDxfId="263">
      <calculatedColumnFormula>SUMIFS(SM_MaterialCost,SM_Material,B$71,SM_ServiceType,C72,SM_CutType,D72,SM_BoughtOut,E72,SM_FittingType,F72)</calculatedColumnFormula>
      <totalsRowFormula>SUBTOTAL(109,BouthtOut12610[Column10])*X74</totalsRowFormula>
    </tableColumn>
    <tableColumn id="20" name="Column11" totalsRowFunction="sum" headerRowDxfId="262" dataDxfId="261" totalsRowDxfId="260">
      <calculatedColumnFormula>IF(L72=0,"",L72/$L$41)</calculatedColumnFormula>
    </tableColumn>
  </tableColumns>
  <tableStyleInfo name="Vegas" showFirstColumn="1" showLastColumn="0" showRowStripes="1" showColumnStripes="0"/>
</table>
</file>

<file path=xl/tables/table8.xml><?xml version="1.0" encoding="utf-8"?>
<table xmlns="http://schemas.openxmlformats.org/spreadsheetml/2006/main" id="10" name="Fabricated15911" displayName="Fabricated15911" ref="B63:U68" headerRowCount="0" totalsRowCount="1">
  <tableColumns count="20">
    <tableColumn id="1" name="Fabricated" totalsRowFunction="custom" headerRowDxfId="259">
      <totalsRowFormula>IF(SUM(X63:X65)&gt;3,"Total w/Multiplier","Total")</totalsRowFormula>
    </tableColumn>
    <tableColumn id="2" name="ServiceType"/>
    <tableColumn id="3" name="Cut Type"/>
    <tableColumn id="4" name="Bought Out"/>
    <tableColumn id="5" name="Fitting Type"/>
    <tableColumn id="6" name="Weight (lbs)" totalsRowFunction="sum" headerRowDxfId="258" dataDxfId="257" totalsRowDxfId="256">
      <calculatedColumnFormula>SUMIFS(SM_Weight,SM_Material,B$62,SM_ServiceType,C63,SM_CutType,D63,SM_BoughtOut,E63,SM_FittingType,F63)</calculatedColumnFormula>
    </tableColumn>
    <tableColumn id="12" name="Column2" totalsRowFunction="custom" headerRowDxfId="255" dataDxfId="254" totalsRowDxfId="253">
      <calculatedColumnFormula>IF(G63=0,"","lbs")</calculatedColumnFormula>
      <totalsRowFormula>IF(G68=0,"","lbs")</totalsRowFormula>
    </tableColumn>
    <tableColumn id="7" name="Length (ft)" totalsRowFunction="sum" headerRowDxfId="252" dataDxfId="251" totalsRowDxfId="250">
      <calculatedColumnFormula>SUMIFS(SM_Length,SM_Material,B$62,SM_ServiceType,C63,SM_CutType,D63,SM_BoughtOut,E63,SM_FittingType,F63)</calculatedColumnFormula>
    </tableColumn>
    <tableColumn id="8" name="Area (SqFt)" totalsRowFunction="sum" headerRowDxfId="249" dataDxfId="248" totalsRowDxfId="247">
      <calculatedColumnFormula>SUMIFS(SM_Area,SM_Material,B$62,SM_ServiceType,C63,SM_CutType,D63,SM_BoughtOut,E63,SM_FittingType,F63)</calculatedColumnFormula>
    </tableColumn>
    <tableColumn id="13" name="Column3" totalsRowFunction="custom" headerRowDxfId="246" dataDxfId="245" totalsRowDxfId="244">
      <calculatedColumnFormula>IF(J63=0,"","ft²")</calculatedColumnFormula>
      <totalsRowFormula>IF(J68=0,"","ft²")</totalsRowFormula>
    </tableColumn>
    <tableColumn id="9" name="Pieces" totalsRowFunction="sum" headerRowDxfId="243" dataDxfId="242" totalsRowDxfId="241">
      <calculatedColumnFormula>SUMIFS(SM_Qty,SM_Material,B$62,SM_ServiceType,C63,SM_CutType,D63,SM_BoughtOut,E63,SM_FittingType,F63)</calculatedColumnFormula>
    </tableColumn>
    <tableColumn id="14" name="Column5" totalsRowFunction="custom" headerRowDxfId="240" dataDxfId="239" totalsRowDxfId="238">
      <calculatedColumnFormula>SUMIFS(SM_Ftime,SM_Material,B$62,SM_ServiceType,C63,SM_CutType,D63,SM_BoughtOut,E63,SM_FittingType,F63)*24</calculatedColumnFormula>
      <totalsRowFormula>SUBTOTAL(109,Fabricated15911[Column5])*X63</totalsRowFormula>
    </tableColumn>
    <tableColumn id="24" name="Column4" totalsRowFunction="custom" headerRowDxfId="237" dataDxfId="236" totalsRowDxfId="235">
      <calculatedColumnFormula>IF(M63=0,"","hrs")</calculatedColumnFormula>
      <totalsRowFormula>IF(M68=0,"","hrs")</totalsRowFormula>
    </tableColumn>
    <tableColumn id="16" name="Column7" totalsRowFunction="custom" headerRowDxfId="234" dataDxfId="233" totalsRowDxfId="232">
      <calculatedColumnFormula>SUMIFS(SM_Etime,SM_Material,B$62,SM_ServiceType,C63,SM_CutType,D63,SM_BoughtOut,E63,SM_FittingType,F63)*24</calculatedColumnFormula>
      <totalsRowFormula>SUBTOTAL(109,Fabricated15911[Column7])*X64</totalsRowFormula>
    </tableColumn>
    <tableColumn id="25" name="Column15" totalsRowFunction="custom" headerRowDxfId="231" dataDxfId="230" totalsRowDxfId="229">
      <calculatedColumnFormula>IF(O63=0,"","hrs")</calculatedColumnFormula>
      <totalsRowFormula>IF(O68=0,"","hrs")</totalsRowFormula>
    </tableColumn>
    <tableColumn id="17" name="Column8" totalsRowFunction="custom" headerRowDxfId="228" dataDxfId="227" totalsRowDxfId="226">
      <calculatedColumnFormula>IF(R63=0,"","$")</calculatedColumnFormula>
      <totalsRowFormula>IF(R68=0,"","$")</totalsRowFormula>
    </tableColumn>
    <tableColumn id="18" name="Column9" totalsRowFunction="sum" headerRowDxfId="225" dataDxfId="224" totalsRowDxfId="223">
      <calculatedColumnFormula>(Fabricated15911[[#This Row],[Column5]]*SM_ShopLaborRate)+(Fabricated15911[[#This Row],[Column7]]*SM_FieldLaborRate)</calculatedColumnFormula>
    </tableColumn>
    <tableColumn id="19" name="Column10" totalsRowFunction="custom" headerRowDxfId="222" dataDxfId="221" totalsRowDxfId="220" dataCellStyle="Normal">
      <calculatedColumnFormula>IF(T63=0,"","$")</calculatedColumnFormula>
      <totalsRowFormula>IF(T68=0,"","$")</totalsRowFormula>
    </tableColumn>
    <tableColumn id="20" name="Column11" totalsRowFunction="custom" headerRowDxfId="219" dataDxfId="218" totalsRowDxfId="217">
      <calculatedColumnFormula>SUMIFS(SM_MaterialCost,SM_Material,B$53,SM_ServiceType,C63,SM_CutType,D63,SM_BoughtOut,E63,SM_FittingType,F63)</calculatedColumnFormula>
      <totalsRowFormula>SUBTOTAL(109,Fabricated15911[Column11])*X65</totalsRowFormula>
    </tableColumn>
    <tableColumn id="10" name="Column1" totalsRowFunction="sum" headerRowDxfId="216" dataDxfId="215" totalsRowDxfId="214">
      <calculatedColumnFormula>IF(L63=0,"",L63/$L$32)</calculatedColumnFormula>
    </tableColumn>
  </tableColumns>
  <tableStyleInfo name="Vegas" showFirstColumn="1" showLastColumn="0" showRowStripes="1" showColumnStripes="0"/>
</table>
</file>

<file path=xl/tables/table9.xml><?xml version="1.0" encoding="utf-8"?>
<table xmlns="http://schemas.openxmlformats.org/spreadsheetml/2006/main" id="11" name="Accessories" displayName="Accessories" ref="B9:H36" headerRowCount="0" totalsRowCount="1">
  <tableColumns count="7">
    <tableColumn id="1" name="Column1" totalsRowFunction="custom" totalsRowDxfId="212">
      <calculatedColumnFormula>IF(Lists!D2="","",Lists!D2)</calculatedColumnFormula>
      <totalsRowFormula>IF(SUM(K9:K11)&gt;3,"Total w/Multiplier","Total")</totalsRowFormula>
    </tableColumn>
    <tableColumn id="5" name="Column5" dataDxfId="211" totalsRowDxfId="210">
      <calculatedColumnFormula>SUMIFS('SM-EST-Accessories'!J:J,SM_AccessoriesName,Accessories!B9)</calculatedColumnFormula>
    </tableColumn>
    <tableColumn id="7" name="Column6" totalsRowFunction="custom" dataDxfId="209" totalsRowDxfId="208">
      <calculatedColumnFormula>SUMIFS('SM-EST-Accessories'!G:G,SM_AccessoriesName,Accessories!B9)*24</calculatedColumnFormula>
      <totalsRowFormula>SUBTOTAL(109,Accessories[Column6])*K9</totalsRowFormula>
    </tableColumn>
    <tableColumn id="9" name="Column8" totalsRowFunction="custom" dataDxfId="207" totalsRowDxfId="206">
      <calculatedColumnFormula>IF(D9=0,"","hrs")</calculatedColumnFormula>
      <totalsRowFormula>IF(D36=0,"","hrs")</totalsRowFormula>
    </tableColumn>
    <tableColumn id="8" name="Column7" totalsRowFunction="custom" dataDxfId="205" totalsRowDxfId="204">
      <calculatedColumnFormula>SUMIFS('SM-EST-Accessories'!H:H,SM_AccessoriesName,Accessories!B9)*24</calculatedColumnFormula>
      <totalsRowFormula>SUBTOTAL(109,Accessories[Column7])*K10</totalsRowFormula>
    </tableColumn>
    <tableColumn id="6" name="Column3" totalsRowFunction="custom" dataDxfId="203" totalsRowDxfId="202">
      <calculatedColumnFormula>IF(F9=0,"","hrs")</calculatedColumnFormula>
      <totalsRowFormula>IF(F36=0,"","hrs")</totalsRowFormula>
    </tableColumn>
    <tableColumn id="4" name="Column4" totalsRowFunction="custom" dataDxfId="201" totalsRowDxfId="200">
      <calculatedColumnFormula>SUMIFS('SM-EST-Accessories'!I:I,SM_AccessoriesName,Accessories!B9)</calculatedColumnFormula>
      <totalsRowFormula>SUBTOTAL(109,Accessories[Column4])*K11</totalsRowFormula>
    </tableColumn>
  </tableColumns>
  <tableStyleInfo name="Vegas" showFirstColumn="1" showLastColumn="0" showRowStripes="1" showColumnStripes="0"/>
</table>
</file>

<file path=xl/tables/table10.xml><?xml version="1.0" encoding="utf-8"?>
<table xmlns="http://schemas.openxmlformats.org/spreadsheetml/2006/main" id="12" name="DamperTable" displayName="DamperTable" ref="B9:H33" headerRowCount="0" totalsRowCount="1" dataDxfId="198">
  <tableColumns count="7">
    <tableColumn id="6" name="Column1" totalsRowFunction="custom" headerRowDxfId="197" dataDxfId="196" totalsRowDxfId="195">
      <calculatedColumnFormula>IF(Lists!F2="","",Lists!F2)</calculatedColumnFormula>
      <totalsRowFormula>IF(SUM(K9:K11)&gt;3,"Total w/Multiplier","Total")</totalsRowFormula>
    </tableColumn>
    <tableColumn id="4" name="Column2" totalsRowFunction="sum" headerRowDxfId="194" dataDxfId="193" totalsRowDxfId="192">
      <calculatedColumnFormula>SUMIFS('SM-EST-Dampers'!K:K,SM_DamperName,DamperTable[[#This Row],[Column1]])</calculatedColumnFormula>
    </tableColumn>
    <tableColumn id="2" name="Ftime" totalsRowFunction="custom" headerRowDxfId="191" dataDxfId="190" totalsRowDxfId="189">
      <calculatedColumnFormula>SUMIFS('SM-EST-Dampers'!H:H,SM_DamperName,DamperTable[[#This Row],[Column1]])*24</calculatedColumnFormula>
      <totalsRowFormula>SUBTOTAL(109,DamperTable[Ftime])*K9</totalsRowFormula>
    </tableColumn>
    <tableColumn id="8" name="Column4" totalsRowFunction="custom" headerRowDxfId="188" dataDxfId="187" totalsRowDxfId="186">
      <calculatedColumnFormula>IF(D9=0,"","hrs")</calculatedColumnFormula>
      <totalsRowFormula>IF(D33=0,"","hrs")</totalsRowFormula>
    </tableColumn>
    <tableColumn id="5" name="Etime" totalsRowFunction="custom" headerRowDxfId="185" dataDxfId="184" totalsRowDxfId="183">
      <calculatedColumnFormula>SUMIFS('SM-EST-Dampers'!I:I,SM_DamperName,DamperTable[[#This Row],[Column1]])*24</calculatedColumnFormula>
      <totalsRowFormula>SUBTOTAL(109,DamperTable[Etime])*K10</totalsRowFormula>
    </tableColumn>
    <tableColumn id="7" name="Column3" totalsRowFunction="custom" headerRowDxfId="182" dataDxfId="181" totalsRowDxfId="180">
      <calculatedColumnFormula>IF(F9=0,"","hrs")</calculatedColumnFormula>
      <totalsRowFormula>IF(F33=0,"","hrs")</totalsRowFormula>
    </tableColumn>
    <tableColumn id="3" name="Cost" totalsRowFunction="custom" headerRowDxfId="179" dataDxfId="178" totalsRowDxfId="177">
      <calculatedColumnFormula>SUMIFS('SM-EST-Dampers'!J:J,SM_DamperName,DamperTable[[#This Row],[Column1]])</calculatedColumnFormula>
      <totalsRowFormula>SUBTOTAL(109,DamperTable[Cost])*K11</totalsRowFormula>
    </tableColumn>
  </tableColumns>
  <tableStyleInfo name="Vegas" showFirstColumn="1" showLastColumn="0" showRowStripes="1" showColumnStripes="0"/>
</table>
</file>

<file path=xl/tables/table11.xml><?xml version="1.0" encoding="utf-8"?>
<table xmlns="http://schemas.openxmlformats.org/spreadsheetml/2006/main" id="13" name="GRD_Table" displayName="GRD_Table" ref="B9:I33" headerRowCount="0" totalsRowCount="1" dataDxfId="175">
  <tableColumns count="8">
    <tableColumn id="6" name="Column1" totalsRowFunction="custom" headerRowDxfId="174" totalsRowDxfId="173">
      <calculatedColumnFormula>IF(Lists!G2="","",Lists!G2)</calculatedColumnFormula>
      <totalsRowFormula>IF(SUM(L9:L11)&gt;3,"Total w/Multiplier","Total")</totalsRowFormula>
    </tableColumn>
    <tableColumn id="9" name="Column5" headerRowDxfId="172" dataDxfId="171" totalsRowDxfId="170"/>
    <tableColumn id="4" name="Column2" totalsRowFunction="sum" headerRowDxfId="169" dataDxfId="168" totalsRowDxfId="167">
      <calculatedColumnFormula>SUMIFS('SM-EST-GRDs'!M:M,SM_GRDName,GRD_Table[[#This Row],[Column1]])</calculatedColumnFormula>
    </tableColumn>
    <tableColumn id="2" name="Ftime" totalsRowFunction="custom" headerRowDxfId="166" dataDxfId="165" totalsRowDxfId="164">
      <calculatedColumnFormula>SUMIFS('SM-EST-GRDs'!J:J,SM_GRDName,GRD_Table[[#This Row],[Column1]])*24</calculatedColumnFormula>
      <totalsRowFormula>SUBTOTAL(109,GRD_Table[Ftime])*L9</totalsRowFormula>
    </tableColumn>
    <tableColumn id="8" name="Column4" totalsRowFunction="custom" headerRowDxfId="163" dataDxfId="162" totalsRowDxfId="161">
      <calculatedColumnFormula>IF(E9=0,"","hrs")</calculatedColumnFormula>
      <totalsRowFormula>IF(E33=0,"","hrs")</totalsRowFormula>
    </tableColumn>
    <tableColumn id="5" name="Etime" totalsRowFunction="custom" headerRowDxfId="160" dataDxfId="159" totalsRowDxfId="158">
      <calculatedColumnFormula>SUMIFS('SM-EST-GRDs'!K:K,SM_GRDName,GRD_Table[[#This Row],[Column1]])*24</calculatedColumnFormula>
      <totalsRowFormula>SUBTOTAL(109,GRD_Table[Etime])*L10</totalsRowFormula>
    </tableColumn>
    <tableColumn id="7" name="Column3" totalsRowFunction="custom" headerRowDxfId="157" dataDxfId="156" totalsRowDxfId="155">
      <calculatedColumnFormula>IF(G9=0,"","hrs")</calculatedColumnFormula>
      <totalsRowFormula>IF(G33=0,"","hrs")</totalsRowFormula>
    </tableColumn>
    <tableColumn id="3" name="Cost" totalsRowFunction="custom" headerRowDxfId="154" dataDxfId="153" totalsRowDxfId="152">
      <calculatedColumnFormula>SUMIFS('SM-EST-GRDs'!L:L,SM_GRDName,GRD_Table[[#This Row],[Column1]])</calculatedColumnFormula>
      <totalsRowFormula>SUBTOTAL(109,GRD_Table[Cost])*L11</totalsRowFormula>
    </tableColumn>
  </tableColumns>
  <tableStyleInfo name="Vegas" showFirstColumn="1" showLastColumn="0" showRowStripes="1" showColumnStripes="0"/>
</table>
</file>

<file path=xl/tables/table12.xml><?xml version="1.0" encoding="utf-8"?>
<table xmlns="http://schemas.openxmlformats.org/spreadsheetml/2006/main" id="25" name="EquipmentTable" displayName="EquipmentTable" ref="B9:J33" headerRowCount="0" totalsRowCount="1" dataDxfId="150">
  <tableColumns count="9">
    <tableColumn id="6" name="Column1" totalsRowFunction="custom" headerRowDxfId="149" dataDxfId="148" totalsRowDxfId="147">
      <calculatedColumnFormula>IF('SM-EST-Equipment'!F2="","",'SM-EST-Equipment'!F2)</calculatedColumnFormula>
      <totalsRowFormula>IF(SUM(M9:M11)&gt;3,"Total w/Multiplier","Total")</totalsRowFormula>
    </tableColumn>
    <tableColumn id="1" name="0" headerRowDxfId="146" dataDxfId="145">
      <calculatedColumnFormula>IF('SM-EST-Equipment'!E2="","",'SM-EST-Equipment'!E2)</calculatedColumnFormula>
    </tableColumn>
    <tableColumn id="4" name="Column2" totalsRowFunction="sum" headerRowDxfId="144" dataDxfId="143" totalsRowDxfId="142">
      <calculatedColumnFormula>IF('SM-EST-Equipment'!J2=0,"",'SM-EST-Equipment'!J2)</calculatedColumnFormula>
    </tableColumn>
    <tableColumn id="2" name="Ftime" totalsRowFunction="custom" headerRowDxfId="141" dataDxfId="140" totalsRowDxfId="139">
      <calculatedColumnFormula>IF('SM-EST-Equipment'!H2=0,"",'SM-EST-Equipment'!H2*24)</calculatedColumnFormula>
      <totalsRowFormula>SUBTOTAL(109,EquipmentTable[Ftime])*M9</totalsRowFormula>
    </tableColumn>
    <tableColumn id="8" name="Column4" totalsRowFunction="custom" headerRowDxfId="138" dataDxfId="137" totalsRowDxfId="136">
      <calculatedColumnFormula>IF(E9="","","hrs")</calculatedColumnFormula>
      <totalsRowFormula>IF(E33=0,"","hrs")</totalsRowFormula>
    </tableColumn>
    <tableColumn id="5" name="Etime" totalsRowFunction="custom" headerRowDxfId="135" dataDxfId="134" totalsRowDxfId="133">
      <calculatedColumnFormula>IF('SM-EST-Equipment'!I2=0,"",'SM-EST-Equipment'!I2*24)</calculatedColumnFormula>
      <totalsRowFormula>SUBTOTAL(109,EquipmentTable[Etime])*M10</totalsRowFormula>
    </tableColumn>
    <tableColumn id="7" name="Column3" totalsRowFunction="custom" headerRowDxfId="132" dataDxfId="131" totalsRowDxfId="130">
      <calculatedColumnFormula>IF(G9="","","hrs")</calculatedColumnFormula>
      <totalsRowFormula>IF(G33=0,"","hrs")</totalsRowFormula>
    </tableColumn>
    <tableColumn id="9" name="Column5" headerRowDxfId="129" dataDxfId="128" totalsRowDxfId="127"/>
    <tableColumn id="3" name="Cost" totalsRowFunction="custom" headerRowDxfId="126" dataDxfId="125" totalsRowDxfId="124">
      <calculatedColumnFormula>IFERROR(EquipmentTable[[#This Row],[Column2]]*EquipmentTable[[#This Row],[Column5]],"")</calculatedColumnFormula>
      <totalsRowFormula>SUBTOTAL(109,EquipmentTable[Cost])*M11</totalsRowFormula>
    </tableColumn>
  </tableColumns>
  <tableStyleInfo name="Vegas" showFirstColumn="1" showLastColumn="0" showRowStripes="1" showColumnStripes="0"/>
</table>
</file>

<file path=xl/tables/table13.xml><?xml version="1.0" encoding="utf-8"?>
<table xmlns="http://schemas.openxmlformats.org/spreadsheetml/2006/main" id="22" name="Ancillaries" displayName="Ancillaries" ref="B9:E47" headerRowCount="0" totalsRowCount="1">
  <tableColumns count="4">
    <tableColumn id="1" name="Column1" totalsRowLabel="Total" dataDxfId="123">
      <calculatedColumnFormula>IF(Lists!C2="","",Lists!C2)</calculatedColumnFormula>
    </tableColumn>
    <tableColumn id="3" name="Column3" dataDxfId="122" totalsRowDxfId="121">
      <calculatedColumnFormula>IF(B9="","",SUMIFS('SM-EST-Ancillaries'!G:G,SM_AncillaryName,Ancillaries!B9))</calculatedColumnFormula>
    </tableColumn>
    <tableColumn id="2" name="Column2" dataDxfId="120" totalsRowDxfId="119">
      <calculatedColumnFormula>IFERROR((VLOOKUP(B9,'SM-EST-Ancillaries'!F:J,5,FALSE))/C9,"")</calculatedColumnFormula>
    </tableColumn>
    <tableColumn id="4" name="Column4" totalsRowFunction="sum" dataDxfId="118" totalsRowDxfId="117">
      <calculatedColumnFormula>IF(B9="","",D9*C9)</calculatedColumnFormula>
    </tableColumn>
  </tableColumns>
  <tableStyleInfo name="Vegas" showFirstColumn="1" showLastColumn="0" showRowStripes="1" showColumnStripes="0"/>
</table>
</file>

<file path=xl/tables/table14.xml><?xml version="1.0" encoding="utf-8"?>
<table xmlns="http://schemas.openxmlformats.org/spreadsheetml/2006/main" id="14" name="HangerTable" displayName="HangerTable" ref="B9:H33" headerRowCount="0" totalsRowCount="1" dataDxfId="115">
  <tableColumns count="7">
    <tableColumn id="6" name="Column1" totalsRowFunction="custom" headerRowDxfId="114" dataDxfId="113" totalsRowDxfId="112">
      <calculatedColumnFormula>IF(Lists!H2="","",Lists!H2)</calculatedColumnFormula>
      <totalsRowFormula>IF(SUM(K9:K11)&gt;3,"Total w/Multiplier","Total")</totalsRowFormula>
    </tableColumn>
    <tableColumn id="4" name="Column2" totalsRowFunction="sum" headerRowDxfId="111" dataDxfId="110" totalsRowDxfId="109">
      <calculatedColumnFormula>SUMIFS('SM-EST-Hangers'!F:F,SM_DamperName,HangerTable[[#This Row],[Column1]])</calculatedColumnFormula>
    </tableColumn>
    <tableColumn id="2" name="Ftime" totalsRowFunction="custom" headerRowDxfId="108" dataDxfId="107" totalsRowDxfId="106">
      <calculatedColumnFormula>SUMIFS('SM-EST-Hangers'!I:I,SM_HangerName,HangerTable[[#This Row],[Column1]])*24</calculatedColumnFormula>
      <totalsRowFormula>SUBTOTAL(109,HangerTable[Ftime])*K9</totalsRowFormula>
    </tableColumn>
    <tableColumn id="8" name="Column4" totalsRowFunction="custom" headerRowDxfId="105" dataDxfId="104" totalsRowDxfId="103">
      <calculatedColumnFormula>IF(D9=0,"","hrs")</calculatedColumnFormula>
      <totalsRowFormula>IF(D33=0,"","hrs")</totalsRowFormula>
    </tableColumn>
    <tableColumn id="5" name="Etime" totalsRowFunction="custom" headerRowDxfId="102" dataDxfId="101" totalsRowDxfId="100">
      <calculatedColumnFormula>SUMIFS('SM-EST-Hangers'!J:J,SM_HangerName,HangerTable[[#This Row],[Column1]])*24</calculatedColumnFormula>
      <totalsRowFormula>SUBTOTAL(109,HangerTable[Etime])*K10</totalsRowFormula>
    </tableColumn>
    <tableColumn id="7" name="Column3" totalsRowFunction="custom" headerRowDxfId="99" dataDxfId="98" totalsRowDxfId="97">
      <calculatedColumnFormula>IF(F9=0,"","hrs")</calculatedColumnFormula>
      <totalsRowFormula>IF(F33=0,"","hrs")</totalsRowFormula>
    </tableColumn>
    <tableColumn id="3" name="Cost" totalsRowFunction="custom" headerRowDxfId="96" dataDxfId="95" totalsRowDxfId="94">
      <calculatedColumnFormula>SUMIFS('SM-EST-Hangers'!K:K,SM_HangerName,HangerTable[[#This Row],[Column1]])</calculatedColumnFormula>
      <totalsRowFormula>SUBTOTAL(109,HangerTable[Cost])*K11</totalsRowFormula>
    </tableColumn>
  </tableColumns>
  <tableStyleInfo name="Vegas" showFirstColumn="1" showLastColumn="0" showRowStripes="1" showColumnStripes="0"/>
</table>
</file>

<file path=xl/tables/table15.xml><?xml version="1.0" encoding="utf-8"?>
<table xmlns="http://schemas.openxmlformats.org/spreadsheetml/2006/main" id="15" name="FlexDuctTable" displayName="FlexDuctTable" ref="B9:F33" headerRowCount="0" totalsRowCount="1" dataDxfId="92">
  <tableColumns count="5">
    <tableColumn id="6" name="Column1" totalsRowFunction="custom" headerRowDxfId="91" dataDxfId="90" totalsRowDxfId="89">
      <calculatedColumnFormula>IF(Lists!I2="","",Lists!I2)</calculatedColumnFormula>
      <totalsRowFormula>IF(SUM(I9:I10)&gt;2,"Total w/Multiplier","Total")</totalsRowFormula>
    </tableColumn>
    <tableColumn id="4" name="Column2" totalsRowFunction="sum" headerRowDxfId="88" dataDxfId="87" totalsRowDxfId="86">
      <calculatedColumnFormula>SUMIFS('SM-EST-Flex Duct'!H:H,SM_FlexDuctName,FlexDuctTable[[#This Row],[Column1]])</calculatedColumnFormula>
    </tableColumn>
    <tableColumn id="5" name="Etime" totalsRowFunction="custom" headerRowDxfId="85" dataDxfId="84" totalsRowDxfId="83">
      <calculatedColumnFormula>SUMIFS('SM-EST-Flex Duct'!I:I,SM_FlexDuctName,FlexDuctTable[[#This Row],[Column1]])*24</calculatedColumnFormula>
      <totalsRowFormula>SUBTOTAL(109,FlexDuctTable[Etime])*I9</totalsRowFormula>
    </tableColumn>
    <tableColumn id="7" name="Column3" totalsRowFunction="custom" headerRowDxfId="82" dataDxfId="81" totalsRowDxfId="80">
      <calculatedColumnFormula>IF(D9=0,"","hrs")</calculatedColumnFormula>
      <totalsRowFormula>IF(D33=0,"","hrs")</totalsRowFormula>
    </tableColumn>
    <tableColumn id="3" name="Cost" totalsRowFunction="custom" headerRowDxfId="79" dataDxfId="78" totalsRowDxfId="77">
      <calculatedColumnFormula>SUMIFS('SM-EST-Flex Duct'!J:J,SM_FlexDuctName,FlexDuctTable[[#This Row],[Column1]])</calculatedColumnFormula>
      <totalsRowFormula>SUBTOTAL(109,FlexDuctTable[Cost])*I10</totalsRowFormula>
    </tableColumn>
  </tableColumns>
  <tableStyleInfo name="Vegas" showFirstColumn="1" showLastColumn="0" showRowStripes="1" showColumnStripes="0"/>
</table>
</file>

<file path=xl/tables/table16.xml><?xml version="1.0" encoding="utf-8"?>
<table xmlns="http://schemas.openxmlformats.org/spreadsheetml/2006/main" id="16" name="SleevesTable" displayName="SleevesTable" ref="B9:H33" headerRowCount="0" totalsRowCount="1" dataDxfId="75">
  <tableColumns count="7">
    <tableColumn id="6" name="Column1" totalsRowFunction="custom" headerRowDxfId="74" dataDxfId="73" totalsRowDxfId="72">
      <calculatedColumnFormula>IF(Lists!J2="","",Lists!J2)</calculatedColumnFormula>
      <totalsRowFormula>IF(SUM(K9:K11)&gt;3,"Total w/Multiplier","Total")</totalsRowFormula>
    </tableColumn>
    <tableColumn id="4" name="Column2" totalsRowFunction="sum" headerRowDxfId="71" dataDxfId="70" totalsRowDxfId="69">
      <calculatedColumnFormula>SUMIFS('SM-EST-Sleeves'!H:H,SM_SleeveName,SleevesTable[[#This Row],[Column1]])</calculatedColumnFormula>
    </tableColumn>
    <tableColumn id="2" name="Ftime" totalsRowFunction="custom" headerRowDxfId="68" dataDxfId="67" totalsRowDxfId="66">
      <calculatedColumnFormula>SUMIFS('SM-EST-Sleeves'!I:I,SM_SleeveName,SleevesTable[[#This Row],[Column1]])*24</calculatedColumnFormula>
      <totalsRowFormula>SUBTOTAL(109,SleevesTable[Ftime])*K9</totalsRowFormula>
    </tableColumn>
    <tableColumn id="8" name="Column4" totalsRowFunction="custom" headerRowDxfId="65" dataDxfId="64" totalsRowDxfId="63">
      <calculatedColumnFormula>IF(D9=0,"","hrs")</calculatedColumnFormula>
      <totalsRowFormula>IF(D33=0,"","hrs")</totalsRowFormula>
    </tableColumn>
    <tableColumn id="5" name="Etime" totalsRowFunction="custom" headerRowDxfId="62" dataDxfId="61" totalsRowDxfId="60">
      <calculatedColumnFormula>SUMIFS('SM-EST-Sleeves'!J:J,SM_SleeveName,SleevesTable[[#This Row],[Column1]])*24</calculatedColumnFormula>
      <totalsRowFormula>SUBTOTAL(109,SleevesTable[Etime])*K10</totalsRowFormula>
    </tableColumn>
    <tableColumn id="7" name="Column3" totalsRowFunction="custom" headerRowDxfId="59" dataDxfId="58" totalsRowDxfId="57">
      <calculatedColumnFormula>IF(F9=0,"","hrs")</calculatedColumnFormula>
      <totalsRowFormula>IF(F33=0,"","hrs")</totalsRowFormula>
    </tableColumn>
    <tableColumn id="3" name="Cost" totalsRowFunction="custom" headerRowDxfId="56" dataDxfId="55" totalsRowDxfId="54">
      <calculatedColumnFormula>SUMIFS('SM-EST-Sleeves'!K:K,SM_SleeveName,SleevesTable[[#This Row],[Column1]])</calculatedColumnFormula>
      <totalsRowFormula>SUBTOTAL(109,SleevesTable[Cost])*K11</totalsRowFormula>
    </tableColumn>
  </tableColumns>
  <tableStyleInfo name="Vegas" showFirstColumn="1" showLastColumn="0" showRowStripes="1" showColumnStripes="0"/>
</table>
</file>

<file path=xl/tables/table17.xml><?xml version="1.0" encoding="utf-8"?>
<table xmlns="http://schemas.openxmlformats.org/spreadsheetml/2006/main" id="18" name="SleevesTable19" displayName="SleevesTable19" ref="B9:H33" headerRowCount="0" totalsRowCount="1" dataDxfId="52">
  <tableColumns count="7">
    <tableColumn id="6" name="Column1" totalsRowFunction="custom" headerRowDxfId="51" dataDxfId="50" totalsRowDxfId="49">
      <calculatedColumnFormula>IF(Lists!K2="","",Lists!K2)</calculatedColumnFormula>
      <totalsRowFormula>IF(SUM(K9:K11)&gt;3,"Total w/Multiplier","Total")</totalsRowFormula>
    </tableColumn>
    <tableColumn id="4" name="Column2" totalsRowFunction="sum" headerRowDxfId="48" dataDxfId="47" totalsRowDxfId="46">
      <calculatedColumnFormula>SUMIFS('SM-EST-Insulation'!H:H,SM_InsulationMaterial,SleevesTable19[[#This Row],[Column1]])</calculatedColumnFormula>
    </tableColumn>
    <tableColumn id="2" name="Ftime" totalsRowFunction="custom" headerRowDxfId="45" dataDxfId="44" totalsRowDxfId="43">
      <calculatedColumnFormula>SUMIFS('SM-EST-Insulation'!I:I,SM_InsulationMaterial,SleevesTable19[[#This Row],[Column1]])*24</calculatedColumnFormula>
      <totalsRowFormula>SUBTOTAL(109,SleevesTable19[Ftime])*K9</totalsRowFormula>
    </tableColumn>
    <tableColumn id="8" name="Column4" totalsRowFunction="custom" headerRowDxfId="42" dataDxfId="41" totalsRowDxfId="40">
      <calculatedColumnFormula>IF(D9=0,"","hrs")</calculatedColumnFormula>
      <totalsRowFormula>IF(D33=0,"","hrs")</totalsRowFormula>
    </tableColumn>
    <tableColumn id="5" name="Etime" totalsRowFunction="custom" headerRowDxfId="39" dataDxfId="38" totalsRowDxfId="37">
      <calculatedColumnFormula>SUMIFS('SM-EST-Insulation'!J:J,SM_InsulationMaterial,SleevesTable19[[#This Row],[Column1]])*24</calculatedColumnFormula>
      <totalsRowFormula>SUBTOTAL(109,SleevesTable19[Etime])*K10</totalsRowFormula>
    </tableColumn>
    <tableColumn id="7" name="Column3" totalsRowFunction="custom" headerRowDxfId="36" dataDxfId="35" totalsRowDxfId="34">
      <calculatedColumnFormula>IF(F9=0,"","hrs")</calculatedColumnFormula>
      <totalsRowFormula>IF(F33=0,"","hrs")</totalsRowFormula>
    </tableColumn>
    <tableColumn id="3" name="Cost" totalsRowFunction="custom" headerRowDxfId="33" dataDxfId="32" totalsRowDxfId="31">
      <calculatedColumnFormula>SUMIFS('SM-EST-Insulation'!K:K,SM_InsulationMaterial,SleevesTable19[[#This Row],[Column1]])</calculatedColumnFormula>
      <totalsRowFormula>SUBTOTAL(109,SleevesTable19[Cost])*K11</totalsRowFormula>
    </tableColumn>
  </tableColumns>
  <tableStyleInfo name="Vegas" showFirstColumn="1" showLastColumn="0" showRowStripes="1" showColumnStripes="0"/>
</table>
</file>

<file path=xl/tables/table18.xml><?xml version="1.0" encoding="utf-8"?>
<table xmlns="http://schemas.openxmlformats.org/spreadsheetml/2006/main" id="26" name="RentalsTable" displayName="RentalsTable" ref="B19:C27" totalsRowCount="1" dataDxfId="30">
  <autoFilter ref="B19:C26">
    <filterColumn colId="0" hiddenButton="1"/>
    <filterColumn colId="1" hiddenButton="1"/>
  </autoFilter>
  <tableColumns count="2">
    <tableColumn id="1" name="Description" totalsRowLabel="Total" dataDxfId="29"/>
    <tableColumn id="2" name="Cost" totalsRowFunction="sum" dataDxfId="28" totalsRowDxfId="27" dataCellStyle="Currency" totalsRowCellStyle="Currency"/>
  </tableColumns>
  <tableStyleInfo name="Vegas" showFirstColumn="1" showLastColumn="0" showRowStripes="1" showColumnStripes="0"/>
</table>
</file>

<file path=xl/tables/table19.xml><?xml version="1.0" encoding="utf-8"?>
<table xmlns="http://schemas.openxmlformats.org/spreadsheetml/2006/main" id="27" name="ManagmentTable" displayName="ManagmentTable" ref="E8:I16" totalsRowCount="1">
  <autoFilter ref="E8:I15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Description" totalsRowLabel="Total" dataDxfId="26"/>
    <tableColumn id="2" name="%" dataDxfId="25" totalsRowDxfId="24"/>
    <tableColumn id="3" name="Method" dataDxfId="23"/>
    <tableColumn id="4" name="Hours" dataDxfId="22" totalsRowDxfId="21">
      <calculatedColumnFormula>IF(ManagmentTable[[#This Row],[%]]="","",Labor_TotalField*(ManagmentTable[[#This Row],[%]]/100))</calculatedColumnFormula>
    </tableColumn>
    <tableColumn id="5" name="Cost" totalsRowFunction="sum" totalsRowDxfId="20" dataCellStyle="Currency"/>
  </tableColumns>
  <tableStyleInfo name="Vegas" showFirstColumn="1" showLastColumn="0" showRowStripes="1" showColumnStripes="0"/>
</table>
</file>

<file path=xl/tables/table20.xml><?xml version="1.0" encoding="utf-8"?>
<table xmlns="http://schemas.openxmlformats.org/spreadsheetml/2006/main" id="28" name="FieldSupportTable" displayName="FieldSupportTable" ref="E19:I27" totalsRowCount="1">
  <autoFilter ref="E19:I26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Description" totalsRowLabel="Total" dataDxfId="19"/>
    <tableColumn id="2" name="%" dataDxfId="18" totalsRowDxfId="17"/>
    <tableColumn id="3" name="Method" dataDxfId="16"/>
    <tableColumn id="4" name="Hours" dataDxfId="15" totalsRowDxfId="14">
      <calculatedColumnFormula>IF(FieldSupportTable[[#This Row],[%]]="","",Labor_TotalField*(FieldSupportTable[[#This Row],[%]]/100))</calculatedColumnFormula>
    </tableColumn>
    <tableColumn id="5" name="Cost" totalsRowFunction="sum" totalsRowDxfId="13" dataCellStyle="Currency"/>
  </tableColumns>
  <tableStyleInfo name="Vegas" showFirstColumn="1" showLastColumn="0" showRowStripes="1" showColumnStripes="0"/>
</table>
</file>

<file path=xl/tables/table21.xml><?xml version="1.0" encoding="utf-8"?>
<table xmlns="http://schemas.openxmlformats.org/spreadsheetml/2006/main" id="29" name="MiscTable" displayName="MiscTable" ref="B8:C16" totalsRowCount="1" dataDxfId="12">
  <autoFilter ref="B8:C15">
    <filterColumn colId="0" hiddenButton="1"/>
    <filterColumn colId="1" hiddenButton="1"/>
  </autoFilter>
  <tableColumns count="2">
    <tableColumn id="1" name="Description" totalsRowLabel="Total" dataDxfId="11"/>
    <tableColumn id="2" name="Cost" totalsRowFunction="sum" dataDxfId="10" totalsRowDxfId="9" dataCellStyle="Currency" totalsRowCellStyle="Currency"/>
  </tableColumns>
  <tableStyleInfo name="Vegas" showFirstColumn="1" showLastColumn="0" showRowStripes="1" showColumnStripes="0"/>
</table>
</file>

<file path=xl/tables/table22.xml><?xml version="1.0" encoding="utf-8"?>
<table xmlns="http://schemas.openxmlformats.org/spreadsheetml/2006/main" id="7" name="LaborRates" displayName="LaborRates" ref="B7:C17" totalsRowShown="0" dataDxfId="8">
  <autoFilter ref="B7:C17">
    <filterColumn colId="0" hiddenButton="1"/>
    <filterColumn colId="1" hiddenButton="1"/>
  </autoFilter>
  <tableColumns count="2">
    <tableColumn id="1" name="Labor" dataDxfId="7"/>
    <tableColumn id="2" name="Rate" dataDxfId="6" dataCellStyle="Currency"/>
  </tableColumns>
  <tableStyleInfo name="Vegas" showFirstColumn="1" showLastColumn="0" showRowStripes="1" showColumnStripes="0"/>
</table>
</file>

<file path=xl/tables/table23.xml><?xml version="1.0" encoding="utf-8"?>
<table xmlns="http://schemas.openxmlformats.org/spreadsheetml/2006/main" id="6" name="Table6" displayName="Table6" ref="E7:F20" totalsRowShown="0" dataDxfId="5">
  <autoFilter ref="E7:F20">
    <filterColumn colId="0" hiddenButton="1"/>
    <filterColumn colId="1" hiddenButton="1"/>
  </autoFilter>
  <sortState ref="E8:F21">
    <sortCondition ref="F8"/>
  </sortState>
  <tableColumns count="2">
    <tableColumn id="1" name="Subcontracts" dataDxfId="4"/>
    <tableColumn id="2" name="Rentals" dataDxfId="3"/>
  </tableColumns>
  <tableStyleInfo name="Vegas" showFirstColumn="0" showLastColumn="0" showRowStripes="1" showColumnStripes="0"/>
</table>
</file>

<file path=xl/tables/table24.xml><?xml version="1.0" encoding="utf-8"?>
<table xmlns="http://schemas.openxmlformats.org/spreadsheetml/2006/main" id="17" name="Settings" displayName="Settings" ref="B19:C29" totalsRowShown="0" dataDxfId="2">
  <autoFilter ref="B19:C29">
    <filterColumn colId="0" hiddenButton="1"/>
    <filterColumn colId="1" hiddenButton="1"/>
  </autoFilter>
  <tableColumns count="2">
    <tableColumn id="1" name="Field" dataDxfId="1"/>
    <tableColumn id="2" name="Value" dataDxfId="0" dataCellStyle="Currency"/>
  </tableColumns>
  <tableStyleInfo name="Vegas" showFirstColumn="1" showLastColumn="0" showRowStripes="1" showColumnStripes="0"/>
</table>
</file>

<file path=xl/theme/theme1.xml><?xml version="1.0" encoding="utf-8"?>
<a:theme xmlns:a="http://schemas.openxmlformats.org/drawingml/2006/main" name="Green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21.xml"/><Relationship Id="rId5" Type="http://schemas.openxmlformats.org/officeDocument/2006/relationships/table" Target="../tables/table20.xml"/><Relationship Id="rId4" Type="http://schemas.openxmlformats.org/officeDocument/2006/relationships/table" Target="../tables/table1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table" Target="../tables/table24.xml"/><Relationship Id="rId4" Type="http://schemas.openxmlformats.org/officeDocument/2006/relationships/table" Target="../tables/table2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Z46"/>
  <sheetViews>
    <sheetView showGridLines="0" tabSelected="1" zoomScaleNormal="100" workbookViewId="0">
      <selection activeCell="B24" sqref="B24"/>
    </sheetView>
  </sheetViews>
  <sheetFormatPr defaultRowHeight="14.4" x14ac:dyDescent="0.3"/>
  <cols>
    <col min="2" max="2" width="23.88671875" customWidth="1"/>
    <col min="3" max="3" width="7.6640625" customWidth="1"/>
    <col min="4" max="4" width="4.6640625" customWidth="1"/>
    <col min="5" max="5" width="7.6640625" customWidth="1"/>
    <col min="6" max="6" width="4.6640625" customWidth="1"/>
    <col min="7" max="7" width="8.6640625" customWidth="1"/>
    <col min="8" max="8" width="9.6640625" customWidth="1"/>
    <col min="9" max="9" width="8.6640625" customWidth="1"/>
    <col min="10" max="10" width="7.6640625" customWidth="1"/>
    <col min="11" max="11" width="8.6640625" customWidth="1"/>
    <col min="12" max="12" width="10.6640625" style="1" customWidth="1"/>
    <col min="13" max="13" width="10" customWidth="1"/>
    <col min="14" max="14" width="14.33203125" style="162" hidden="1" customWidth="1"/>
    <col min="15" max="15" width="11" hidden="1" customWidth="1"/>
    <col min="16" max="16" width="16" hidden="1" customWidth="1"/>
    <col min="17" max="17" width="14.44140625" hidden="1" customWidth="1"/>
    <col min="18" max="18" width="13.44140625" hidden="1" customWidth="1"/>
    <col min="19" max="19" width="12.44140625" hidden="1" customWidth="1"/>
    <col min="20" max="20" width="23.109375" hidden="1" customWidth="1"/>
    <col min="21" max="21" width="8.88671875" hidden="1" customWidth="1"/>
    <col min="22" max="22" width="3" hidden="1" customWidth="1"/>
    <col min="23" max="23" width="7.88671875" hidden="1" customWidth="1"/>
    <col min="24" max="24" width="11.33203125" hidden="1" customWidth="1"/>
    <col min="25" max="25" width="2.6640625" hidden="1" customWidth="1"/>
    <col min="26" max="26" width="11.33203125" hidden="1" customWidth="1"/>
  </cols>
  <sheetData>
    <row r="1" spans="2:26" ht="6" customHeight="1" x14ac:dyDescent="0.3"/>
    <row r="2" spans="2:26" ht="39" customHeight="1" thickBot="1" x14ac:dyDescent="0.45">
      <c r="B2" s="168" t="s">
        <v>14</v>
      </c>
      <c r="C2" s="168"/>
      <c r="D2" s="168"/>
      <c r="E2" s="168"/>
      <c r="F2" s="168"/>
      <c r="G2" s="168"/>
      <c r="H2" s="168"/>
      <c r="I2" s="168"/>
      <c r="J2" s="168"/>
      <c r="K2" s="168"/>
      <c r="L2" s="169"/>
    </row>
    <row r="3" spans="2:26" ht="9" customHeight="1" thickTop="1" x14ac:dyDescent="0.3"/>
    <row r="4" spans="2:26" x14ac:dyDescent="0.3">
      <c r="B4" s="3" t="str">
        <f>IF(ProjectName="","",ProjectName)</f>
        <v/>
      </c>
      <c r="K4" s="5" t="s">
        <v>15</v>
      </c>
      <c r="L4" s="4" t="str">
        <f>IF(EstimatorName="","",EstimatorName)</f>
        <v/>
      </c>
    </row>
    <row r="5" spans="2:26" ht="15" customHeight="1" x14ac:dyDescent="0.3">
      <c r="B5" s="9" t="str">
        <f>IF(ProjectAddress="","",ProjectAddress)</f>
        <v/>
      </c>
      <c r="K5" s="5" t="s">
        <v>16</v>
      </c>
      <c r="L5" s="4" t="str">
        <f>IF(EstimateNo="","",EstimateNo)</f>
        <v/>
      </c>
    </row>
    <row r="6" spans="2:26" x14ac:dyDescent="0.3">
      <c r="H6" s="69"/>
      <c r="I6" s="69"/>
    </row>
    <row r="7" spans="2:26" ht="18" x14ac:dyDescent="0.35">
      <c r="B7" s="24" t="s">
        <v>1</v>
      </c>
      <c r="C7" s="195" t="s">
        <v>53</v>
      </c>
      <c r="D7" s="57"/>
      <c r="E7" s="57" t="s">
        <v>54</v>
      </c>
      <c r="F7" s="59"/>
      <c r="G7" s="70"/>
      <c r="H7" s="70" t="s">
        <v>12</v>
      </c>
      <c r="I7" s="70"/>
      <c r="J7" s="81" t="s">
        <v>13</v>
      </c>
      <c r="K7" s="23"/>
      <c r="L7" s="88" t="s">
        <v>0</v>
      </c>
      <c r="S7" s="205"/>
      <c r="T7" s="163" t="s">
        <v>105</v>
      </c>
      <c r="U7" s="163" t="s">
        <v>106</v>
      </c>
      <c r="W7" s="163" t="s">
        <v>107</v>
      </c>
      <c r="X7" s="163" t="s">
        <v>108</v>
      </c>
      <c r="Z7" s="163" t="s">
        <v>47</v>
      </c>
    </row>
    <row r="8" spans="2:26" x14ac:dyDescent="0.3">
      <c r="B8" s="26" t="s">
        <v>2</v>
      </c>
      <c r="C8" s="64">
        <f>SUMIFS(SM_Ftime,SM_BoughtOut,"No")*24</f>
        <v>0</v>
      </c>
      <c r="D8" s="58" t="str">
        <f>IF(C8=0,"","hrs")</f>
        <v/>
      </c>
      <c r="E8" s="66">
        <f>SUMIFS(SM_Etime,SM_BoughtOut,"No")*24</f>
        <v>0</v>
      </c>
      <c r="F8" s="58" t="str">
        <f>IF(E8=0,"","hrs")</f>
        <v/>
      </c>
      <c r="G8" s="61" t="str">
        <f>IF(H8=0,"","$")</f>
        <v/>
      </c>
      <c r="H8" s="68">
        <f t="shared" ref="H8:H18" si="0">(C8*SM_ShopLaborRate)+(E8*SM_FieldLaborRate)</f>
        <v>0</v>
      </c>
      <c r="I8" s="61" t="str">
        <f>IF(J8=0,"","$")</f>
        <v/>
      </c>
      <c r="J8" s="66">
        <f>Fabricated1[[#Totals],[Column11]]+Fabricated15[[#Totals],[Column11]]+Fabricated159[[#Totals],[Column11]]+Fabricated15911[[#Totals],[Column11]]</f>
        <v>0</v>
      </c>
      <c r="K8" s="61" t="str">
        <f t="shared" ref="K8:K21" si="1">IF(L8=0,"","$")</f>
        <v/>
      </c>
      <c r="L8" s="89">
        <f>H8+J8</f>
        <v>0</v>
      </c>
      <c r="Q8" s="207" t="s">
        <v>39</v>
      </c>
      <c r="R8" s="207" t="s">
        <v>40</v>
      </c>
      <c r="S8" s="197"/>
      <c r="T8" s="164" t="s">
        <v>109</v>
      </c>
      <c r="U8" s="165">
        <v>496.39</v>
      </c>
      <c r="W8" s="165">
        <v>3700.54</v>
      </c>
      <c r="X8" s="165">
        <v>8229.9699999999993</v>
      </c>
      <c r="Z8" s="165">
        <v>12426.89</v>
      </c>
    </row>
    <row r="9" spans="2:26" x14ac:dyDescent="0.3">
      <c r="B9" s="26" t="s">
        <v>3</v>
      </c>
      <c r="C9" s="235"/>
      <c r="D9" s="236" t="str">
        <f>IF(C9=0,"","hrs")</f>
        <v/>
      </c>
      <c r="E9" s="237">
        <f>SUMIFS(SM_Etime,SM_BoughtOut,"Yes")*24</f>
        <v>0</v>
      </c>
      <c r="F9" s="236" t="str">
        <f>IF(E9=0,"","hrs")</f>
        <v/>
      </c>
      <c r="G9" s="238" t="str">
        <f>IF(H9=0,"","$")</f>
        <v/>
      </c>
      <c r="H9" s="239">
        <f t="shared" si="0"/>
        <v>0</v>
      </c>
      <c r="I9" s="238" t="str">
        <f>IF(J9=0,"","$")</f>
        <v/>
      </c>
      <c r="J9" s="237">
        <f>BouthtOut1[[#Totals],[Column10]]+BouthtOut12[[#Totals],[Column10]]+BouthtOut126[[#Totals],[Column10]]+BouthtOut12610[[#Totals],[Column10]]</f>
        <v>0</v>
      </c>
      <c r="K9" s="238" t="str">
        <f t="shared" si="1"/>
        <v/>
      </c>
      <c r="L9" s="240">
        <f>SUM(Summary!$H9:$J9)</f>
        <v>0</v>
      </c>
      <c r="O9" s="196" t="s">
        <v>101</v>
      </c>
      <c r="Q9" s="212">
        <v>40.56666666666667</v>
      </c>
      <c r="R9" s="212">
        <v>11737.6</v>
      </c>
      <c r="S9" s="206"/>
      <c r="T9" s="164" t="s">
        <v>17</v>
      </c>
      <c r="U9" s="165">
        <v>46585.8</v>
      </c>
      <c r="W9" s="165">
        <v>58.27</v>
      </c>
      <c r="X9" s="165">
        <v>1223733.6100000001</v>
      </c>
      <c r="Z9" s="165">
        <v>1270377.67</v>
      </c>
    </row>
    <row r="10" spans="2:26" x14ac:dyDescent="0.3">
      <c r="B10" s="26" t="s">
        <v>5</v>
      </c>
      <c r="C10" s="241">
        <f>HangerTable[[#Totals],[Ftime]]</f>
        <v>0</v>
      </c>
      <c r="D10" s="242" t="str">
        <f t="shared" ref="D10:F18" si="2">IF(C10=0,"","hrs")</f>
        <v/>
      </c>
      <c r="E10" s="243">
        <f>HangerTable[[#Totals],[Etime]]</f>
        <v>0</v>
      </c>
      <c r="F10" s="242" t="str">
        <f t="shared" si="2"/>
        <v/>
      </c>
      <c r="G10" s="244" t="str">
        <f t="shared" ref="G10:I18" si="3">IF(H10=0,"","$")</f>
        <v/>
      </c>
      <c r="H10" s="245">
        <f>(C10*SM_ShopLaborRate)+(E10*SM_FieldLaborRate)</f>
        <v>0</v>
      </c>
      <c r="I10" s="244" t="str">
        <f t="shared" si="3"/>
        <v/>
      </c>
      <c r="J10" s="243">
        <f>HangerTable[[#Totals],[Cost]]</f>
        <v>0</v>
      </c>
      <c r="K10" s="244" t="str">
        <f t="shared" si="1"/>
        <v/>
      </c>
      <c r="L10" s="246">
        <f>SUM(Summary!$H10:$J10)</f>
        <v>0</v>
      </c>
      <c r="O10" s="196" t="s">
        <v>131</v>
      </c>
      <c r="Q10" s="213">
        <f>Labor_TotalShop</f>
        <v>0</v>
      </c>
      <c r="R10" s="213">
        <f>Labor_TotalField</f>
        <v>0</v>
      </c>
      <c r="S10" s="197"/>
      <c r="T10" s="164"/>
      <c r="U10" s="165">
        <v>47082.18</v>
      </c>
      <c r="W10" s="165">
        <v>3758.81</v>
      </c>
      <c r="X10" s="165">
        <v>1231963.57</v>
      </c>
      <c r="Z10" s="165">
        <v>1282804.56</v>
      </c>
    </row>
    <row r="11" spans="2:26" x14ac:dyDescent="0.3">
      <c r="B11" s="26" t="s">
        <v>6</v>
      </c>
      <c r="C11" s="235">
        <f>EquipmentTable[[#Totals],[Ftime]]</f>
        <v>0</v>
      </c>
      <c r="D11" s="236" t="str">
        <f t="shared" si="2"/>
        <v/>
      </c>
      <c r="E11" s="237">
        <f>EquipmentTable[[#Totals],[Etime]]</f>
        <v>0</v>
      </c>
      <c r="F11" s="236" t="str">
        <f t="shared" si="2"/>
        <v/>
      </c>
      <c r="G11" s="238" t="str">
        <f t="shared" si="3"/>
        <v/>
      </c>
      <c r="H11" s="239">
        <f t="shared" si="0"/>
        <v>0</v>
      </c>
      <c r="I11" s="238" t="str">
        <f t="shared" si="3"/>
        <v/>
      </c>
      <c r="J11" s="237">
        <f>EquipmentTable[[#Totals],[Cost]]</f>
        <v>0</v>
      </c>
      <c r="K11" s="238" t="str">
        <f t="shared" si="1"/>
        <v/>
      </c>
      <c r="L11" s="240">
        <f>SUM(Summary!$H11:$J11)</f>
        <v>0</v>
      </c>
      <c r="Q11" s="204">
        <f>Q10-Q9</f>
        <v>-40.56666666666667</v>
      </c>
      <c r="R11" s="204">
        <f>R10-R9</f>
        <v>-11737.6</v>
      </c>
    </row>
    <row r="12" spans="2:26" x14ac:dyDescent="0.3">
      <c r="B12" s="26" t="s">
        <v>7</v>
      </c>
      <c r="C12" s="241">
        <f>Accessories[[#Totals],[Column6]]</f>
        <v>0</v>
      </c>
      <c r="D12" s="242" t="str">
        <f t="shared" si="2"/>
        <v/>
      </c>
      <c r="E12" s="243">
        <f>Accessories[[#Totals],[Column7]]</f>
        <v>0</v>
      </c>
      <c r="F12" s="242" t="str">
        <f t="shared" si="2"/>
        <v/>
      </c>
      <c r="G12" s="244" t="str">
        <f t="shared" si="3"/>
        <v/>
      </c>
      <c r="H12" s="245">
        <f t="shared" si="0"/>
        <v>0</v>
      </c>
      <c r="I12" s="244" t="str">
        <f t="shared" si="3"/>
        <v/>
      </c>
      <c r="J12" s="243">
        <f>Accessories[[#Totals],[Column4]]</f>
        <v>0</v>
      </c>
      <c r="K12" s="244" t="str">
        <f t="shared" si="1"/>
        <v/>
      </c>
      <c r="L12" s="246">
        <f>SUM(Summary!$H12:$J12)</f>
        <v>0</v>
      </c>
    </row>
    <row r="13" spans="2:26" x14ac:dyDescent="0.3">
      <c r="B13" s="26" t="s">
        <v>8</v>
      </c>
      <c r="C13" s="235"/>
      <c r="D13" s="236" t="str">
        <f t="shared" si="2"/>
        <v/>
      </c>
      <c r="E13" s="237">
        <f>FlexDuctTable[[#Totals],[Etime]]</f>
        <v>0</v>
      </c>
      <c r="F13" s="236" t="str">
        <f t="shared" si="2"/>
        <v/>
      </c>
      <c r="G13" s="238" t="str">
        <f t="shared" si="3"/>
        <v/>
      </c>
      <c r="H13" s="239">
        <f t="shared" si="0"/>
        <v>0</v>
      </c>
      <c r="I13" s="238" t="str">
        <f t="shared" si="3"/>
        <v/>
      </c>
      <c r="J13" s="237">
        <f>FlexDuctTable[[#Totals],[Cost]]</f>
        <v>0</v>
      </c>
      <c r="K13" s="238" t="str">
        <f t="shared" si="1"/>
        <v/>
      </c>
      <c r="L13" s="240">
        <f>SUM(Summary!$H13:$J13)</f>
        <v>0</v>
      </c>
      <c r="T13" s="163" t="s">
        <v>110</v>
      </c>
      <c r="U13" s="163" t="s">
        <v>106</v>
      </c>
      <c r="W13" s="163" t="s">
        <v>107</v>
      </c>
      <c r="X13" s="163" t="s">
        <v>108</v>
      </c>
      <c r="Z13" s="163" t="s">
        <v>47</v>
      </c>
    </row>
    <row r="14" spans="2:26" x14ac:dyDescent="0.3">
      <c r="B14" s="26" t="s">
        <v>9</v>
      </c>
      <c r="C14" s="241">
        <f>GRD_Table[[#Totals],[Ftime]]</f>
        <v>0</v>
      </c>
      <c r="D14" s="242" t="str">
        <f t="shared" si="2"/>
        <v/>
      </c>
      <c r="E14" s="243">
        <f>GRD_Table[[#Totals],[Etime]]</f>
        <v>0</v>
      </c>
      <c r="F14" s="242" t="str">
        <f t="shared" si="2"/>
        <v/>
      </c>
      <c r="G14" s="244" t="str">
        <f t="shared" si="3"/>
        <v/>
      </c>
      <c r="H14" s="245">
        <f t="shared" si="0"/>
        <v>0</v>
      </c>
      <c r="I14" s="244" t="str">
        <f t="shared" si="3"/>
        <v/>
      </c>
      <c r="J14" s="243">
        <f>GRD_Table[[#Totals],[Cost]]</f>
        <v>0</v>
      </c>
      <c r="K14" s="244" t="str">
        <f t="shared" si="1"/>
        <v/>
      </c>
      <c r="L14" s="246">
        <f>SUM(Summary!$H14:$J14)</f>
        <v>0</v>
      </c>
      <c r="T14" s="164" t="s">
        <v>111</v>
      </c>
      <c r="U14" s="165">
        <v>69.36</v>
      </c>
      <c r="W14" s="165">
        <v>358.02</v>
      </c>
      <c r="X14" s="165">
        <v>697.9</v>
      </c>
      <c r="Z14" s="165">
        <v>1125.28</v>
      </c>
    </row>
    <row r="15" spans="2:26" x14ac:dyDescent="0.3">
      <c r="B15" s="26" t="s">
        <v>10</v>
      </c>
      <c r="C15" s="235">
        <f>DamperTable[[#Totals],[Ftime]]</f>
        <v>0</v>
      </c>
      <c r="D15" s="236" t="str">
        <f t="shared" si="2"/>
        <v/>
      </c>
      <c r="E15" s="237">
        <f>DamperTable[[#Totals],[Etime]]</f>
        <v>0</v>
      </c>
      <c r="F15" s="236" t="str">
        <f t="shared" si="2"/>
        <v/>
      </c>
      <c r="G15" s="238" t="str">
        <f t="shared" si="3"/>
        <v/>
      </c>
      <c r="H15" s="239">
        <f t="shared" si="0"/>
        <v>0</v>
      </c>
      <c r="I15" s="238" t="str">
        <f t="shared" si="3"/>
        <v/>
      </c>
      <c r="J15" s="237">
        <f>DamperTable[[#Totals],[Cost]]</f>
        <v>0</v>
      </c>
      <c r="K15" s="238" t="str">
        <f t="shared" si="1"/>
        <v/>
      </c>
      <c r="L15" s="240">
        <f>SUM(Summary!$H15:$J15)</f>
        <v>0</v>
      </c>
      <c r="N15" s="172"/>
      <c r="O15" s="202" t="s">
        <v>91</v>
      </c>
      <c r="P15" s="202" t="s">
        <v>129</v>
      </c>
      <c r="Q15" s="208" t="s">
        <v>130</v>
      </c>
      <c r="R15" s="202" t="s">
        <v>132</v>
      </c>
      <c r="T15" s="164" t="s">
        <v>112</v>
      </c>
      <c r="U15" s="165">
        <v>256.89999999999998</v>
      </c>
      <c r="W15" s="165">
        <v>1803.84</v>
      </c>
      <c r="X15" s="165">
        <v>3314.22</v>
      </c>
      <c r="Z15" s="165">
        <v>5374.96</v>
      </c>
    </row>
    <row r="16" spans="2:26" x14ac:dyDescent="0.3">
      <c r="B16" s="26" t="s">
        <v>120</v>
      </c>
      <c r="C16" s="241">
        <f>SleevesTable[[#Totals],[Ftime]]</f>
        <v>0</v>
      </c>
      <c r="D16" s="242" t="str">
        <f t="shared" si="2"/>
        <v/>
      </c>
      <c r="E16" s="243">
        <f>SleevesTable[[#Totals],[Etime]]</f>
        <v>0</v>
      </c>
      <c r="F16" s="242" t="str">
        <f t="shared" si="2"/>
        <v/>
      </c>
      <c r="G16" s="244" t="str">
        <f t="shared" si="3"/>
        <v/>
      </c>
      <c r="H16" s="245">
        <f t="shared" si="0"/>
        <v>0</v>
      </c>
      <c r="I16" s="244" t="str">
        <f t="shared" si="3"/>
        <v/>
      </c>
      <c r="J16" s="243">
        <f>SleevesTable[[#Totals],[Cost]]</f>
        <v>0</v>
      </c>
      <c r="K16" s="244" t="str">
        <f t="shared" si="1"/>
        <v/>
      </c>
      <c r="L16" s="246">
        <f>SUM(Summary!$H16:$J16)</f>
        <v>0</v>
      </c>
      <c r="N16" s="196" t="s">
        <v>101</v>
      </c>
      <c r="O16" s="201">
        <f>SUM(U14:U24)</f>
        <v>47082.18</v>
      </c>
      <c r="P16" s="201">
        <f>SUM(W14:W24)+SUM(X14:X24)</f>
        <v>1235722.3899999999</v>
      </c>
      <c r="Q16" s="210">
        <f>SUM(Q9:R9)</f>
        <v>11778.166666666668</v>
      </c>
      <c r="R16" s="197">
        <f>SUM(Z14:Z24)</f>
        <v>1282804.56</v>
      </c>
      <c r="T16" s="164" t="s">
        <v>113</v>
      </c>
      <c r="U16" s="165">
        <v>32.229999999999997</v>
      </c>
      <c r="W16" s="165">
        <v>129.96</v>
      </c>
      <c r="X16" s="165">
        <v>148.05000000000001</v>
      </c>
      <c r="Z16" s="165">
        <v>310.23</v>
      </c>
    </row>
    <row r="17" spans="2:26" x14ac:dyDescent="0.3">
      <c r="B17" s="26" t="s">
        <v>62</v>
      </c>
      <c r="C17" s="235">
        <f>SleevesTable19[[#Totals],[Ftime]]</f>
        <v>0</v>
      </c>
      <c r="D17" s="236" t="str">
        <f t="shared" si="2"/>
        <v/>
      </c>
      <c r="E17" s="237">
        <f>SleevesTable19[[#Totals],[Etime]]</f>
        <v>0</v>
      </c>
      <c r="F17" s="236" t="str">
        <f t="shared" si="2"/>
        <v/>
      </c>
      <c r="G17" s="238" t="str">
        <f t="shared" si="3"/>
        <v/>
      </c>
      <c r="H17" s="239">
        <f t="shared" si="0"/>
        <v>0</v>
      </c>
      <c r="I17" s="238" t="str">
        <f t="shared" si="3"/>
        <v/>
      </c>
      <c r="J17" s="237">
        <f>SleevesTable19[[#Totals],[Cost]]</f>
        <v>0</v>
      </c>
      <c r="K17" s="238" t="str">
        <f t="shared" si="1"/>
        <v/>
      </c>
      <c r="L17" s="240">
        <f>SUM(Summary!$H17:$J17)</f>
        <v>0</v>
      </c>
      <c r="N17" s="196" t="s">
        <v>131</v>
      </c>
      <c r="O17" s="199">
        <f>J19</f>
        <v>0</v>
      </c>
      <c r="P17" s="199">
        <f>H19</f>
        <v>0</v>
      </c>
      <c r="Q17" s="210">
        <f>Labor_TotalShop+Labor_TotalField</f>
        <v>0</v>
      </c>
      <c r="R17" s="198">
        <f>L19</f>
        <v>0</v>
      </c>
      <c r="T17" s="164" t="s">
        <v>30</v>
      </c>
      <c r="U17" s="165">
        <v>127.99</v>
      </c>
      <c r="W17" s="165">
        <v>1235.67</v>
      </c>
      <c r="X17" s="165">
        <v>3847.24</v>
      </c>
      <c r="Z17" s="165">
        <v>5210.8999999999996</v>
      </c>
    </row>
    <row r="18" spans="2:26" x14ac:dyDescent="0.3">
      <c r="B18" s="26"/>
      <c r="C18" s="229"/>
      <c r="D18" s="230" t="str">
        <f t="shared" si="2"/>
        <v/>
      </c>
      <c r="E18" s="231"/>
      <c r="F18" s="230" t="str">
        <f t="shared" si="2"/>
        <v/>
      </c>
      <c r="G18" s="232" t="str">
        <f t="shared" si="3"/>
        <v/>
      </c>
      <c r="H18" s="233">
        <f t="shared" si="0"/>
        <v>0</v>
      </c>
      <c r="I18" s="232" t="str">
        <f t="shared" si="3"/>
        <v/>
      </c>
      <c r="J18" s="231"/>
      <c r="K18" s="232" t="str">
        <f t="shared" si="1"/>
        <v/>
      </c>
      <c r="L18" s="234">
        <f>SUM(Summary!$H18:$J18)</f>
        <v>0</v>
      </c>
      <c r="N18" s="196" t="s">
        <v>128</v>
      </c>
      <c r="O18" s="200">
        <f>O17-O16</f>
        <v>-47082.18</v>
      </c>
      <c r="P18" s="200">
        <f>P17-P16</f>
        <v>-1235722.3899999999</v>
      </c>
      <c r="Q18" s="209">
        <f>Q17-Q16</f>
        <v>-11778.166666666668</v>
      </c>
      <c r="R18" s="211">
        <f>R17-R16</f>
        <v>-1282804.56</v>
      </c>
      <c r="T18" s="164" t="s">
        <v>114</v>
      </c>
      <c r="U18" s="165">
        <v>9.9</v>
      </c>
      <c r="W18" s="165">
        <v>173.06</v>
      </c>
      <c r="X18" s="165">
        <v>222.56</v>
      </c>
      <c r="Z18" s="165">
        <v>405.52</v>
      </c>
    </row>
    <row r="19" spans="2:26" x14ac:dyDescent="0.3">
      <c r="B19" s="27" t="s">
        <v>11</v>
      </c>
      <c r="C19" s="65">
        <f>SUBTOTAL(109,C8:C18)</f>
        <v>0</v>
      </c>
      <c r="D19" s="60" t="str">
        <f>IF(C19=0,"","hrs")</f>
        <v/>
      </c>
      <c r="E19" s="67">
        <f>SUBTOTAL(109,E8:E18)</f>
        <v>0</v>
      </c>
      <c r="F19" s="60" t="str">
        <f>IF(E19=0,"","hrs")</f>
        <v/>
      </c>
      <c r="G19" s="63" t="str">
        <f>IF(H19=0,"","$")</f>
        <v/>
      </c>
      <c r="H19" s="67">
        <f>SUM(H8:H18)</f>
        <v>0</v>
      </c>
      <c r="I19" s="63" t="str">
        <f>IF(J19=0,"","$")</f>
        <v/>
      </c>
      <c r="J19" s="67">
        <f>SUM(J8:J18)</f>
        <v>0</v>
      </c>
      <c r="K19" s="83" t="str">
        <f t="shared" si="1"/>
        <v/>
      </c>
      <c r="L19" s="91">
        <f>SUM(L8:L18)</f>
        <v>0</v>
      </c>
      <c r="T19" s="164" t="s">
        <v>115</v>
      </c>
      <c r="U19" s="165">
        <v>4.8</v>
      </c>
      <c r="W19" s="165">
        <v>0</v>
      </c>
      <c r="X19" s="165">
        <v>2370.14</v>
      </c>
      <c r="Z19" s="165">
        <v>2374.9499999999998</v>
      </c>
    </row>
    <row r="20" spans="2:26" x14ac:dyDescent="0.3">
      <c r="I20" s="86" t="s">
        <v>82</v>
      </c>
      <c r="J20" s="186">
        <f>SalesTaxRate</f>
        <v>7.4999999999999997E-2</v>
      </c>
      <c r="K20" s="84" t="str">
        <f t="shared" si="1"/>
        <v/>
      </c>
      <c r="L20" s="92">
        <f>L19*J20</f>
        <v>0</v>
      </c>
      <c r="T20" s="164" t="s">
        <v>4</v>
      </c>
      <c r="U20" s="165">
        <v>2</v>
      </c>
      <c r="W20" s="165">
        <v>0</v>
      </c>
      <c r="X20" s="165">
        <v>2835</v>
      </c>
      <c r="Z20" s="165">
        <v>2837</v>
      </c>
    </row>
    <row r="21" spans="2:26" x14ac:dyDescent="0.3">
      <c r="J21" s="86" t="s">
        <v>47</v>
      </c>
      <c r="K21" s="170" t="str">
        <f t="shared" si="1"/>
        <v/>
      </c>
      <c r="L21" s="171">
        <f>SUM(L19:L20)</f>
        <v>0</v>
      </c>
      <c r="T21" s="164" t="s">
        <v>116</v>
      </c>
      <c r="U21" s="165">
        <v>957.27</v>
      </c>
      <c r="W21" s="165">
        <v>0</v>
      </c>
      <c r="X21" s="165">
        <v>626099.65</v>
      </c>
      <c r="Z21" s="165">
        <v>627056.92000000004</v>
      </c>
    </row>
    <row r="22" spans="2:26" x14ac:dyDescent="0.3">
      <c r="T22" s="164" t="s">
        <v>117</v>
      </c>
      <c r="U22" s="165">
        <v>1.96</v>
      </c>
      <c r="W22" s="165">
        <v>0</v>
      </c>
      <c r="X22" s="165">
        <v>1951.26</v>
      </c>
      <c r="Z22" s="165">
        <v>1953.21</v>
      </c>
    </row>
    <row r="23" spans="2:26" ht="18" x14ac:dyDescent="0.35">
      <c r="B23" s="24" t="s">
        <v>34</v>
      </c>
      <c r="C23" s="80" t="s">
        <v>84</v>
      </c>
      <c r="D23" s="23"/>
      <c r="E23" s="23"/>
      <c r="F23" s="23"/>
      <c r="G23" s="23"/>
      <c r="H23" s="23"/>
      <c r="I23" s="23"/>
      <c r="J23" s="81"/>
      <c r="K23" s="23"/>
      <c r="L23" s="88" t="s">
        <v>0</v>
      </c>
      <c r="T23" s="164" t="s">
        <v>118</v>
      </c>
      <c r="U23" s="165">
        <v>1.56</v>
      </c>
      <c r="W23" s="165">
        <v>0</v>
      </c>
      <c r="X23" s="165">
        <v>829.71</v>
      </c>
      <c r="Z23" s="165">
        <v>831.27</v>
      </c>
    </row>
    <row r="24" spans="2:26" x14ac:dyDescent="0.3">
      <c r="B24" s="79"/>
      <c r="C24" s="254"/>
      <c r="D24" s="255"/>
      <c r="E24" s="255"/>
      <c r="F24" s="255"/>
      <c r="G24" s="255"/>
      <c r="H24" s="255"/>
      <c r="I24" s="255"/>
      <c r="J24" s="255"/>
      <c r="K24" s="61" t="str">
        <f t="shared" ref="K24:K33" si="4">IF(L24=0,"","$")</f>
        <v/>
      </c>
      <c r="L24" s="180"/>
      <c r="T24" s="164" t="s">
        <v>119</v>
      </c>
      <c r="U24" s="165">
        <v>45618.21</v>
      </c>
      <c r="W24" s="165">
        <v>58.27</v>
      </c>
      <c r="X24" s="165">
        <v>589647.84</v>
      </c>
      <c r="Z24" s="165">
        <v>635324.31999999995</v>
      </c>
    </row>
    <row r="25" spans="2:26" x14ac:dyDescent="0.3">
      <c r="B25" s="79"/>
      <c r="C25" s="252"/>
      <c r="D25" s="253"/>
      <c r="E25" s="253"/>
      <c r="F25" s="253"/>
      <c r="G25" s="253"/>
      <c r="H25" s="253"/>
      <c r="I25" s="253"/>
      <c r="J25" s="253"/>
      <c r="K25" s="62" t="str">
        <f t="shared" si="4"/>
        <v/>
      </c>
      <c r="L25" s="181"/>
      <c r="U25" s="51"/>
      <c r="V25" s="51"/>
      <c r="X25" s="51"/>
    </row>
    <row r="26" spans="2:26" x14ac:dyDescent="0.3">
      <c r="B26" s="79"/>
      <c r="C26" s="254"/>
      <c r="D26" s="255"/>
      <c r="E26" s="255"/>
      <c r="F26" s="255"/>
      <c r="G26" s="255"/>
      <c r="H26" s="255"/>
      <c r="I26" s="255"/>
      <c r="J26" s="255"/>
      <c r="K26" s="61" t="str">
        <f t="shared" si="4"/>
        <v/>
      </c>
      <c r="L26" s="180"/>
      <c r="N26" s="196"/>
    </row>
    <row r="27" spans="2:26" x14ac:dyDescent="0.3">
      <c r="B27" s="79"/>
      <c r="C27" s="252"/>
      <c r="D27" s="253"/>
      <c r="E27" s="253"/>
      <c r="F27" s="253"/>
      <c r="G27" s="253"/>
      <c r="H27" s="253"/>
      <c r="I27" s="253"/>
      <c r="J27" s="253"/>
      <c r="K27" s="62" t="str">
        <f t="shared" si="4"/>
        <v/>
      </c>
      <c r="L27" s="181"/>
      <c r="N27" s="196"/>
    </row>
    <row r="28" spans="2:26" x14ac:dyDescent="0.3">
      <c r="B28" s="79"/>
      <c r="C28" s="254"/>
      <c r="D28" s="255"/>
      <c r="E28" s="255"/>
      <c r="F28" s="255"/>
      <c r="G28" s="255"/>
      <c r="H28" s="255"/>
      <c r="I28" s="255"/>
      <c r="J28" s="255"/>
      <c r="K28" s="61" t="str">
        <f t="shared" si="4"/>
        <v/>
      </c>
      <c r="L28" s="180"/>
      <c r="N28" s="196"/>
      <c r="T28" s="172"/>
    </row>
    <row r="29" spans="2:26" x14ac:dyDescent="0.3">
      <c r="B29" s="79"/>
      <c r="C29" s="252"/>
      <c r="D29" s="253"/>
      <c r="E29" s="253"/>
      <c r="F29" s="253"/>
      <c r="G29" s="253"/>
      <c r="H29" s="253"/>
      <c r="I29" s="253"/>
      <c r="J29" s="253"/>
      <c r="K29" s="62" t="str">
        <f t="shared" si="4"/>
        <v/>
      </c>
      <c r="L29" s="181"/>
      <c r="Y29" s="203"/>
    </row>
    <row r="30" spans="2:26" x14ac:dyDescent="0.3">
      <c r="B30" s="27" t="s">
        <v>11</v>
      </c>
      <c r="C30" s="94"/>
      <c r="D30" s="95"/>
      <c r="E30" s="95"/>
      <c r="F30" s="95"/>
      <c r="G30" s="95"/>
      <c r="H30" s="96"/>
      <c r="I30" s="96"/>
      <c r="J30" s="96"/>
      <c r="K30" s="97" t="str">
        <f t="shared" si="4"/>
        <v/>
      </c>
      <c r="L30" s="91">
        <f>SUM(L24:L29)</f>
        <v>0</v>
      </c>
      <c r="Y30" s="203"/>
    </row>
    <row r="31" spans="2:26" x14ac:dyDescent="0.3">
      <c r="I31" s="86" t="s">
        <v>82</v>
      </c>
      <c r="J31" s="186">
        <f>SalesTaxRate</f>
        <v>7.4999999999999997E-2</v>
      </c>
      <c r="K31" s="84" t="str">
        <f t="shared" si="4"/>
        <v/>
      </c>
      <c r="L31" s="92">
        <f>L30*J31</f>
        <v>0</v>
      </c>
      <c r="N31" s="196"/>
    </row>
    <row r="32" spans="2:26" x14ac:dyDescent="0.3">
      <c r="I32" s="87" t="s">
        <v>83</v>
      </c>
      <c r="J32" s="223">
        <f>SubcontractMarkup</f>
        <v>0.1</v>
      </c>
      <c r="K32" s="98" t="str">
        <f t="shared" si="4"/>
        <v/>
      </c>
      <c r="L32" s="182">
        <f>L30*J32</f>
        <v>0</v>
      </c>
      <c r="N32" s="196"/>
    </row>
    <row r="33" spans="2:14" x14ac:dyDescent="0.3">
      <c r="I33" s="82"/>
      <c r="J33" s="82" t="s">
        <v>47</v>
      </c>
      <c r="K33" s="85" t="str">
        <f t="shared" si="4"/>
        <v/>
      </c>
      <c r="L33" s="93">
        <f>SUM(L30:L31)</f>
        <v>0</v>
      </c>
      <c r="N33" s="196"/>
    </row>
    <row r="34" spans="2:14" x14ac:dyDescent="0.3">
      <c r="J34" s="82"/>
    </row>
    <row r="35" spans="2:14" ht="18" x14ac:dyDescent="0.35">
      <c r="B35" s="24" t="s">
        <v>33</v>
      </c>
      <c r="C35" s="25"/>
      <c r="D35" s="23"/>
      <c r="E35" s="23"/>
      <c r="F35" s="23"/>
      <c r="G35" s="23"/>
      <c r="H35" s="23"/>
      <c r="I35" s="23"/>
      <c r="J35" s="23"/>
      <c r="K35" s="23"/>
      <c r="L35" s="88" t="s">
        <v>0</v>
      </c>
    </row>
    <row r="36" spans="2:14" x14ac:dyDescent="0.3">
      <c r="B36" s="26" t="s">
        <v>35</v>
      </c>
      <c r="C36" s="192"/>
      <c r="D36" s="193"/>
      <c r="E36" s="193"/>
      <c r="F36" s="193"/>
      <c r="G36" s="193"/>
      <c r="H36" s="193"/>
      <c r="I36" s="193"/>
      <c r="J36" s="193"/>
      <c r="K36" s="61" t="str">
        <f t="shared" ref="K36:K42" si="5">IF(L36=0,"","$")</f>
        <v/>
      </c>
      <c r="L36" s="89">
        <f>RentalsTable[[#Totals],[Cost]]</f>
        <v>0</v>
      </c>
    </row>
    <row r="37" spans="2:14" x14ac:dyDescent="0.3">
      <c r="B37" s="26" t="s">
        <v>36</v>
      </c>
      <c r="C37" s="190"/>
      <c r="D37" s="191"/>
      <c r="E37" s="191"/>
      <c r="F37" s="191"/>
      <c r="G37" s="191"/>
      <c r="H37" s="191"/>
      <c r="I37" s="191"/>
      <c r="J37" s="191"/>
      <c r="K37" s="62" t="str">
        <f t="shared" si="5"/>
        <v/>
      </c>
      <c r="L37" s="90">
        <f>ManagmentTable[[#Totals],[Cost]]</f>
        <v>0</v>
      </c>
    </row>
    <row r="38" spans="2:14" x14ac:dyDescent="0.3">
      <c r="B38" s="26" t="s">
        <v>77</v>
      </c>
      <c r="C38" s="192"/>
      <c r="D38" s="193"/>
      <c r="E38" s="193"/>
      <c r="F38" s="193"/>
      <c r="G38" s="193"/>
      <c r="H38" s="193"/>
      <c r="I38" s="193"/>
      <c r="J38" s="193"/>
      <c r="K38" s="61" t="str">
        <f t="shared" si="5"/>
        <v/>
      </c>
      <c r="L38" s="89">
        <f>FieldSupportTable[[#Totals],[Cost]]</f>
        <v>0</v>
      </c>
    </row>
    <row r="39" spans="2:14" x14ac:dyDescent="0.3">
      <c r="B39" s="26" t="s">
        <v>37</v>
      </c>
      <c r="C39" s="190"/>
      <c r="D39" s="191"/>
      <c r="E39" s="191"/>
      <c r="F39" s="191"/>
      <c r="G39" s="191"/>
      <c r="H39" s="191"/>
      <c r="I39" s="191"/>
      <c r="J39" s="191"/>
      <c r="K39" s="62" t="str">
        <f t="shared" si="5"/>
        <v/>
      </c>
      <c r="L39" s="90">
        <f>MiscTable[[#Totals],[Cost]]</f>
        <v>0</v>
      </c>
    </row>
    <row r="40" spans="2:14" x14ac:dyDescent="0.3">
      <c r="B40" s="26"/>
      <c r="C40" s="192"/>
      <c r="D40" s="193"/>
      <c r="E40" s="193"/>
      <c r="F40" s="193"/>
      <c r="G40" s="193"/>
      <c r="H40" s="193"/>
      <c r="I40" s="193"/>
      <c r="J40" s="193"/>
      <c r="K40" s="61" t="str">
        <f t="shared" si="5"/>
        <v/>
      </c>
      <c r="L40" s="89">
        <f>MiscTable[[#Totals],[Cost]]</f>
        <v>0</v>
      </c>
    </row>
    <row r="41" spans="2:14" x14ac:dyDescent="0.3">
      <c r="B41" s="26"/>
      <c r="C41" s="190"/>
      <c r="D41" s="191"/>
      <c r="E41" s="191"/>
      <c r="F41" s="191"/>
      <c r="G41" s="191"/>
      <c r="H41" s="191"/>
      <c r="I41" s="191"/>
      <c r="J41" s="191"/>
      <c r="K41" s="62" t="str">
        <f t="shared" si="5"/>
        <v/>
      </c>
      <c r="L41" s="90">
        <f>SUM(Summary!$H41:$J41)</f>
        <v>0</v>
      </c>
    </row>
    <row r="42" spans="2:14" x14ac:dyDescent="0.3">
      <c r="B42" s="27" t="s">
        <v>11</v>
      </c>
      <c r="C42" s="43"/>
      <c r="D42" s="73"/>
      <c r="E42" s="73"/>
      <c r="F42" s="73"/>
      <c r="G42" s="73"/>
      <c r="H42" s="74"/>
      <c r="I42" s="74"/>
      <c r="J42" s="74"/>
      <c r="K42" s="63" t="str">
        <f t="shared" si="5"/>
        <v/>
      </c>
      <c r="L42" s="179">
        <f>SUM(L36:L41)</f>
        <v>0</v>
      </c>
    </row>
    <row r="44" spans="2:14" x14ac:dyDescent="0.3">
      <c r="J44" s="155" t="s">
        <v>95</v>
      </c>
      <c r="K44" s="224">
        <f>ProfitMargin</f>
        <v>0.1</v>
      </c>
      <c r="L44" s="188">
        <f>(L21+L33+L42)*K44</f>
        <v>0</v>
      </c>
    </row>
    <row r="45" spans="2:14" x14ac:dyDescent="0.3">
      <c r="J45" s="155"/>
      <c r="K45" s="176"/>
      <c r="L45" s="187"/>
    </row>
    <row r="46" spans="2:14" x14ac:dyDescent="0.3">
      <c r="B46" s="77" t="s">
        <v>81</v>
      </c>
      <c r="C46" s="78"/>
      <c r="D46" s="75"/>
      <c r="E46" s="75"/>
      <c r="F46" s="75"/>
      <c r="G46" s="75"/>
      <c r="H46" s="75"/>
      <c r="I46" s="75"/>
      <c r="J46" s="75"/>
      <c r="K46" s="76" t="str">
        <f>IF(L46=0,"","$")</f>
        <v/>
      </c>
      <c r="L46" s="189">
        <f>L21+L33+L42+L44</f>
        <v>0</v>
      </c>
    </row>
  </sheetData>
  <sheetProtection sheet="1" objects="1" scenarios="1" selectLockedCells="1"/>
  <mergeCells count="6">
    <mergeCell ref="C29:J29"/>
    <mergeCell ref="C24:J24"/>
    <mergeCell ref="C25:J25"/>
    <mergeCell ref="C26:J26"/>
    <mergeCell ref="C27:J27"/>
    <mergeCell ref="C28:J28"/>
  </mergeCells>
  <dataValidations count="1">
    <dataValidation type="list" allowBlank="1" showInputMessage="1" showErrorMessage="1" sqref="B24:B29">
      <formula1>Subcontracts</formula1>
    </dataValidation>
  </dataValidations>
  <pageMargins left="0.7" right="0.7" top="0.75" bottom="0.75" header="0.3" footer="0.3"/>
  <pageSetup scale="80" orientation="portrait" r:id="rId1"/>
  <ignoredErrors>
    <ignoredError sqref="D19 I19 K19 E17:E19 H19 J19 H8:H9 E8:E9 J17:J18 D10 D15 H10:H15 J8:J9 E10:E16 H16:H17 J10:J16 H18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77"/>
  <sheetViews>
    <sheetView showGridLines="0" workbookViewId="0">
      <selection activeCell="X18" sqref="X18"/>
    </sheetView>
  </sheetViews>
  <sheetFormatPr defaultRowHeight="14.4" x14ac:dyDescent="0.3"/>
  <cols>
    <col min="2" max="2" width="25.6640625" customWidth="1"/>
    <col min="3" max="3" width="18.88671875" hidden="1" customWidth="1"/>
    <col min="4" max="4" width="18.5546875" hidden="1" customWidth="1"/>
    <col min="5" max="6" width="14.6640625" hidden="1" customWidth="1"/>
    <col min="7" max="7" width="11.6640625" style="15" customWidth="1"/>
    <col min="8" max="8" width="3.88671875" style="40" customWidth="1"/>
    <col min="9" max="9" width="10" style="34" customWidth="1"/>
    <col min="10" max="10" width="8" style="20" customWidth="1"/>
    <col min="11" max="12" width="7.44140625" customWidth="1"/>
    <col min="13" max="13" width="9.6640625" customWidth="1"/>
    <col min="14" max="14" width="5.88671875" customWidth="1"/>
    <col min="15" max="15" width="9.6640625" customWidth="1"/>
    <col min="16" max="16" width="4.109375" customWidth="1"/>
    <col min="17" max="17" width="5.6640625" customWidth="1"/>
    <col min="18" max="18" width="9.6640625" customWidth="1"/>
    <col min="19" max="19" width="5.6640625" customWidth="1"/>
    <col min="20" max="20" width="9.6640625" customWidth="1"/>
    <col min="21" max="21" width="11.109375" customWidth="1"/>
    <col min="22" max="22" width="5.6640625" style="15" customWidth="1"/>
    <col min="23" max="23" width="10.6640625" style="40" customWidth="1"/>
    <col min="24" max="24" width="6.6640625" style="34" customWidth="1"/>
    <col min="25" max="25" width="8.6640625" customWidth="1"/>
    <col min="26" max="26" width="10.33203125" customWidth="1"/>
    <col min="27" max="27" width="10.44140625" customWidth="1"/>
    <col min="28" max="28" width="5.6640625" style="30" customWidth="1"/>
    <col min="30" max="30" width="6.109375" customWidth="1"/>
  </cols>
  <sheetData>
    <row r="1" spans="1:30" ht="6" customHeight="1" x14ac:dyDescent="0.3">
      <c r="A1" s="32"/>
      <c r="X1"/>
    </row>
    <row r="2" spans="1:30" ht="39" customHeight="1" thickBot="1" x14ac:dyDescent="0.45">
      <c r="B2" s="2" t="s">
        <v>99</v>
      </c>
      <c r="C2" s="2"/>
      <c r="D2" s="2"/>
      <c r="E2" s="2"/>
      <c r="F2" s="2"/>
      <c r="G2" s="29"/>
      <c r="H2" s="41"/>
      <c r="I2" s="35"/>
      <c r="J2" s="55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AB2"/>
    </row>
    <row r="3" spans="1:30" ht="9" customHeight="1" thickTop="1" x14ac:dyDescent="0.3">
      <c r="W3"/>
      <c r="X3"/>
    </row>
    <row r="4" spans="1:30" x14ac:dyDescent="0.3">
      <c r="B4" s="3" t="str">
        <f>IF(ProjectName="","",ProjectName)</f>
        <v/>
      </c>
      <c r="V4" s="134"/>
      <c r="W4" s="33" t="s">
        <v>15</v>
      </c>
      <c r="X4" s="134" t="str">
        <f>IF(EstimatorName="","",EstimatorName)</f>
        <v/>
      </c>
    </row>
    <row r="5" spans="1:30" ht="15" customHeight="1" x14ac:dyDescent="0.3">
      <c r="B5" s="9" t="str">
        <f>IF(ProjectAddress="","",ProjectAddress)</f>
        <v/>
      </c>
      <c r="V5" s="134"/>
      <c r="W5" s="33" t="s">
        <v>16</v>
      </c>
      <c r="X5" s="134" t="str">
        <f>IF(EstimateNo="","",EstimateNo)</f>
        <v/>
      </c>
    </row>
    <row r="6" spans="1:30" ht="7.2" customHeight="1" x14ac:dyDescent="0.3">
      <c r="AC6" s="30"/>
    </row>
    <row r="7" spans="1:30" ht="23.4" x14ac:dyDescent="0.45">
      <c r="B7" s="6" t="s">
        <v>31</v>
      </c>
    </row>
    <row r="8" spans="1:30" ht="18" x14ac:dyDescent="0.35">
      <c r="B8" s="12">
        <f>Lists!A2</f>
        <v>0</v>
      </c>
      <c r="C8" s="13" t="s">
        <v>102</v>
      </c>
      <c r="D8" s="13" t="s">
        <v>103</v>
      </c>
      <c r="E8" s="13" t="s">
        <v>17</v>
      </c>
      <c r="F8" s="13" t="s">
        <v>104</v>
      </c>
      <c r="G8" s="105" t="s">
        <v>86</v>
      </c>
      <c r="H8" s="106"/>
      <c r="I8" s="107" t="s">
        <v>87</v>
      </c>
      <c r="J8" s="108" t="s">
        <v>88</v>
      </c>
      <c r="K8" s="109"/>
      <c r="L8" s="23" t="s">
        <v>89</v>
      </c>
      <c r="M8" s="57" t="s">
        <v>53</v>
      </c>
      <c r="N8" s="59"/>
      <c r="O8" s="57" t="s">
        <v>54</v>
      </c>
      <c r="P8" s="59"/>
      <c r="Q8" s="101"/>
      <c r="R8" s="104" t="s">
        <v>12</v>
      </c>
      <c r="S8" s="101"/>
      <c r="T8" s="104" t="s">
        <v>13</v>
      </c>
      <c r="U8" s="104" t="s">
        <v>85</v>
      </c>
      <c r="V8"/>
      <c r="W8" s="129" t="s">
        <v>92</v>
      </c>
      <c r="X8" s="130"/>
      <c r="AA8" s="30"/>
      <c r="AB8"/>
    </row>
    <row r="9" spans="1:30" ht="15.6" x14ac:dyDescent="0.3">
      <c r="B9" t="s">
        <v>26</v>
      </c>
      <c r="C9" t="s">
        <v>21</v>
      </c>
      <c r="D9" t="s">
        <v>24</v>
      </c>
      <c r="E9" t="s">
        <v>20</v>
      </c>
      <c r="F9" t="s">
        <v>23</v>
      </c>
      <c r="G9" s="56">
        <f>SUMIFS(SM_Weight,SM_Material,B$8,SM_ServiceType,C9,SM_CutType,D9,SM_BoughtOut,E9,SM_FittingType,F9)</f>
        <v>0</v>
      </c>
      <c r="H9" s="54" t="str">
        <f t="shared" ref="H9:H14" si="0">IF(G9=0,"","lbs")</f>
        <v/>
      </c>
      <c r="I9" s="42">
        <f>SUMIFS(SM_Length,SM_Material,B$8,SM_ServiceType,C9,SM_CutType,D9,SM_BoughtOut,E9,SM_FittingType,F9)</f>
        <v>0</v>
      </c>
      <c r="J9" s="56">
        <f>SUMIFS(SM_Area,SM_Material,B$8,SM_ServiceType,C9,SM_CutType,D9,SM_BoughtOut,E9,SM_FittingType,F9)</f>
        <v>0</v>
      </c>
      <c r="K9" s="54" t="str">
        <f t="shared" ref="K9:K14" si="1">IF(J9=0,"","ft²")</f>
        <v/>
      </c>
      <c r="L9" s="7">
        <f>SUMIFS(SM_Qty,SM_Material,B$8,SM_ServiceType,C9,SM_CutType,D9,SM_BoughtOut,E9,SM_FittingType,F9)</f>
        <v>0</v>
      </c>
      <c r="M9" s="148">
        <f>SUMIFS(SM_Ftime,SM_Material,B$8,SM_ServiceType,C9,SM_CutType,D9,SM_BoughtOut,E9,SM_FittingType,F9)*24</f>
        <v>0</v>
      </c>
      <c r="N9" s="103" t="str">
        <f t="shared" ref="N9:N14" si="2">IF(M9=0,"","hrs")</f>
        <v/>
      </c>
      <c r="O9" s="148">
        <f>SUMIFS(SM_Etime,SM_Material,B$8,SM_ServiceType,C9,SM_CutType,D9,SM_BoughtOut,E9,SM_FittingType,F9)*24</f>
        <v>0</v>
      </c>
      <c r="P9" s="103" t="str">
        <f t="shared" ref="P9:P14" si="3">IF(O9=0,"","hrs")</f>
        <v/>
      </c>
      <c r="Q9" s="102" t="str">
        <f t="shared" ref="Q9:S14" si="4">IF(R9=0,"","$")</f>
        <v/>
      </c>
      <c r="R9" s="99">
        <f>(Fabricated1[[#This Row],[Column5]]*SM_ShopLaborRate)+(Fabricated1[[#This Row],[Column7]]*SM_FieldLaborRate)</f>
        <v>0</v>
      </c>
      <c r="S9" s="102" t="str">
        <f t="shared" si="4"/>
        <v/>
      </c>
      <c r="T9" s="99">
        <f>SUMIFS(SM_MaterialCost,SM_Material,B$8,SM_ServiceType,C9,SM_CutType,D9,SM_BoughtOut,E9,SM_FittingType,F9)</f>
        <v>0</v>
      </c>
      <c r="U9" s="28" t="str">
        <f>IF(L9=0,"",L9/$L$14)</f>
        <v/>
      </c>
      <c r="V9"/>
      <c r="W9" s="131" t="s">
        <v>39</v>
      </c>
      <c r="X9" s="220">
        <v>1</v>
      </c>
      <c r="Y9" s="30"/>
      <c r="AB9" s="8"/>
      <c r="AC9" s="31"/>
      <c r="AD9" s="30"/>
    </row>
    <row r="10" spans="1:30" ht="15.6" x14ac:dyDescent="0.3">
      <c r="B10" t="s">
        <v>27</v>
      </c>
      <c r="C10" t="s">
        <v>21</v>
      </c>
      <c r="D10" t="s">
        <v>22</v>
      </c>
      <c r="E10" t="s">
        <v>20</v>
      </c>
      <c r="F10" t="s">
        <v>23</v>
      </c>
      <c r="G10" s="56">
        <f>SUMIFS(SM_Weight,SM_Material,B$8,SM_ServiceType,C10,SM_CutType,D10,SM_BoughtOut,E10,SM_FittingType,F10)</f>
        <v>0</v>
      </c>
      <c r="H10" s="54" t="str">
        <f t="shared" si="0"/>
        <v/>
      </c>
      <c r="I10" s="42">
        <f>SUMIFS(SM_Length,SM_Material,B$8,SM_ServiceType,C10,SM_CutType,D10,SM_BoughtOut,E10,SM_FittingType,F10)</f>
        <v>0</v>
      </c>
      <c r="J10" s="56">
        <f>SUMIFS(SM_Area,SM_Material,B$8,SM_ServiceType,C10,SM_CutType,D10,SM_BoughtOut,E10,SM_FittingType,F10)</f>
        <v>0</v>
      </c>
      <c r="K10" s="54" t="str">
        <f t="shared" si="1"/>
        <v/>
      </c>
      <c r="L10" s="7">
        <f>SUMIFS(SM_Qty,SM_Material,B$8,SM_ServiceType,C10,SM_CutType,D10,SM_BoughtOut,E10,SM_FittingType,F10)</f>
        <v>0</v>
      </c>
      <c r="M10" s="99">
        <f>SUMIFS(SM_Ftime,SM_Material,B$8,SM_ServiceType,C10,SM_CutType,D10,SM_BoughtOut,E10,SM_FittingType,F10)*24</f>
        <v>0</v>
      </c>
      <c r="N10" s="103" t="str">
        <f t="shared" si="2"/>
        <v/>
      </c>
      <c r="O10" s="99">
        <f>SUMIFS(SM_Etime,SM_Material,B$8,SM_ServiceType,C10,SM_CutType,D10,SM_BoughtOut,E10,SM_FittingType,F10)*24</f>
        <v>0</v>
      </c>
      <c r="P10" s="103" t="str">
        <f t="shared" si="3"/>
        <v/>
      </c>
      <c r="Q10" s="102" t="str">
        <f t="shared" si="4"/>
        <v/>
      </c>
      <c r="R10" s="99">
        <f>(Fabricated1[[#This Row],[Column5]]*SM_ShopLaborRate)+(Fabricated1[[#This Row],[Column7]]*SM_FieldLaborRate)</f>
        <v>0</v>
      </c>
      <c r="S10" s="102" t="str">
        <f t="shared" si="4"/>
        <v/>
      </c>
      <c r="T10" s="99">
        <f>SUMIFS(SM_MaterialCost,SM_Material,B$8,SM_ServiceType,C10,SM_CutType,D10,SM_BoughtOut,E10,SM_FittingType,F10)</f>
        <v>0</v>
      </c>
      <c r="U10" s="28" t="str">
        <f>IF(L10=0,"",L10/$L$14)</f>
        <v/>
      </c>
      <c r="V10"/>
      <c r="W10" s="132" t="s">
        <v>40</v>
      </c>
      <c r="X10" s="221">
        <v>1</v>
      </c>
      <c r="Y10" s="30"/>
      <c r="AB10" s="8"/>
      <c r="AC10" s="31"/>
      <c r="AD10" s="30"/>
    </row>
    <row r="11" spans="1:30" ht="15.6" x14ac:dyDescent="0.3">
      <c r="B11" t="s">
        <v>28</v>
      </c>
      <c r="C11" t="s">
        <v>21</v>
      </c>
      <c r="D11" t="s">
        <v>22</v>
      </c>
      <c r="E11" t="s">
        <v>20</v>
      </c>
      <c r="F11" t="s">
        <v>18</v>
      </c>
      <c r="G11" s="56">
        <f>SUMIFS(SM_Weight,SM_Material,B$8,SM_ServiceType,C11,SM_CutType,D11,SM_BoughtOut,E11,SM_FittingType,F11)</f>
        <v>0</v>
      </c>
      <c r="H11" s="54" t="str">
        <f t="shared" si="0"/>
        <v/>
      </c>
      <c r="I11" s="42">
        <f>SUMIFS(SM_Length,SM_Material,B$8,SM_ServiceType,C11,SM_CutType,D11,SM_BoughtOut,E11,SM_FittingType,F11)</f>
        <v>0</v>
      </c>
      <c r="J11" s="56">
        <f>SUMIFS(SM_Area,SM_Material,B$8,SM_ServiceType,C11,SM_CutType,D11,SM_BoughtOut,E11,SM_FittingType,F11)</f>
        <v>0</v>
      </c>
      <c r="K11" s="54" t="str">
        <f t="shared" si="1"/>
        <v/>
      </c>
      <c r="L11" s="7">
        <f>SUMIFS(SM_Qty,SM_Material,B$8,SM_ServiceType,C11,SM_CutType,D11,SM_BoughtOut,E11,SM_FittingType,F11)</f>
        <v>0</v>
      </c>
      <c r="M11" s="99">
        <f>SUMIFS(SM_Ftime,SM_Material,B$8,SM_ServiceType,C11,SM_CutType,D11,SM_BoughtOut,E11,SM_FittingType,F11)*24</f>
        <v>0</v>
      </c>
      <c r="N11" s="103" t="str">
        <f t="shared" si="2"/>
        <v/>
      </c>
      <c r="O11" s="99">
        <f>SUMIFS(SM_Etime,SM_Material,B$8,SM_ServiceType,C11,SM_CutType,D11,SM_BoughtOut,E11,SM_FittingType,F11)*24</f>
        <v>0</v>
      </c>
      <c r="P11" s="103" t="str">
        <f t="shared" si="3"/>
        <v/>
      </c>
      <c r="Q11" s="102" t="str">
        <f t="shared" si="4"/>
        <v/>
      </c>
      <c r="R11" s="99">
        <f>(Fabricated1[[#This Row],[Column5]]*SM_ShopLaborRate)+(Fabricated1[[#This Row],[Column7]]*SM_FieldLaborRate)</f>
        <v>0</v>
      </c>
      <c r="S11" s="102" t="str">
        <f t="shared" si="4"/>
        <v/>
      </c>
      <c r="T11" s="99">
        <f>SUMIFS(SM_MaterialCost,SM_Material,B$8,SM_ServiceType,C11,SM_CutType,D11,SM_BoughtOut,E11,SM_FittingType,F11)</f>
        <v>0</v>
      </c>
      <c r="U11" s="28" t="str">
        <f>IF(L11=0,"",L11/$L$14)</f>
        <v/>
      </c>
      <c r="V11"/>
      <c r="W11" s="133" t="s">
        <v>91</v>
      </c>
      <c r="X11" s="222">
        <v>1</v>
      </c>
      <c r="Y11" s="30"/>
      <c r="AB11" s="8"/>
      <c r="AC11" s="31"/>
      <c r="AD11" s="30"/>
    </row>
    <row r="12" spans="1:30" ht="15.6" x14ac:dyDescent="0.3">
      <c r="B12" t="s">
        <v>29</v>
      </c>
      <c r="C12" t="s">
        <v>25</v>
      </c>
      <c r="D12" t="s">
        <v>32</v>
      </c>
      <c r="E12" t="s">
        <v>20</v>
      </c>
      <c r="F12" t="s">
        <v>23</v>
      </c>
      <c r="G12" s="56">
        <f>SUMIFS(SM_Weight,SM_Material,B$8,SM_ServiceType,C12,SM_CutType,D12,SM_BoughtOut,E12,SM_FittingType,F12)</f>
        <v>0</v>
      </c>
      <c r="H12" s="54" t="str">
        <f t="shared" si="0"/>
        <v/>
      </c>
      <c r="I12" s="42">
        <f>SUMIFS(SM_Length,SM_Material,B$8,SM_ServiceType,C12,SM_CutType,D12,SM_BoughtOut,E12,SM_FittingType,F12)</f>
        <v>0</v>
      </c>
      <c r="J12" s="56">
        <f>SUMIFS(SM_Area,SM_Material,B$8,SM_ServiceType,C12,SM_CutType,D12,SM_BoughtOut,E12,SM_FittingType,F12)</f>
        <v>0</v>
      </c>
      <c r="K12" s="54" t="str">
        <f t="shared" si="1"/>
        <v/>
      </c>
      <c r="L12" s="7">
        <f>SUMIFS(SM_Qty,SM_Material,B$8,SM_ServiceType,C12,SM_CutType,D12,SM_BoughtOut,E12,SM_FittingType,F12)</f>
        <v>0</v>
      </c>
      <c r="M12" s="99">
        <f>SUMIFS(SM_Ftime,SM_Material,B$8,SM_ServiceType,C12,SM_CutType,D12,SM_BoughtOut,E12,SM_FittingType,F12)*24</f>
        <v>0</v>
      </c>
      <c r="N12" s="103" t="str">
        <f t="shared" si="2"/>
        <v/>
      </c>
      <c r="O12" s="99">
        <f>SUMIFS(SM_Etime,SM_Material,B$8,SM_ServiceType,C12,SM_CutType,D12,SM_BoughtOut,E12,SM_FittingType,F12)*24</f>
        <v>0</v>
      </c>
      <c r="P12" s="103" t="str">
        <f t="shared" si="3"/>
        <v/>
      </c>
      <c r="Q12" s="102" t="str">
        <f t="shared" si="4"/>
        <v/>
      </c>
      <c r="R12" s="99">
        <f>(Fabricated1[[#This Row],[Column5]]*SM_ShopLaborRate)+(Fabricated1[[#This Row],[Column7]]*SM_FieldLaborRate)</f>
        <v>0</v>
      </c>
      <c r="S12" s="102" t="str">
        <f t="shared" si="4"/>
        <v/>
      </c>
      <c r="T12" s="99">
        <f>SUMIFS(SM_MaterialCost,SM_Material,B$8,SM_ServiceType,C12,SM_CutType,D12,SM_BoughtOut,E12,SM_FittingType,F12)</f>
        <v>0</v>
      </c>
      <c r="U12" s="28" t="str">
        <f>IF(L12=0,"",L12/$L$14)</f>
        <v/>
      </c>
      <c r="V12"/>
      <c r="W12"/>
      <c r="X12"/>
      <c r="Y12" s="30"/>
      <c r="AB12" s="8"/>
      <c r="AC12" s="31"/>
      <c r="AD12" s="30"/>
    </row>
    <row r="13" spans="1:30" ht="15.6" x14ac:dyDescent="0.3">
      <c r="B13" t="s">
        <v>30</v>
      </c>
      <c r="C13" t="s">
        <v>25</v>
      </c>
      <c r="D13" t="s">
        <v>32</v>
      </c>
      <c r="E13" t="s">
        <v>20</v>
      </c>
      <c r="F13" t="s">
        <v>18</v>
      </c>
      <c r="G13" s="56">
        <f>SUMIFS(SM_Weight,SM_Material,B$8,SM_ServiceType,C13,SM_CutType,D13,SM_BoughtOut,E13,SM_FittingType,F13)</f>
        <v>0</v>
      </c>
      <c r="H13" s="54" t="str">
        <f t="shared" si="0"/>
        <v/>
      </c>
      <c r="I13" s="42">
        <f>SUMIFS(SM_Length,SM_Material,B$8,SM_ServiceType,C13,SM_CutType,D13,SM_BoughtOut,E13,SM_FittingType,F13)</f>
        <v>0</v>
      </c>
      <c r="J13" s="56">
        <f>SUMIFS(SM_Area,SM_Material,B$8,SM_ServiceType,C13,SM_CutType,D13,SM_BoughtOut,E13,SM_FittingType,F13)</f>
        <v>0</v>
      </c>
      <c r="K13" s="54" t="str">
        <f t="shared" si="1"/>
        <v/>
      </c>
      <c r="L13" s="7">
        <f>SUMIFS(SM_Qty,SM_Material,B$8,SM_ServiceType,C13,SM_CutType,D13,SM_BoughtOut,E13,SM_FittingType,F13)</f>
        <v>0</v>
      </c>
      <c r="M13" s="99">
        <f>SUMIFS(SM_Ftime,SM_Material,B$8,SM_ServiceType,C13,SM_CutType,D13,SM_BoughtOut,E13,SM_FittingType,F13)*24</f>
        <v>0</v>
      </c>
      <c r="N13" s="103" t="str">
        <f t="shared" si="2"/>
        <v/>
      </c>
      <c r="O13" s="99">
        <f>SUMIFS(SM_Etime,SM_Material,B$8,SM_ServiceType,C13,SM_CutType,D13,SM_BoughtOut,E13,SM_FittingType,F13)*24</f>
        <v>0</v>
      </c>
      <c r="P13" s="103" t="str">
        <f t="shared" si="3"/>
        <v/>
      </c>
      <c r="Q13" s="102" t="str">
        <f t="shared" si="4"/>
        <v/>
      </c>
      <c r="R13" s="99">
        <f>(Fabricated1[[#This Row],[Column5]]*SM_ShopLaborRate)+(Fabricated1[[#This Row],[Column7]]*SM_FieldLaborRate)</f>
        <v>0</v>
      </c>
      <c r="S13" s="102" t="str">
        <f t="shared" si="4"/>
        <v/>
      </c>
      <c r="T13" s="99">
        <f>SUMIFS(SM_MaterialCost,SM_Material,B$8,SM_ServiceType,C13,SM_CutType,D13,SM_BoughtOut,E13,SM_FittingType,F13)</f>
        <v>0</v>
      </c>
      <c r="U13" s="28" t="str">
        <f>IF(L13=0,"",L13/$L$14)</f>
        <v/>
      </c>
      <c r="V13"/>
      <c r="W13"/>
      <c r="X13"/>
      <c r="Y13" s="30"/>
      <c r="AB13" s="8"/>
      <c r="AC13" s="31"/>
      <c r="AD13" s="30"/>
    </row>
    <row r="14" spans="1:30" ht="15.6" x14ac:dyDescent="0.3">
      <c r="B14" t="str">
        <f>IF(SUM(X9:X11)&gt;3,"Total w/Multiplier","Total")</f>
        <v>Total</v>
      </c>
      <c r="G14" s="56">
        <f>SUBTOTAL(109,Fabricated1[Weight (lbs)])</f>
        <v>0</v>
      </c>
      <c r="H14" s="54" t="str">
        <f t="shared" si="0"/>
        <v/>
      </c>
      <c r="I14" s="42">
        <f>SUBTOTAL(109,Fabricated1[Length (ft)])</f>
        <v>0</v>
      </c>
      <c r="J14" s="56">
        <f>SUBTOTAL(109,Fabricated1[Area (SqFt)])</f>
        <v>0</v>
      </c>
      <c r="K14" s="110" t="str">
        <f t="shared" si="1"/>
        <v/>
      </c>
      <c r="L14" s="7">
        <f>SUBTOTAL(109,Fabricated1[Pieces])</f>
        <v>0</v>
      </c>
      <c r="M14" s="100">
        <f>SUBTOTAL(109,Fabricated1[Column5])*X9</f>
        <v>0</v>
      </c>
      <c r="N14" s="111" t="str">
        <f t="shared" si="2"/>
        <v/>
      </c>
      <c r="O14" s="100">
        <f>SUBTOTAL(109,Fabricated1[Column7])*X10</f>
        <v>0</v>
      </c>
      <c r="P14" s="103" t="str">
        <f t="shared" si="3"/>
        <v/>
      </c>
      <c r="Q14" s="102" t="str">
        <f t="shared" si="4"/>
        <v/>
      </c>
      <c r="R14" s="100">
        <f>SUBTOTAL(109,Fabricated1[Column9])</f>
        <v>0</v>
      </c>
      <c r="S14" s="102" t="str">
        <f t="shared" si="4"/>
        <v/>
      </c>
      <c r="T14" s="100">
        <f>SUBTOTAL(109,Fabricated1[Column11])*X11</f>
        <v>0</v>
      </c>
      <c r="U14" s="28">
        <f>SUBTOTAL(109,Fabricated1[Column1])</f>
        <v>0</v>
      </c>
      <c r="V14"/>
      <c r="W14"/>
      <c r="X14"/>
      <c r="Y14" s="30"/>
      <c r="AB14" s="8"/>
      <c r="AC14" s="31"/>
      <c r="AD14" s="30"/>
    </row>
    <row r="16" spans="1:30" ht="23.4" x14ac:dyDescent="0.45">
      <c r="B16" s="6" t="s">
        <v>17</v>
      </c>
      <c r="E16" s="15"/>
      <c r="F16" s="40"/>
      <c r="G16"/>
      <c r="H16"/>
      <c r="I16"/>
      <c r="J16"/>
      <c r="K16" s="31"/>
      <c r="L16" s="30"/>
    </row>
    <row r="17" spans="2:30" ht="18" x14ac:dyDescent="0.35">
      <c r="B17" s="12">
        <f>Lists!A2</f>
        <v>0</v>
      </c>
      <c r="C17" s="13"/>
      <c r="D17" s="13"/>
      <c r="E17" s="13"/>
      <c r="F17" s="13"/>
      <c r="G17" s="105" t="s">
        <v>86</v>
      </c>
      <c r="H17" s="106"/>
      <c r="I17" s="107" t="s">
        <v>87</v>
      </c>
      <c r="J17" s="108" t="s">
        <v>88</v>
      </c>
      <c r="K17" s="109"/>
      <c r="L17" s="23" t="s">
        <v>89</v>
      </c>
      <c r="M17" s="57" t="s">
        <v>53</v>
      </c>
      <c r="N17" s="59"/>
      <c r="O17" s="57" t="s">
        <v>54</v>
      </c>
      <c r="P17" s="59"/>
      <c r="Q17" s="101"/>
      <c r="R17" s="104" t="s">
        <v>12</v>
      </c>
      <c r="S17" s="101"/>
      <c r="T17" s="104" t="s">
        <v>13</v>
      </c>
      <c r="U17" s="104" t="s">
        <v>85</v>
      </c>
      <c r="W17" s="129" t="s">
        <v>92</v>
      </c>
      <c r="X17" s="130"/>
    </row>
    <row r="18" spans="2:30" x14ac:dyDescent="0.3">
      <c r="B18" t="s">
        <v>26</v>
      </c>
      <c r="C18" t="s">
        <v>21</v>
      </c>
      <c r="D18" t="s">
        <v>24</v>
      </c>
      <c r="E18" t="s">
        <v>19</v>
      </c>
      <c r="F18" t="s">
        <v>23</v>
      </c>
      <c r="G18" s="56">
        <f>SUMIFS(SM_Weight,SM_Material,B$8,SM_ServiceType,C18,SM_CutType,D18,SM_BoughtOut,E18,SM_FittingType,F18)</f>
        <v>0</v>
      </c>
      <c r="H18" s="54" t="str">
        <f t="shared" ref="H18:H23" si="5">IF(G18=0,"","lbs")</f>
        <v/>
      </c>
      <c r="I18" s="42">
        <f>SUMIFS(SM_Length,SM_Material,B$8,SM_ServiceType,C18,SM_CutType,D18,SM_BoughtOut,E18,SM_FittingType,F18)</f>
        <v>0</v>
      </c>
      <c r="J18" s="56">
        <f>SUMIFS(SM_Area,SM_Material,B$8,SM_ServiceType,C18,SM_CutType,D18,SM_BoughtOut,E18,SM_FittingType,F18)</f>
        <v>0</v>
      </c>
      <c r="K18" s="54" t="str">
        <f t="shared" ref="K18:K23" si="6">IF(J18=0,"","ft²")</f>
        <v/>
      </c>
      <c r="L18" s="7">
        <f>SUMIFS(SM_Qty,SM_Material,B$8,SM_ServiceType,C18,SM_CutType,D18,SM_BoughtOut,E18,SM_FittingType,F18)</f>
        <v>0</v>
      </c>
      <c r="M18" s="99">
        <f>SUMIFS(SM_Ftime,SM_Material,B$8,SM_ServiceType,C18,SM_CutType,D18,SM_BoughtOut,E18,SM_FittingType,F18)*24</f>
        <v>0</v>
      </c>
      <c r="N18" s="103" t="str">
        <f t="shared" ref="N18:N23" si="7">IF(M18=0,"","hrs")</f>
        <v/>
      </c>
      <c r="O18" s="99">
        <f>SUMIFS(SM_Etime,SM_Material,B$8,SM_ServiceType,C18,SM_CutType,D18,SM_BoughtOut,E18,SM_FittingType,F18)*24</f>
        <v>0</v>
      </c>
      <c r="P18" s="103" t="str">
        <f t="shared" ref="P18:P23" si="8">IF(O18=0,"","hrs")</f>
        <v/>
      </c>
      <c r="Q18" s="102" t="str">
        <f t="shared" ref="Q18:Q23" si="9">IF(R18=0,"","$")</f>
        <v/>
      </c>
      <c r="R18" s="99">
        <f>(BouthtOut1[[#This Row],[Column4]]*SM_ShopLaborRate)+(BouthtOut1[[#This Row],[Column6]]*SM_FieldLaborRate)</f>
        <v>0</v>
      </c>
      <c r="S18" s="102" t="str">
        <f t="shared" ref="S18:S23" si="10">IF(T18=0,"","$")</f>
        <v/>
      </c>
      <c r="T18" s="99">
        <f>SUMIFS(SM_MaterialCost,SM_Material,B$8,SM_ServiceType,C18,SM_CutType,D18,SM_BoughtOut,E18,SM_FittingType,F18)</f>
        <v>0</v>
      </c>
      <c r="U18" s="28" t="str">
        <f>IF(L18=0,"",L18/$L$23)</f>
        <v/>
      </c>
      <c r="W18" s="131" t="s">
        <v>39</v>
      </c>
      <c r="X18" s="220">
        <v>1</v>
      </c>
    </row>
    <row r="19" spans="2:30" x14ac:dyDescent="0.3">
      <c r="B19" t="s">
        <v>27</v>
      </c>
      <c r="C19" t="s">
        <v>21</v>
      </c>
      <c r="D19" t="s">
        <v>22</v>
      </c>
      <c r="E19" t="s">
        <v>19</v>
      </c>
      <c r="F19" t="s">
        <v>23</v>
      </c>
      <c r="G19" s="56">
        <f>SUMIFS(SM_Weight,SM_Material,B$8,SM_ServiceType,C19,SM_CutType,D19,SM_BoughtOut,E19,SM_FittingType,F19)</f>
        <v>0</v>
      </c>
      <c r="H19" s="54" t="str">
        <f t="shared" si="5"/>
        <v/>
      </c>
      <c r="I19" s="42">
        <f>SUMIFS(SM_Length,SM_Material,B$8,SM_ServiceType,C19,SM_CutType,D19,SM_BoughtOut,E19,SM_FittingType,F19)</f>
        <v>0</v>
      </c>
      <c r="J19" s="56">
        <f>SUMIFS(SM_Area,SM_Material,B$8,SM_ServiceType,C19,SM_CutType,D19,SM_BoughtOut,E19,SM_FittingType,F19)</f>
        <v>0</v>
      </c>
      <c r="K19" s="54" t="str">
        <f t="shared" si="6"/>
        <v/>
      </c>
      <c r="L19" s="7">
        <f>SUMIFS(SM_Qty,SM_Material,B$8,SM_ServiceType,C19,SM_CutType,D19,SM_BoughtOut,E19,SM_FittingType,F19)</f>
        <v>0</v>
      </c>
      <c r="M19" s="99">
        <f>SUMIFS(SM_Ftime,SM_Material,B$8,SM_ServiceType,C19,SM_CutType,D19,SM_BoughtOut,E19,SM_FittingType,F19)*24</f>
        <v>0</v>
      </c>
      <c r="N19" s="103" t="str">
        <f t="shared" si="7"/>
        <v/>
      </c>
      <c r="O19" s="99">
        <f>SUMIFS(SM_Etime,SM_Material,B$8,SM_ServiceType,C19,SM_CutType,D19,SM_BoughtOut,E19,SM_FittingType,F19)*24</f>
        <v>0</v>
      </c>
      <c r="P19" s="103" t="str">
        <f t="shared" si="8"/>
        <v/>
      </c>
      <c r="Q19" s="102" t="str">
        <f t="shared" si="9"/>
        <v/>
      </c>
      <c r="R19" s="99">
        <f>(BouthtOut1[[#This Row],[Column4]]*SM_ShopLaborRate)+(BouthtOut1[[#This Row],[Column6]]*SM_FieldLaborRate)</f>
        <v>0</v>
      </c>
      <c r="S19" s="102" t="str">
        <f t="shared" si="10"/>
        <v/>
      </c>
      <c r="T19" s="99">
        <f>SUMIFS(SM_MaterialCost,SM_Material,B$8,SM_ServiceType,C19,SM_CutType,D19,SM_BoughtOut,E19,SM_FittingType,F19)</f>
        <v>0</v>
      </c>
      <c r="U19" s="28" t="str">
        <f>IF(L19=0,"",L19/$L$23)</f>
        <v/>
      </c>
      <c r="W19" s="132" t="s">
        <v>40</v>
      </c>
      <c r="X19" s="221">
        <v>1</v>
      </c>
    </row>
    <row r="20" spans="2:30" x14ac:dyDescent="0.3">
      <c r="B20" t="s">
        <v>28</v>
      </c>
      <c r="C20" t="s">
        <v>21</v>
      </c>
      <c r="D20" t="s">
        <v>32</v>
      </c>
      <c r="E20" t="s">
        <v>19</v>
      </c>
      <c r="F20" t="s">
        <v>18</v>
      </c>
      <c r="G20" s="56">
        <f>SUMIFS(SM_Weight,SM_Material,B$8,SM_ServiceType,C20,SM_CutType,D20,SM_BoughtOut,E20,SM_FittingType,F20)</f>
        <v>0</v>
      </c>
      <c r="H20" s="54" t="str">
        <f t="shared" si="5"/>
        <v/>
      </c>
      <c r="I20" s="42">
        <f>SUMIFS(SM_Length,SM_Material,B$8,SM_ServiceType,C20,SM_CutType,D20,SM_BoughtOut,E20,SM_FittingType,F20)</f>
        <v>0</v>
      </c>
      <c r="J20" s="56">
        <f>SUMIFS(SM_Area,SM_Material,B$8,SM_ServiceType,C20,SM_CutType,D20,SM_BoughtOut,E20,SM_FittingType,F20)</f>
        <v>0</v>
      </c>
      <c r="K20" s="54" t="str">
        <f t="shared" si="6"/>
        <v/>
      </c>
      <c r="L20" s="7">
        <f>SUMIFS(SM_Qty,SM_Material,B$8,SM_ServiceType,C20,SM_CutType,D20,SM_BoughtOut,E20,SM_FittingType,F20)</f>
        <v>0</v>
      </c>
      <c r="M20" s="99">
        <f>SUMIFS(SM_Ftime,SM_Material,B$8,SM_ServiceType,C20,SM_CutType,D20,SM_BoughtOut,E20,SM_FittingType,F20)*24</f>
        <v>0</v>
      </c>
      <c r="N20" s="103" t="str">
        <f t="shared" si="7"/>
        <v/>
      </c>
      <c r="O20" s="99">
        <f>SUMIFS(SM_Etime,SM_Material,B$8,SM_ServiceType,C20,SM_CutType,D20,SM_BoughtOut,E20,SM_FittingType,F20)*24</f>
        <v>0</v>
      </c>
      <c r="P20" s="103" t="str">
        <f t="shared" si="8"/>
        <v/>
      </c>
      <c r="Q20" s="102" t="str">
        <f t="shared" si="9"/>
        <v/>
      </c>
      <c r="R20" s="99">
        <f>(BouthtOut1[[#This Row],[Column4]]*SM_ShopLaborRate)+(BouthtOut1[[#This Row],[Column6]]*SM_FieldLaborRate)</f>
        <v>0</v>
      </c>
      <c r="S20" s="102" t="str">
        <f t="shared" si="10"/>
        <v/>
      </c>
      <c r="T20" s="99">
        <f>SUMIFS(SM_MaterialCost,SM_Material,B$8,SM_ServiceType,C20,SM_CutType,D20,SM_BoughtOut,E20,SM_FittingType,F20)</f>
        <v>0</v>
      </c>
      <c r="U20" s="28" t="str">
        <f>IF(L20=0,"",L20/$L$23)</f>
        <v/>
      </c>
      <c r="W20" s="133" t="s">
        <v>91</v>
      </c>
      <c r="X20" s="222">
        <v>1</v>
      </c>
    </row>
    <row r="21" spans="2:30" x14ac:dyDescent="0.3">
      <c r="B21" t="s">
        <v>29</v>
      </c>
      <c r="C21" t="s">
        <v>25</v>
      </c>
      <c r="D21" t="s">
        <v>32</v>
      </c>
      <c r="E21" t="s">
        <v>19</v>
      </c>
      <c r="F21" t="s">
        <v>23</v>
      </c>
      <c r="G21" s="56">
        <f>SUMIFS(SM_Weight,SM_Material,B$8,SM_ServiceType,C21,SM_CutType,D21,SM_BoughtOut,E21,SM_FittingType,F21)</f>
        <v>0</v>
      </c>
      <c r="H21" s="54" t="str">
        <f t="shared" si="5"/>
        <v/>
      </c>
      <c r="I21" s="42">
        <f>SUMIFS(SM_Length,SM_Material,B$8,SM_ServiceType,C21,SM_CutType,D21,SM_BoughtOut,E21,SM_FittingType,F21)</f>
        <v>0</v>
      </c>
      <c r="J21" s="56">
        <f>SUMIFS(SM_Area,SM_Material,B$8,SM_ServiceType,C21,SM_CutType,D21,SM_BoughtOut,E21,SM_FittingType,F21)</f>
        <v>0</v>
      </c>
      <c r="K21" s="54" t="str">
        <f t="shared" si="6"/>
        <v/>
      </c>
      <c r="L21" s="7">
        <f>SUMIFS(SM_Qty,SM_Material,B$8,SM_ServiceType,C21,SM_CutType,D21,SM_BoughtOut,E21,SM_FittingType,F21)</f>
        <v>0</v>
      </c>
      <c r="M21" s="99">
        <f>SUMIFS(SM_Ftime,SM_Material,B$8,SM_ServiceType,C21,SM_CutType,D21,SM_BoughtOut,E21,SM_FittingType,F21)*24</f>
        <v>0</v>
      </c>
      <c r="N21" s="103" t="str">
        <f t="shared" si="7"/>
        <v/>
      </c>
      <c r="O21" s="99">
        <f>SUMIFS(SM_Etime,SM_Material,B$8,SM_ServiceType,C21,SM_CutType,D21,SM_BoughtOut,E21,SM_FittingType,F21)*24</f>
        <v>0</v>
      </c>
      <c r="P21" s="103" t="str">
        <f t="shared" si="8"/>
        <v/>
      </c>
      <c r="Q21" s="102" t="str">
        <f t="shared" si="9"/>
        <v/>
      </c>
      <c r="R21" s="99">
        <f>(BouthtOut1[[#This Row],[Column4]]*SM_ShopLaborRate)+(BouthtOut1[[#This Row],[Column6]]*SM_FieldLaborRate)</f>
        <v>0</v>
      </c>
      <c r="S21" s="102" t="str">
        <f t="shared" si="10"/>
        <v/>
      </c>
      <c r="T21" s="99">
        <f>SUMIFS(SM_MaterialCost,SM_Material,B$8,SM_ServiceType,C21,SM_CutType,D21,SM_BoughtOut,E21,SM_FittingType,F21)</f>
        <v>0</v>
      </c>
      <c r="U21" s="28" t="str">
        <f>IF(L21=0,"",L21/$L$23)</f>
        <v/>
      </c>
    </row>
    <row r="22" spans="2:30" x14ac:dyDescent="0.3">
      <c r="B22" t="s">
        <v>30</v>
      </c>
      <c r="C22" t="s">
        <v>25</v>
      </c>
      <c r="D22" t="s">
        <v>32</v>
      </c>
      <c r="E22" t="s">
        <v>19</v>
      </c>
      <c r="F22" t="s">
        <v>18</v>
      </c>
      <c r="G22" s="56">
        <f>SUMIFS(SM_Weight,SM_Material,B$8,SM_ServiceType,C22,SM_CutType,D22,SM_BoughtOut,E22,SM_FittingType,F22)</f>
        <v>0</v>
      </c>
      <c r="H22" s="54" t="str">
        <f t="shared" si="5"/>
        <v/>
      </c>
      <c r="I22" s="42">
        <f>SUMIFS(SM_Length,SM_Material,B$8,SM_ServiceType,C22,SM_CutType,D22,SM_BoughtOut,E22,SM_FittingType,F22)</f>
        <v>0</v>
      </c>
      <c r="J22" s="56">
        <f>SUMIFS(SM_Area,SM_Material,B$8,SM_ServiceType,C22,SM_CutType,D22,SM_BoughtOut,E22,SM_FittingType,F22)</f>
        <v>0</v>
      </c>
      <c r="K22" s="54" t="str">
        <f t="shared" si="6"/>
        <v/>
      </c>
      <c r="L22" s="7">
        <f>SUMIFS(SM_Qty,SM_Material,B$8,SM_ServiceType,C22,SM_CutType,D22,SM_BoughtOut,E22,SM_FittingType,F22)</f>
        <v>0</v>
      </c>
      <c r="M22" s="99">
        <f>SUMIFS(SM_Ftime,SM_Material,B$8,SM_ServiceType,C22,SM_CutType,D22,SM_BoughtOut,E22,SM_FittingType,F22)*24</f>
        <v>0</v>
      </c>
      <c r="N22" s="103" t="str">
        <f t="shared" si="7"/>
        <v/>
      </c>
      <c r="O22" s="99">
        <f>SUMIFS(SM_Etime,SM_Material,B$8,SM_ServiceType,C22,SM_CutType,D22,SM_BoughtOut,E22,SM_FittingType,F22)*24</f>
        <v>0</v>
      </c>
      <c r="P22" s="103" t="str">
        <f t="shared" si="8"/>
        <v/>
      </c>
      <c r="Q22" s="102" t="str">
        <f t="shared" si="9"/>
        <v/>
      </c>
      <c r="R22" s="99">
        <f>(BouthtOut1[[#This Row],[Column4]]*SM_ShopLaborRate)+(BouthtOut1[[#This Row],[Column6]]*SM_FieldLaborRate)</f>
        <v>0</v>
      </c>
      <c r="S22" s="102" t="str">
        <f t="shared" si="10"/>
        <v/>
      </c>
      <c r="T22" s="99">
        <f>SUMIFS(SM_MaterialCost,SM_Material,B$8,SM_ServiceType,C22,SM_CutType,D22,SM_BoughtOut,E22,SM_FittingType,F22)</f>
        <v>0</v>
      </c>
      <c r="U22" s="28" t="str">
        <f>IF(L22=0,"",L22/$L$23)</f>
        <v/>
      </c>
    </row>
    <row r="23" spans="2:30" x14ac:dyDescent="0.3">
      <c r="B23" t="str">
        <f>IF(SUM(X18:X20)&gt;3,"Total w/Multiplier","Total")</f>
        <v>Total</v>
      </c>
      <c r="G23" s="56">
        <f>SUBTOTAL(109,BouthtOut1[Weight (lbs)])</f>
        <v>0</v>
      </c>
      <c r="H23" s="54" t="str">
        <f t="shared" si="5"/>
        <v/>
      </c>
      <c r="I23" s="42">
        <f>SUBTOTAL(109,BouthtOut1[Length (ft)])</f>
        <v>0</v>
      </c>
      <c r="J23" s="56">
        <f>SUBTOTAL(109,BouthtOut1[Area (SqFt)])</f>
        <v>0</v>
      </c>
      <c r="K23" s="110" t="str">
        <f t="shared" si="6"/>
        <v/>
      </c>
      <c r="L23" s="7">
        <f>SUBTOTAL(109,BouthtOut1[Pieces])</f>
        <v>0</v>
      </c>
      <c r="M23" s="100">
        <f>SUBTOTAL(109,BouthtOut1[Column4])*X18</f>
        <v>0</v>
      </c>
      <c r="N23" s="111" t="str">
        <f t="shared" si="7"/>
        <v/>
      </c>
      <c r="O23" s="100">
        <f>SUBTOTAL(109,BouthtOut1[Column6])*X19</f>
        <v>0</v>
      </c>
      <c r="P23" s="103" t="str">
        <f t="shared" si="8"/>
        <v/>
      </c>
      <c r="Q23" s="102" t="str">
        <f t="shared" si="9"/>
        <v/>
      </c>
      <c r="R23" s="100">
        <f>SUBTOTAL(109,BouthtOut1[Column8])</f>
        <v>0</v>
      </c>
      <c r="S23" s="102" t="str">
        <f t="shared" si="10"/>
        <v/>
      </c>
      <c r="T23" s="100">
        <f>SUBTOTAL(109,BouthtOut1[Column10])*X20</f>
        <v>0</v>
      </c>
      <c r="U23" s="28">
        <f>SUBTOTAL(109,BouthtOut1[Column11])</f>
        <v>0</v>
      </c>
      <c r="V23"/>
      <c r="W23"/>
      <c r="X23"/>
    </row>
    <row r="25" spans="2:30" ht="23.4" hidden="1" x14ac:dyDescent="0.45">
      <c r="B25" s="6" t="s">
        <v>31</v>
      </c>
    </row>
    <row r="26" spans="2:30" ht="18" hidden="1" x14ac:dyDescent="0.35">
      <c r="B26" s="12">
        <f>Lists!A3</f>
        <v>0</v>
      </c>
      <c r="C26" s="13"/>
      <c r="D26" s="13"/>
      <c r="E26" s="13"/>
      <c r="F26" s="13"/>
      <c r="G26" s="105" t="s">
        <v>86</v>
      </c>
      <c r="H26" s="106"/>
      <c r="I26" s="107" t="s">
        <v>87</v>
      </c>
      <c r="J26" s="108" t="s">
        <v>88</v>
      </c>
      <c r="K26" s="109"/>
      <c r="L26" s="23" t="s">
        <v>89</v>
      </c>
      <c r="M26" s="57" t="s">
        <v>53</v>
      </c>
      <c r="N26" s="59"/>
      <c r="O26" s="57" t="s">
        <v>54</v>
      </c>
      <c r="P26" s="59"/>
      <c r="Q26" s="101"/>
      <c r="R26" s="104" t="s">
        <v>12</v>
      </c>
      <c r="S26" s="101"/>
      <c r="T26" s="104" t="s">
        <v>13</v>
      </c>
      <c r="U26" s="104" t="s">
        <v>85</v>
      </c>
      <c r="V26"/>
      <c r="W26" s="129" t="s">
        <v>92</v>
      </c>
      <c r="X26" s="130"/>
      <c r="AA26" s="30"/>
      <c r="AB26"/>
    </row>
    <row r="27" spans="2:30" ht="15.6" hidden="1" x14ac:dyDescent="0.3">
      <c r="B27" t="s">
        <v>26</v>
      </c>
      <c r="C27" t="s">
        <v>21</v>
      </c>
      <c r="D27" t="s">
        <v>24</v>
      </c>
      <c r="E27" t="s">
        <v>20</v>
      </c>
      <c r="F27" t="s">
        <v>23</v>
      </c>
      <c r="G27" s="56">
        <f>SUMIFS(SM_Weight,SM_Material,B$26,SM_ServiceType,C27,SM_CutType,D27,SM_BoughtOut,E27,SM_FittingType,F27)</f>
        <v>0</v>
      </c>
      <c r="H27" s="54" t="str">
        <f t="shared" ref="H27:H32" si="11">IF(G27=0,"","lbs")</f>
        <v/>
      </c>
      <c r="I27" s="42">
        <f>SUMIFS(SM_Length,SM_Material,B$26,SM_ServiceType,C27,SM_CutType,D27,SM_BoughtOut,E27,SM_FittingType,F27)</f>
        <v>0</v>
      </c>
      <c r="J27" s="56">
        <f>SUMIFS(SM_Area,SM_Material,B$26,SM_ServiceType,C27,SM_CutType,D27,SM_BoughtOut,E27,SM_FittingType,F27)</f>
        <v>0</v>
      </c>
      <c r="K27" s="54" t="str">
        <f t="shared" ref="K27:K32" si="12">IF(J27=0,"","ft²")</f>
        <v/>
      </c>
      <c r="L27" s="7">
        <f>SUMIFS(SM_Qty,SM_Material,B$26,SM_ServiceType,C27,SM_CutType,D27,SM_BoughtOut,E27,SM_FittingType,F27)</f>
        <v>0</v>
      </c>
      <c r="M27" s="99">
        <f>SUMIFS(SM_Ftime,SM_Material,B$26,SM_ServiceType,C27,SM_CutType,D27,SM_BoughtOut,E27,SM_FittingType,F27)*24</f>
        <v>0</v>
      </c>
      <c r="N27" s="103" t="str">
        <f t="shared" ref="N27:N32" si="13">IF(M27=0,"","hrs")</f>
        <v/>
      </c>
      <c r="O27" s="99">
        <f>SUMIFS(SM_Etime,SM_Material,B$26,SM_ServiceType,C27,SM_CutType,D27,SM_BoughtOut,E27,SM_FittingType,F27)*24</f>
        <v>0</v>
      </c>
      <c r="P27" s="103" t="str">
        <f t="shared" ref="P27:P32" si="14">IF(O27=0,"","hrs")</f>
        <v/>
      </c>
      <c r="Q27" s="102" t="str">
        <f t="shared" ref="Q27:Q32" si="15">IF(R27=0,"","$")</f>
        <v/>
      </c>
      <c r="R27" s="99">
        <f>(Fabricated15[[#This Row],[Column5]]*SM_ShopLaborRate)+(Fabricated15[[#This Row],[Column7]]*SM_FieldLaborRate)</f>
        <v>0</v>
      </c>
      <c r="S27" s="102" t="str">
        <f t="shared" ref="S27:S32" si="16">IF(T27=0,"","$")</f>
        <v/>
      </c>
      <c r="T27" s="99">
        <f>SUMIFS(SM_MaterialCost,SM_Material,B$26,SM_ServiceType,C27,SM_CutType,D27,SM_BoughtOut,E27,SM_FittingType,F27)</f>
        <v>0</v>
      </c>
      <c r="U27" s="28" t="str">
        <f>IF(L27=0,"",L27/$L$32)</f>
        <v/>
      </c>
      <c r="V27"/>
      <c r="W27" s="131" t="s">
        <v>39</v>
      </c>
      <c r="X27" s="220">
        <v>1</v>
      </c>
      <c r="Y27" s="30"/>
      <c r="AB27" s="8"/>
      <c r="AC27" s="31"/>
      <c r="AD27" s="30"/>
    </row>
    <row r="28" spans="2:30" ht="15.6" hidden="1" x14ac:dyDescent="0.3">
      <c r="B28" t="s">
        <v>27</v>
      </c>
      <c r="C28" t="s">
        <v>21</v>
      </c>
      <c r="D28" t="s">
        <v>22</v>
      </c>
      <c r="E28" t="s">
        <v>20</v>
      </c>
      <c r="F28" t="s">
        <v>23</v>
      </c>
      <c r="G28" s="56">
        <f>SUMIFS(SM_Weight,SM_Material,B$26,SM_ServiceType,C28,SM_CutType,D28,SM_BoughtOut,E28,SM_FittingType,F28)</f>
        <v>0</v>
      </c>
      <c r="H28" s="54" t="str">
        <f t="shared" si="11"/>
        <v/>
      </c>
      <c r="I28" s="42">
        <f>SUMIFS(SM_Length,SM_Material,B$26,SM_ServiceType,C28,SM_CutType,D28,SM_BoughtOut,E28,SM_FittingType,F28)</f>
        <v>0</v>
      </c>
      <c r="J28" s="56">
        <f>SUMIFS(SM_Area,SM_Material,B$26,SM_ServiceType,C28,SM_CutType,D28,SM_BoughtOut,E28,SM_FittingType,F28)</f>
        <v>0</v>
      </c>
      <c r="K28" s="54" t="str">
        <f t="shared" si="12"/>
        <v/>
      </c>
      <c r="L28" s="7">
        <f>SUMIFS(SM_Qty,SM_Material,B$26,SM_ServiceType,C28,SM_CutType,D28,SM_BoughtOut,E28,SM_FittingType,F28)</f>
        <v>0</v>
      </c>
      <c r="M28" s="99">
        <f>SUMIFS(SM_Ftime,SM_Material,B$26,SM_ServiceType,C28,SM_CutType,D28,SM_BoughtOut,E28,SM_FittingType,F28)*24</f>
        <v>0</v>
      </c>
      <c r="N28" s="103" t="str">
        <f t="shared" si="13"/>
        <v/>
      </c>
      <c r="O28" s="99">
        <f>SUMIFS(SM_Etime,SM_Material,B$26,SM_ServiceType,C28,SM_CutType,D28,SM_BoughtOut,E28,SM_FittingType,F28)*24</f>
        <v>0</v>
      </c>
      <c r="P28" s="103" t="str">
        <f t="shared" si="14"/>
        <v/>
      </c>
      <c r="Q28" s="102" t="str">
        <f t="shared" si="15"/>
        <v/>
      </c>
      <c r="R28" s="99">
        <f>(Fabricated15[[#This Row],[Column5]]*SM_ShopLaborRate)+(Fabricated15[[#This Row],[Column7]]*SM_FieldLaborRate)</f>
        <v>0</v>
      </c>
      <c r="S28" s="102" t="str">
        <f t="shared" si="16"/>
        <v/>
      </c>
      <c r="T28" s="99">
        <f>SUMIFS(SM_MaterialCost,SM_Material,B$26,SM_ServiceType,C28,SM_CutType,D28,SM_BoughtOut,E28,SM_FittingType,F28)</f>
        <v>0</v>
      </c>
      <c r="U28" s="28" t="str">
        <f>IF(L28=0,"",L28/$L$32)</f>
        <v/>
      </c>
      <c r="V28"/>
      <c r="W28" s="132" t="s">
        <v>40</v>
      </c>
      <c r="X28" s="221">
        <v>1</v>
      </c>
      <c r="Y28" s="30"/>
      <c r="AB28" s="8"/>
      <c r="AC28" s="31"/>
      <c r="AD28" s="30"/>
    </row>
    <row r="29" spans="2:30" ht="15.6" hidden="1" x14ac:dyDescent="0.3">
      <c r="B29" t="s">
        <v>28</v>
      </c>
      <c r="C29" t="s">
        <v>21</v>
      </c>
      <c r="D29" t="s">
        <v>22</v>
      </c>
      <c r="E29" t="s">
        <v>20</v>
      </c>
      <c r="F29" t="s">
        <v>18</v>
      </c>
      <c r="G29" s="56">
        <f>SUMIFS(SM_Weight,SM_Material,B$26,SM_ServiceType,C29,SM_CutType,D29,SM_BoughtOut,E29,SM_FittingType,F29)</f>
        <v>0</v>
      </c>
      <c r="H29" s="54" t="str">
        <f t="shared" si="11"/>
        <v/>
      </c>
      <c r="I29" s="42">
        <f>SUMIFS(SM_Length,SM_Material,B$26,SM_ServiceType,C29,SM_CutType,D29,SM_BoughtOut,E29,SM_FittingType,F29)</f>
        <v>0</v>
      </c>
      <c r="J29" s="56">
        <f>SUMIFS(SM_Area,SM_Material,B$26,SM_ServiceType,C29,SM_CutType,D29,SM_BoughtOut,E29,SM_FittingType,F29)</f>
        <v>0</v>
      </c>
      <c r="K29" s="54" t="str">
        <f t="shared" si="12"/>
        <v/>
      </c>
      <c r="L29" s="7">
        <f>SUMIFS(SM_Qty,SM_Material,B$26,SM_ServiceType,C29,SM_CutType,D29,SM_BoughtOut,E29,SM_FittingType,F29)</f>
        <v>0</v>
      </c>
      <c r="M29" s="99">
        <f>SUMIFS(SM_Ftime,SM_Material,B$26,SM_ServiceType,C29,SM_CutType,D29,SM_BoughtOut,E29,SM_FittingType,F29)*24</f>
        <v>0</v>
      </c>
      <c r="N29" s="103" t="str">
        <f t="shared" si="13"/>
        <v/>
      </c>
      <c r="O29" s="99">
        <f>SUMIFS(SM_Etime,SM_Material,B$26,SM_ServiceType,C29,SM_CutType,D29,SM_BoughtOut,E29,SM_FittingType,F29)*24</f>
        <v>0</v>
      </c>
      <c r="P29" s="103" t="str">
        <f t="shared" si="14"/>
        <v/>
      </c>
      <c r="Q29" s="102" t="str">
        <f t="shared" si="15"/>
        <v/>
      </c>
      <c r="R29" s="99">
        <f>(Fabricated15[[#This Row],[Column5]]*SM_ShopLaborRate)+(Fabricated15[[#This Row],[Column7]]*SM_FieldLaborRate)</f>
        <v>0</v>
      </c>
      <c r="S29" s="102" t="str">
        <f t="shared" si="16"/>
        <v/>
      </c>
      <c r="T29" s="99">
        <f>SUMIFS(SM_MaterialCost,SM_Material,B$26,SM_ServiceType,C29,SM_CutType,D29,SM_BoughtOut,E29,SM_FittingType,F29)</f>
        <v>0</v>
      </c>
      <c r="U29" s="28" t="str">
        <f>IF(L29=0,"",L29/$L$32)</f>
        <v/>
      </c>
      <c r="V29"/>
      <c r="W29" s="133" t="s">
        <v>91</v>
      </c>
      <c r="X29" s="222">
        <v>1</v>
      </c>
      <c r="Y29" s="30"/>
      <c r="AB29" s="8"/>
      <c r="AC29" s="31"/>
      <c r="AD29" s="30"/>
    </row>
    <row r="30" spans="2:30" ht="15.6" hidden="1" x14ac:dyDescent="0.3">
      <c r="B30" t="s">
        <v>29</v>
      </c>
      <c r="C30" t="s">
        <v>25</v>
      </c>
      <c r="D30" t="s">
        <v>32</v>
      </c>
      <c r="E30" t="s">
        <v>20</v>
      </c>
      <c r="F30" t="s">
        <v>23</v>
      </c>
      <c r="G30" s="56">
        <f>SUMIFS(SM_Weight,SM_Material,B$26,SM_ServiceType,C30,SM_CutType,D30,SM_BoughtOut,E30,SM_FittingType,F30)</f>
        <v>0</v>
      </c>
      <c r="H30" s="54" t="str">
        <f t="shared" si="11"/>
        <v/>
      </c>
      <c r="I30" s="42">
        <f>SUMIFS(SM_Length,SM_Material,B$26,SM_ServiceType,C30,SM_CutType,D30,SM_BoughtOut,E30,SM_FittingType,F30)</f>
        <v>0</v>
      </c>
      <c r="J30" s="56">
        <f>SUMIFS(SM_Area,SM_Material,B$26,SM_ServiceType,C30,SM_CutType,D30,SM_BoughtOut,E30,SM_FittingType,F30)</f>
        <v>0</v>
      </c>
      <c r="K30" s="54" t="str">
        <f t="shared" si="12"/>
        <v/>
      </c>
      <c r="L30" s="7">
        <f>SUMIFS(SM_Qty,SM_Material,B$26,SM_ServiceType,C30,SM_CutType,D30,SM_BoughtOut,E30,SM_FittingType,F30)</f>
        <v>0</v>
      </c>
      <c r="M30" s="99">
        <f>SUMIFS(SM_Ftime,SM_Material,B$26,SM_ServiceType,C30,SM_CutType,D30,SM_BoughtOut,E30,SM_FittingType,F30)*24</f>
        <v>0</v>
      </c>
      <c r="N30" s="103" t="str">
        <f t="shared" si="13"/>
        <v/>
      </c>
      <c r="O30" s="99">
        <f>SUMIFS(SM_Etime,SM_Material,B$26,SM_ServiceType,C30,SM_CutType,D30,SM_BoughtOut,E30,SM_FittingType,F30)*24</f>
        <v>0</v>
      </c>
      <c r="P30" s="103" t="str">
        <f t="shared" si="14"/>
        <v/>
      </c>
      <c r="Q30" s="102" t="str">
        <f t="shared" si="15"/>
        <v/>
      </c>
      <c r="R30" s="99">
        <f>(Fabricated15[[#This Row],[Column5]]*SM_ShopLaborRate)+(Fabricated15[[#This Row],[Column7]]*SM_FieldLaborRate)</f>
        <v>0</v>
      </c>
      <c r="S30" s="102" t="str">
        <f t="shared" si="16"/>
        <v/>
      </c>
      <c r="T30" s="99">
        <f>SUMIFS(SM_MaterialCost,SM_Material,B$26,SM_ServiceType,C30,SM_CutType,D30,SM_BoughtOut,E30,SM_FittingType,F30)</f>
        <v>0</v>
      </c>
      <c r="U30" s="28" t="str">
        <f>IF(L30=0,"",L30/$L$32)</f>
        <v/>
      </c>
      <c r="V30"/>
      <c r="W30"/>
      <c r="X30"/>
      <c r="Y30" s="30"/>
      <c r="AB30" s="8"/>
      <c r="AC30" s="31"/>
      <c r="AD30" s="30"/>
    </row>
    <row r="31" spans="2:30" ht="15.6" hidden="1" x14ac:dyDescent="0.3">
      <c r="B31" t="s">
        <v>30</v>
      </c>
      <c r="C31" t="s">
        <v>25</v>
      </c>
      <c r="D31" t="s">
        <v>32</v>
      </c>
      <c r="E31" t="s">
        <v>20</v>
      </c>
      <c r="F31" t="s">
        <v>18</v>
      </c>
      <c r="G31" s="56">
        <f>SUMIFS(SM_Weight,SM_Material,B$26,SM_ServiceType,C31,SM_CutType,D31,SM_BoughtOut,E31,SM_FittingType,F31)</f>
        <v>0</v>
      </c>
      <c r="H31" s="54" t="str">
        <f t="shared" si="11"/>
        <v/>
      </c>
      <c r="I31" s="42">
        <f>SUMIFS(SM_Length,SM_Material,B$26,SM_ServiceType,C31,SM_CutType,D31,SM_BoughtOut,E31,SM_FittingType,F31)</f>
        <v>0</v>
      </c>
      <c r="J31" s="56">
        <f>SUMIFS(SM_Area,SM_Material,B$26,SM_ServiceType,C31,SM_CutType,D31,SM_BoughtOut,E31,SM_FittingType,F31)</f>
        <v>0</v>
      </c>
      <c r="K31" s="54" t="str">
        <f t="shared" si="12"/>
        <v/>
      </c>
      <c r="L31" s="7">
        <f>SUMIFS(SM_Qty,SM_Material,B$26,SM_ServiceType,C31,SM_CutType,D31,SM_BoughtOut,E31,SM_FittingType,F31)</f>
        <v>0</v>
      </c>
      <c r="M31" s="99">
        <f>SUMIFS(SM_Ftime,SM_Material,B$26,SM_ServiceType,C31,SM_CutType,D31,SM_BoughtOut,E31,SM_FittingType,F31)*24</f>
        <v>0</v>
      </c>
      <c r="N31" s="103" t="str">
        <f t="shared" si="13"/>
        <v/>
      </c>
      <c r="O31" s="99">
        <f>SUMIFS(SM_Etime,SM_Material,B$26,SM_ServiceType,C31,SM_CutType,D31,SM_BoughtOut,E31,SM_FittingType,F31)*24</f>
        <v>0</v>
      </c>
      <c r="P31" s="103" t="str">
        <f t="shared" si="14"/>
        <v/>
      </c>
      <c r="Q31" s="102" t="str">
        <f t="shared" si="15"/>
        <v/>
      </c>
      <c r="R31" s="99">
        <f>(Fabricated15[[#This Row],[Column5]]*SM_ShopLaborRate)+(Fabricated15[[#This Row],[Column7]]*SM_FieldLaborRate)</f>
        <v>0</v>
      </c>
      <c r="S31" s="102" t="str">
        <f t="shared" si="16"/>
        <v/>
      </c>
      <c r="T31" s="99">
        <f>SUMIFS(SM_MaterialCost,SM_Material,B$26,SM_ServiceType,C31,SM_CutType,D31,SM_BoughtOut,E31,SM_FittingType,F31)</f>
        <v>0</v>
      </c>
      <c r="U31" s="28" t="str">
        <f>IF(L31=0,"",L31/$L$32)</f>
        <v/>
      </c>
      <c r="V31"/>
      <c r="W31"/>
      <c r="X31"/>
      <c r="Y31" s="30"/>
      <c r="AB31" s="8"/>
      <c r="AC31" s="31"/>
      <c r="AD31" s="30"/>
    </row>
    <row r="32" spans="2:30" ht="15.6" hidden="1" x14ac:dyDescent="0.3">
      <c r="B32" t="str">
        <f>IF(SUM(X27:X29)&gt;3,"Total w/Multiplier","Total")</f>
        <v>Total</v>
      </c>
      <c r="G32" s="56">
        <f>SUBTOTAL(109,Fabricated15[Weight (lbs)])</f>
        <v>0</v>
      </c>
      <c r="H32" s="54" t="str">
        <f t="shared" si="11"/>
        <v/>
      </c>
      <c r="I32" s="42">
        <f>SUBTOTAL(109,Fabricated15[Length (ft)])</f>
        <v>0</v>
      </c>
      <c r="J32" s="56">
        <f>SUBTOTAL(109,Fabricated15[Area (SqFt)])</f>
        <v>0</v>
      </c>
      <c r="K32" s="110" t="str">
        <f t="shared" si="12"/>
        <v/>
      </c>
      <c r="L32" s="7">
        <f>SUBTOTAL(109,Fabricated15[Pieces])</f>
        <v>0</v>
      </c>
      <c r="M32" s="100">
        <f>SUBTOTAL(109,Fabricated15[Column5])*X27</f>
        <v>0</v>
      </c>
      <c r="N32" s="111" t="str">
        <f t="shared" si="13"/>
        <v/>
      </c>
      <c r="O32" s="100">
        <f>SUBTOTAL(109,Fabricated15[Column7])*X28</f>
        <v>0</v>
      </c>
      <c r="P32" s="103" t="str">
        <f t="shared" si="14"/>
        <v/>
      </c>
      <c r="Q32" s="102" t="str">
        <f t="shared" si="15"/>
        <v/>
      </c>
      <c r="R32" s="100">
        <f>SUBTOTAL(109,Fabricated15[Column9])</f>
        <v>0</v>
      </c>
      <c r="S32" s="102" t="str">
        <f t="shared" si="16"/>
        <v/>
      </c>
      <c r="T32" s="100">
        <f>SUBTOTAL(109,Fabricated15[Column11])*X29</f>
        <v>0</v>
      </c>
      <c r="U32" s="28">
        <f>SUBTOTAL(109,Fabricated15[Column1])</f>
        <v>0</v>
      </c>
      <c r="V32"/>
      <c r="W32"/>
      <c r="X32"/>
      <c r="Y32" s="30"/>
      <c r="AB32" s="8"/>
      <c r="AC32" s="31"/>
      <c r="AD32" s="30"/>
    </row>
    <row r="33" spans="2:30" hidden="1" x14ac:dyDescent="0.3"/>
    <row r="34" spans="2:30" ht="23.4" hidden="1" x14ac:dyDescent="0.45">
      <c r="B34" s="6" t="s">
        <v>17</v>
      </c>
      <c r="E34" s="15"/>
      <c r="F34" s="40"/>
      <c r="G34"/>
      <c r="H34"/>
      <c r="I34"/>
      <c r="J34"/>
      <c r="K34" s="31"/>
      <c r="L34" s="30"/>
    </row>
    <row r="35" spans="2:30" ht="18" hidden="1" x14ac:dyDescent="0.35">
      <c r="B35" s="12">
        <f>Lists!A3</f>
        <v>0</v>
      </c>
      <c r="C35" s="13"/>
      <c r="D35" s="13"/>
      <c r="E35" s="13"/>
      <c r="F35" s="13"/>
      <c r="G35" s="105" t="s">
        <v>86</v>
      </c>
      <c r="H35" s="106"/>
      <c r="I35" s="107" t="s">
        <v>87</v>
      </c>
      <c r="J35" s="108" t="s">
        <v>88</v>
      </c>
      <c r="K35" s="109"/>
      <c r="L35" s="23" t="s">
        <v>89</v>
      </c>
      <c r="M35" s="57" t="s">
        <v>53</v>
      </c>
      <c r="N35" s="59"/>
      <c r="O35" s="57" t="s">
        <v>54</v>
      </c>
      <c r="P35" s="59"/>
      <c r="Q35" s="101"/>
      <c r="R35" s="104" t="s">
        <v>12</v>
      </c>
      <c r="S35" s="101"/>
      <c r="T35" s="104" t="s">
        <v>13</v>
      </c>
      <c r="U35" s="104" t="s">
        <v>85</v>
      </c>
      <c r="W35" s="129" t="s">
        <v>92</v>
      </c>
      <c r="X35" s="130"/>
    </row>
    <row r="36" spans="2:30" hidden="1" x14ac:dyDescent="0.3">
      <c r="B36" t="s">
        <v>26</v>
      </c>
      <c r="C36" t="s">
        <v>21</v>
      </c>
      <c r="D36" t="s">
        <v>24</v>
      </c>
      <c r="E36" t="s">
        <v>19</v>
      </c>
      <c r="F36" t="s">
        <v>23</v>
      </c>
      <c r="G36" s="56">
        <f>SUMIFS(SM_Weight,SM_Material,B$35,SM_ServiceType,C36,SM_CutType,D36,SM_BoughtOut,E36,SM_FittingType,F36)</f>
        <v>0</v>
      </c>
      <c r="H36" s="54" t="str">
        <f t="shared" ref="H36:H41" si="17">IF(G36=0,"","lbs")</f>
        <v/>
      </c>
      <c r="I36" s="42">
        <f>SUMIFS(SM_Length,SM_Material,B$35,SM_ServiceType,C36,SM_CutType,D36,SM_BoughtOut,E36,SM_FittingType,F36)</f>
        <v>0</v>
      </c>
      <c r="J36" s="56">
        <f>SUMIFS(SM_Area,SM_Material,B$35,SM_ServiceType,C36,SM_CutType,D36,SM_BoughtOut,E36,SM_FittingType,F36)</f>
        <v>0</v>
      </c>
      <c r="K36" s="54" t="str">
        <f t="shared" ref="K36:K41" si="18">IF(J36=0,"","ft²")</f>
        <v/>
      </c>
      <c r="L36" s="7">
        <f>SUMIFS(SM_Qty,SM_Material,B$35,SM_ServiceType,C36,SM_CutType,D36,SM_BoughtOut,E36,SM_FittingType,F36)</f>
        <v>0</v>
      </c>
      <c r="M36" s="99">
        <f>SUMIFS(SM_Ftime,SM_Material,B$35,SM_ServiceType,C36,SM_CutType,D36,SM_BoughtOut,E36,SM_FittingType,F36)*24</f>
        <v>0</v>
      </c>
      <c r="N36" s="103" t="str">
        <f t="shared" ref="N36:N41" si="19">IF(M36=0,"","hrs")</f>
        <v/>
      </c>
      <c r="O36" s="99">
        <f>SUMIFS(SM_Etime,SM_Material,B$35,SM_ServiceType,C36,SM_CutType,D36,SM_BoughtOut,E36,SM_FittingType,F36)*24</f>
        <v>0</v>
      </c>
      <c r="P36" s="103" t="str">
        <f t="shared" ref="P36:P41" si="20">IF(O36=0,"","hrs")</f>
        <v/>
      </c>
      <c r="Q36" s="102" t="str">
        <f t="shared" ref="Q36:Q41" si="21">IF(R36=0,"","$")</f>
        <v/>
      </c>
      <c r="R36" s="99">
        <f>(BouthtOut12[[#This Row],[Column4]]*SM_ShopLaborRate)+(BouthtOut12[[#This Row],[Column6]]*SM_FieldLaborRate)</f>
        <v>0</v>
      </c>
      <c r="S36" s="102" t="str">
        <f t="shared" ref="S36:S41" si="22">IF(T36=0,"","$")</f>
        <v/>
      </c>
      <c r="T36" s="99">
        <f>SUMIFS(SM_MaterialCost,SM_Material,B$35,SM_ServiceType,C36,SM_CutType,D36,SM_BoughtOut,E36,SM_FittingType,F36)</f>
        <v>0</v>
      </c>
      <c r="U36" s="28" t="str">
        <f>IF(L36=0,"",L36/$L$41)</f>
        <v/>
      </c>
      <c r="W36" s="131" t="s">
        <v>39</v>
      </c>
      <c r="X36" s="220">
        <v>1</v>
      </c>
    </row>
    <row r="37" spans="2:30" hidden="1" x14ac:dyDescent="0.3">
      <c r="B37" t="s">
        <v>27</v>
      </c>
      <c r="C37" t="s">
        <v>21</v>
      </c>
      <c r="D37" t="s">
        <v>22</v>
      </c>
      <c r="E37" t="s">
        <v>19</v>
      </c>
      <c r="F37" t="s">
        <v>23</v>
      </c>
      <c r="G37" s="56">
        <f>SUMIFS(SM_Weight,SM_Material,B$35,SM_ServiceType,C37,SM_CutType,D37,SM_BoughtOut,E37,SM_FittingType,F37)</f>
        <v>0</v>
      </c>
      <c r="H37" s="54" t="str">
        <f t="shared" si="17"/>
        <v/>
      </c>
      <c r="I37" s="42">
        <f>SUMIFS(SM_Length,SM_Material,B$35,SM_ServiceType,C37,SM_CutType,D37,SM_BoughtOut,E37,SM_FittingType,F37)</f>
        <v>0</v>
      </c>
      <c r="J37" s="56">
        <f>SUMIFS(SM_Area,SM_Material,B$35,SM_ServiceType,C37,SM_CutType,D37,SM_BoughtOut,E37,SM_FittingType,F37)</f>
        <v>0</v>
      </c>
      <c r="K37" s="54" t="str">
        <f t="shared" si="18"/>
        <v/>
      </c>
      <c r="L37" s="7">
        <f>SUMIFS(SM_Qty,SM_Material,B$35,SM_ServiceType,C37,SM_CutType,D37,SM_BoughtOut,E37,SM_FittingType,F37)</f>
        <v>0</v>
      </c>
      <c r="M37" s="99">
        <f>SUMIFS(SM_Ftime,SM_Material,B$35,SM_ServiceType,C37,SM_CutType,D37,SM_BoughtOut,E37,SM_FittingType,F37)*24</f>
        <v>0</v>
      </c>
      <c r="N37" s="103" t="str">
        <f t="shared" si="19"/>
        <v/>
      </c>
      <c r="O37" s="99">
        <f>SUMIFS(SM_Etime,SM_Material,B$35,SM_ServiceType,C37,SM_CutType,D37,SM_BoughtOut,E37,SM_FittingType,F37)*24</f>
        <v>0</v>
      </c>
      <c r="P37" s="103" t="str">
        <f t="shared" si="20"/>
        <v/>
      </c>
      <c r="Q37" s="102" t="str">
        <f t="shared" si="21"/>
        <v/>
      </c>
      <c r="R37" s="99">
        <f>(BouthtOut12[[#This Row],[Column4]]*SM_ShopLaborRate)+(BouthtOut12[[#This Row],[Column6]]*SM_FieldLaborRate)</f>
        <v>0</v>
      </c>
      <c r="S37" s="102" t="str">
        <f t="shared" si="22"/>
        <v/>
      </c>
      <c r="T37" s="99">
        <f>SUMIFS(SM_MaterialCost,SM_Material,B$35,SM_ServiceType,C37,SM_CutType,D37,SM_BoughtOut,E37,SM_FittingType,F37)</f>
        <v>0</v>
      </c>
      <c r="U37" s="28" t="str">
        <f>IF(L37=0,"",L37/$L$41)</f>
        <v/>
      </c>
      <c r="W37" s="132" t="s">
        <v>40</v>
      </c>
      <c r="X37" s="221">
        <v>1</v>
      </c>
    </row>
    <row r="38" spans="2:30" hidden="1" x14ac:dyDescent="0.3">
      <c r="B38" t="s">
        <v>28</v>
      </c>
      <c r="C38" t="s">
        <v>21</v>
      </c>
      <c r="D38" t="s">
        <v>22</v>
      </c>
      <c r="E38" t="s">
        <v>19</v>
      </c>
      <c r="F38" t="s">
        <v>18</v>
      </c>
      <c r="G38" s="56">
        <f>SUMIFS(SM_Weight,SM_Material,B$35,SM_ServiceType,C38,SM_CutType,D38,SM_BoughtOut,E38,SM_FittingType,F38)</f>
        <v>0</v>
      </c>
      <c r="H38" s="54" t="str">
        <f t="shared" si="17"/>
        <v/>
      </c>
      <c r="I38" s="42">
        <f>SUMIFS(SM_Length,SM_Material,B$35,SM_ServiceType,C38,SM_CutType,D38,SM_BoughtOut,E38,SM_FittingType,F38)</f>
        <v>0</v>
      </c>
      <c r="J38" s="56">
        <f>SUMIFS(SM_Area,SM_Material,B$35,SM_ServiceType,C38,SM_CutType,D38,SM_BoughtOut,E38,SM_FittingType,F38)</f>
        <v>0</v>
      </c>
      <c r="K38" s="54" t="str">
        <f t="shared" si="18"/>
        <v/>
      </c>
      <c r="L38" s="7">
        <f>SUMIFS(SM_Qty,SM_Material,B$35,SM_ServiceType,C38,SM_CutType,D38,SM_BoughtOut,E38,SM_FittingType,F38)</f>
        <v>0</v>
      </c>
      <c r="M38" s="99">
        <f>SUMIFS(SM_Ftime,SM_Material,B$35,SM_ServiceType,C38,SM_CutType,D38,SM_BoughtOut,E38,SM_FittingType,F38)*24</f>
        <v>0</v>
      </c>
      <c r="N38" s="103" t="str">
        <f t="shared" si="19"/>
        <v/>
      </c>
      <c r="O38" s="99">
        <f>SUMIFS(SM_Etime,SM_Material,B$35,SM_ServiceType,C38,SM_CutType,D38,SM_BoughtOut,E38,SM_FittingType,F38)*24</f>
        <v>0</v>
      </c>
      <c r="P38" s="103" t="str">
        <f t="shared" si="20"/>
        <v/>
      </c>
      <c r="Q38" s="102" t="str">
        <f t="shared" si="21"/>
        <v/>
      </c>
      <c r="R38" s="99">
        <f>(BouthtOut12[[#This Row],[Column4]]*SM_ShopLaborRate)+(BouthtOut12[[#This Row],[Column6]]*SM_FieldLaborRate)</f>
        <v>0</v>
      </c>
      <c r="S38" s="102" t="str">
        <f t="shared" si="22"/>
        <v/>
      </c>
      <c r="T38" s="99">
        <f>SUMIFS(SM_MaterialCost,SM_Material,B$35,SM_ServiceType,C38,SM_CutType,D38,SM_BoughtOut,E38,SM_FittingType,F38)</f>
        <v>0</v>
      </c>
      <c r="U38" s="28" t="str">
        <f>IF(L38=0,"",L38/$L$41)</f>
        <v/>
      </c>
      <c r="W38" s="133" t="s">
        <v>91</v>
      </c>
      <c r="X38" s="222">
        <v>1</v>
      </c>
    </row>
    <row r="39" spans="2:30" hidden="1" x14ac:dyDescent="0.3">
      <c r="B39" t="s">
        <v>29</v>
      </c>
      <c r="C39" t="s">
        <v>25</v>
      </c>
      <c r="D39" t="s">
        <v>32</v>
      </c>
      <c r="E39" t="s">
        <v>19</v>
      </c>
      <c r="F39" t="s">
        <v>23</v>
      </c>
      <c r="G39" s="56">
        <f>SUMIFS(SM_Weight,SM_Material,B$35,SM_ServiceType,C39,SM_CutType,D39,SM_BoughtOut,E39,SM_FittingType,F39)</f>
        <v>0</v>
      </c>
      <c r="H39" s="54" t="str">
        <f t="shared" si="17"/>
        <v/>
      </c>
      <c r="I39" s="42">
        <f>SUMIFS(SM_Length,SM_Material,B$35,SM_ServiceType,C39,SM_CutType,D39,SM_BoughtOut,E39,SM_FittingType,F39)</f>
        <v>0</v>
      </c>
      <c r="J39" s="56">
        <f>SUMIFS(SM_Area,SM_Material,B$35,SM_ServiceType,C39,SM_CutType,D39,SM_BoughtOut,E39,SM_FittingType,F39)</f>
        <v>0</v>
      </c>
      <c r="K39" s="54" t="str">
        <f t="shared" si="18"/>
        <v/>
      </c>
      <c r="L39" s="7">
        <f>SUMIFS(SM_Qty,SM_Material,B$35,SM_ServiceType,C39,SM_CutType,D39,SM_BoughtOut,E39,SM_FittingType,F39)</f>
        <v>0</v>
      </c>
      <c r="M39" s="99">
        <f>SUMIFS(SM_Ftime,SM_Material,B$35,SM_ServiceType,C39,SM_CutType,D39,SM_BoughtOut,E39,SM_FittingType,F39)*24</f>
        <v>0</v>
      </c>
      <c r="N39" s="103" t="str">
        <f t="shared" si="19"/>
        <v/>
      </c>
      <c r="O39" s="99">
        <f>SUMIFS(SM_Etime,SM_Material,B$35,SM_ServiceType,C39,SM_CutType,D39,SM_BoughtOut,E39,SM_FittingType,F39)*24</f>
        <v>0</v>
      </c>
      <c r="P39" s="103" t="str">
        <f t="shared" si="20"/>
        <v/>
      </c>
      <c r="Q39" s="102" t="str">
        <f t="shared" si="21"/>
        <v/>
      </c>
      <c r="R39" s="99">
        <f>(BouthtOut12[[#This Row],[Column4]]*SM_ShopLaborRate)+(BouthtOut12[[#This Row],[Column6]]*SM_FieldLaborRate)</f>
        <v>0</v>
      </c>
      <c r="S39" s="102" t="str">
        <f t="shared" si="22"/>
        <v/>
      </c>
      <c r="T39" s="99">
        <f>SUMIFS(SM_MaterialCost,SM_Material,B$35,SM_ServiceType,C39,SM_CutType,D39,SM_BoughtOut,E39,SM_FittingType,F39)</f>
        <v>0</v>
      </c>
      <c r="U39" s="28" t="str">
        <f>IF(L39=0,"",L39/$L$41)</f>
        <v/>
      </c>
    </row>
    <row r="40" spans="2:30" hidden="1" x14ac:dyDescent="0.3">
      <c r="B40" t="s">
        <v>30</v>
      </c>
      <c r="C40" t="s">
        <v>25</v>
      </c>
      <c r="D40" t="s">
        <v>32</v>
      </c>
      <c r="E40" t="s">
        <v>19</v>
      </c>
      <c r="F40" t="s">
        <v>18</v>
      </c>
      <c r="G40" s="56">
        <f>SUMIFS(SM_Weight,SM_Material,B$35,SM_ServiceType,C40,SM_CutType,D40,SM_BoughtOut,E40,SM_FittingType,F40)</f>
        <v>0</v>
      </c>
      <c r="H40" s="54" t="str">
        <f t="shared" si="17"/>
        <v/>
      </c>
      <c r="I40" s="42">
        <f>SUMIFS(SM_Length,SM_Material,B$35,SM_ServiceType,C40,SM_CutType,D40,SM_BoughtOut,E40,SM_FittingType,F40)</f>
        <v>0</v>
      </c>
      <c r="J40" s="56">
        <f>SUMIFS(SM_Area,SM_Material,B$35,SM_ServiceType,C40,SM_CutType,D40,SM_BoughtOut,E40,SM_FittingType,F40)</f>
        <v>0</v>
      </c>
      <c r="K40" s="54" t="str">
        <f t="shared" si="18"/>
        <v/>
      </c>
      <c r="L40" s="7">
        <f>SUMIFS(SM_Qty,SM_Material,B$35,SM_ServiceType,C40,SM_CutType,D40,SM_BoughtOut,E40,SM_FittingType,F40)</f>
        <v>0</v>
      </c>
      <c r="M40" s="99">
        <f>SUMIFS(SM_Ftime,SM_Material,B$35,SM_ServiceType,C40,SM_CutType,D40,SM_BoughtOut,E40,SM_FittingType,F40)*24</f>
        <v>0</v>
      </c>
      <c r="N40" s="103" t="str">
        <f t="shared" si="19"/>
        <v/>
      </c>
      <c r="O40" s="99">
        <f>SUMIFS(SM_Etime,SM_Material,B$35,SM_ServiceType,C40,SM_CutType,D40,SM_BoughtOut,E40,SM_FittingType,F40)*24</f>
        <v>0</v>
      </c>
      <c r="P40" s="103" t="str">
        <f t="shared" si="20"/>
        <v/>
      </c>
      <c r="Q40" s="102" t="str">
        <f t="shared" si="21"/>
        <v/>
      </c>
      <c r="R40" s="99">
        <f>(BouthtOut12[[#This Row],[Column4]]*SM_ShopLaborRate)+(BouthtOut12[[#This Row],[Column6]]*SM_FieldLaborRate)</f>
        <v>0</v>
      </c>
      <c r="S40" s="102" t="str">
        <f t="shared" si="22"/>
        <v/>
      </c>
      <c r="T40" s="99">
        <f>SUMIFS(SM_MaterialCost,SM_Material,B$35,SM_ServiceType,C40,SM_CutType,D40,SM_BoughtOut,E40,SM_FittingType,F40)</f>
        <v>0</v>
      </c>
      <c r="U40" s="28" t="str">
        <f>IF(L40=0,"",L40/$L$41)</f>
        <v/>
      </c>
    </row>
    <row r="41" spans="2:30" hidden="1" x14ac:dyDescent="0.3">
      <c r="B41" t="str">
        <f>IF(SUM(X36:X38)&gt;3,"Total w/Multiplier","Total")</f>
        <v>Total</v>
      </c>
      <c r="G41" s="56">
        <f>SUBTOTAL(109,BouthtOut12[Weight (lbs)])</f>
        <v>0</v>
      </c>
      <c r="H41" s="54" t="str">
        <f t="shared" si="17"/>
        <v/>
      </c>
      <c r="I41" s="42">
        <f>SUBTOTAL(109,BouthtOut12[Length (ft)])</f>
        <v>0</v>
      </c>
      <c r="J41" s="56">
        <f>SUBTOTAL(109,BouthtOut12[Area (SqFt)])</f>
        <v>0</v>
      </c>
      <c r="K41" s="110" t="str">
        <f t="shared" si="18"/>
        <v/>
      </c>
      <c r="L41" s="7">
        <f>SUBTOTAL(109,BouthtOut12[Pieces])</f>
        <v>0</v>
      </c>
      <c r="M41" s="100">
        <f>SUBTOTAL(109,BouthtOut12[Column4])*X36</f>
        <v>0</v>
      </c>
      <c r="N41" s="111" t="str">
        <f t="shared" si="19"/>
        <v/>
      </c>
      <c r="O41" s="100">
        <f>SUBTOTAL(109,BouthtOut12[Column6])*X37</f>
        <v>0</v>
      </c>
      <c r="P41" s="103" t="str">
        <f t="shared" si="20"/>
        <v/>
      </c>
      <c r="Q41" s="102" t="str">
        <f t="shared" si="21"/>
        <v/>
      </c>
      <c r="R41" s="100">
        <f>SUBTOTAL(109,BouthtOut12[Column8])</f>
        <v>0</v>
      </c>
      <c r="S41" s="102" t="str">
        <f t="shared" si="22"/>
        <v/>
      </c>
      <c r="T41" s="100">
        <f>SUBTOTAL(109,BouthtOut12[Column10])*X38</f>
        <v>0</v>
      </c>
      <c r="U41" s="28">
        <f>SUBTOTAL(109,BouthtOut12[Column11])</f>
        <v>0</v>
      </c>
      <c r="V41"/>
      <c r="W41"/>
      <c r="X41"/>
    </row>
    <row r="42" spans="2:30" hidden="1" x14ac:dyDescent="0.3"/>
    <row r="43" spans="2:30" ht="23.4" hidden="1" x14ac:dyDescent="0.45">
      <c r="B43" s="6" t="s">
        <v>31</v>
      </c>
    </row>
    <row r="44" spans="2:30" ht="18" hidden="1" x14ac:dyDescent="0.35">
      <c r="B44" s="12">
        <f>Lists!A4</f>
        <v>0</v>
      </c>
      <c r="C44" s="13"/>
      <c r="D44" s="13"/>
      <c r="E44" s="13"/>
      <c r="F44" s="13"/>
      <c r="G44" s="105" t="s">
        <v>86</v>
      </c>
      <c r="H44" s="106"/>
      <c r="I44" s="107" t="s">
        <v>87</v>
      </c>
      <c r="J44" s="108" t="s">
        <v>88</v>
      </c>
      <c r="K44" s="109"/>
      <c r="L44" s="23" t="s">
        <v>89</v>
      </c>
      <c r="M44" s="57" t="s">
        <v>53</v>
      </c>
      <c r="N44" s="59"/>
      <c r="O44" s="57" t="s">
        <v>54</v>
      </c>
      <c r="P44" s="59"/>
      <c r="Q44" s="101"/>
      <c r="R44" s="104" t="s">
        <v>12</v>
      </c>
      <c r="S44" s="101"/>
      <c r="T44" s="104" t="s">
        <v>13</v>
      </c>
      <c r="U44" s="104" t="s">
        <v>85</v>
      </c>
      <c r="V44"/>
      <c r="W44" s="129" t="s">
        <v>92</v>
      </c>
      <c r="X44" s="130"/>
      <c r="AA44" s="30"/>
      <c r="AB44"/>
    </row>
    <row r="45" spans="2:30" ht="15.6" hidden="1" x14ac:dyDescent="0.3">
      <c r="B45" t="s">
        <v>26</v>
      </c>
      <c r="C45" t="s">
        <v>21</v>
      </c>
      <c r="D45" t="s">
        <v>24</v>
      </c>
      <c r="E45" t="s">
        <v>20</v>
      </c>
      <c r="F45" t="s">
        <v>23</v>
      </c>
      <c r="G45" s="56">
        <f>SUMIFS(SM_Weight,SM_Material,B$44,SM_ServiceType,C45,SM_CutType,D45,SM_BoughtOut,E45,SM_FittingType,F45)</f>
        <v>0</v>
      </c>
      <c r="H45" s="54" t="str">
        <f t="shared" ref="H45:H50" si="23">IF(G45=0,"","lbs")</f>
        <v/>
      </c>
      <c r="I45" s="42">
        <f>SUMIFS(SM_Length,SM_Material,B$44,SM_ServiceType,C45,SM_CutType,D45,SM_BoughtOut,E45,SM_FittingType,F45)</f>
        <v>0</v>
      </c>
      <c r="J45" s="56">
        <f>SUMIFS(SM_Area,SM_Material,B$44,SM_ServiceType,C45,SM_CutType,D45,SM_BoughtOut,E45,SM_FittingType,F45)</f>
        <v>0</v>
      </c>
      <c r="K45" s="54" t="str">
        <f t="shared" ref="K45:K50" si="24">IF(J45=0,"","ft²")</f>
        <v/>
      </c>
      <c r="L45" s="7">
        <f>SUMIFS(SM_Qty,SM_Material,B$44,SM_ServiceType,C45,SM_CutType,D45,SM_BoughtOut,E45,SM_FittingType,F45)</f>
        <v>0</v>
      </c>
      <c r="M45" s="99">
        <f>SUMIFS(SM_Ftime,SM_Material,B$44,SM_ServiceType,C45,SM_CutType,D45,SM_BoughtOut,E45,SM_FittingType,F45)*24</f>
        <v>0</v>
      </c>
      <c r="N45" s="103" t="str">
        <f t="shared" ref="N45:N50" si="25">IF(M45=0,"","hrs")</f>
        <v/>
      </c>
      <c r="O45" s="99">
        <f>SUMIFS(SM_Etime,SM_Material,B$44,SM_ServiceType,C45,SM_CutType,D45,SM_BoughtOut,E45,SM_FittingType,F45)*24</f>
        <v>0</v>
      </c>
      <c r="P45" s="103" t="str">
        <f t="shared" ref="P45:P50" si="26">IF(O45=0,"","hrs")</f>
        <v/>
      </c>
      <c r="Q45" s="102" t="str">
        <f t="shared" ref="Q45:Q50" si="27">IF(R45=0,"","$")</f>
        <v/>
      </c>
      <c r="R45" s="99">
        <f>(Fabricated159[[#This Row],[Column5]]*SM_ShopLaborRate)+(Fabricated159[[#This Row],[Column7]]*SM_FieldLaborRate)</f>
        <v>0</v>
      </c>
      <c r="S45" s="102" t="str">
        <f t="shared" ref="S45:S50" si="28">IF(T45=0,"","$")</f>
        <v/>
      </c>
      <c r="T45" s="99">
        <f>SUMIFS(SM_MaterialCost,SM_Material,B$44,SM_ServiceType,C45,SM_CutType,D45,SM_BoughtOut,E45,SM_FittingType,F45)</f>
        <v>0</v>
      </c>
      <c r="U45" s="28" t="str">
        <f>IF(L45=0,"",L45/$L$32)</f>
        <v/>
      </c>
      <c r="V45"/>
      <c r="W45" s="131" t="s">
        <v>39</v>
      </c>
      <c r="X45" s="220">
        <v>1</v>
      </c>
      <c r="Y45" s="30"/>
      <c r="AB45" s="8"/>
      <c r="AC45" s="31"/>
      <c r="AD45" s="30"/>
    </row>
    <row r="46" spans="2:30" ht="15.6" hidden="1" x14ac:dyDescent="0.3">
      <c r="B46" t="s">
        <v>27</v>
      </c>
      <c r="C46" t="s">
        <v>21</v>
      </c>
      <c r="D46" t="s">
        <v>22</v>
      </c>
      <c r="E46" t="s">
        <v>20</v>
      </c>
      <c r="F46" t="s">
        <v>23</v>
      </c>
      <c r="G46" s="56">
        <f>SUMIFS(SM_Weight,SM_Material,B$44,SM_ServiceType,C46,SM_CutType,D46,SM_BoughtOut,E46,SM_FittingType,F46)</f>
        <v>0</v>
      </c>
      <c r="H46" s="54" t="str">
        <f t="shared" si="23"/>
        <v/>
      </c>
      <c r="I46" s="42">
        <f>SUMIFS(SM_Length,SM_Material,B$44,SM_ServiceType,C46,SM_CutType,D46,SM_BoughtOut,E46,SM_FittingType,F46)</f>
        <v>0</v>
      </c>
      <c r="J46" s="56">
        <f>SUMIFS(SM_Area,SM_Material,B$44,SM_ServiceType,C46,SM_CutType,D46,SM_BoughtOut,E46,SM_FittingType,F46)</f>
        <v>0</v>
      </c>
      <c r="K46" s="54" t="str">
        <f t="shared" si="24"/>
        <v/>
      </c>
      <c r="L46" s="7">
        <f>SUMIFS(SM_Qty,SM_Material,B$44,SM_ServiceType,C46,SM_CutType,D46,SM_BoughtOut,E46,SM_FittingType,F46)</f>
        <v>0</v>
      </c>
      <c r="M46" s="99">
        <f>SUMIFS(SM_Ftime,SM_Material,B$44,SM_ServiceType,C46,SM_CutType,D46,SM_BoughtOut,E46,SM_FittingType,F46)*24</f>
        <v>0</v>
      </c>
      <c r="N46" s="103" t="str">
        <f t="shared" si="25"/>
        <v/>
      </c>
      <c r="O46" s="99">
        <f>SUMIFS(SM_Etime,SM_Material,B$44,SM_ServiceType,C46,SM_CutType,D46,SM_BoughtOut,E46,SM_FittingType,F46)*24</f>
        <v>0</v>
      </c>
      <c r="P46" s="103" t="str">
        <f t="shared" si="26"/>
        <v/>
      </c>
      <c r="Q46" s="102" t="str">
        <f t="shared" si="27"/>
        <v/>
      </c>
      <c r="R46" s="99">
        <f>(Fabricated159[[#This Row],[Column5]]*SM_ShopLaborRate)+(Fabricated159[[#This Row],[Column7]]*SM_FieldLaborRate)</f>
        <v>0</v>
      </c>
      <c r="S46" s="102" t="str">
        <f t="shared" si="28"/>
        <v/>
      </c>
      <c r="T46" s="99">
        <f>SUMIFS(SM_MaterialCost,SM_Material,B$44,SM_ServiceType,C46,SM_CutType,D46,SM_BoughtOut,E46,SM_FittingType,F46)</f>
        <v>0</v>
      </c>
      <c r="U46" s="28" t="str">
        <f>IF(L46=0,"",L46/$L$32)</f>
        <v/>
      </c>
      <c r="V46"/>
      <c r="W46" s="132" t="s">
        <v>40</v>
      </c>
      <c r="X46" s="221">
        <v>1</v>
      </c>
      <c r="Y46" s="30"/>
      <c r="AB46" s="8"/>
      <c r="AC46" s="31"/>
      <c r="AD46" s="30"/>
    </row>
    <row r="47" spans="2:30" ht="15.6" hidden="1" x14ac:dyDescent="0.3">
      <c r="B47" t="s">
        <v>28</v>
      </c>
      <c r="C47" t="s">
        <v>21</v>
      </c>
      <c r="D47" t="s">
        <v>22</v>
      </c>
      <c r="E47" t="s">
        <v>20</v>
      </c>
      <c r="F47" t="s">
        <v>18</v>
      </c>
      <c r="G47" s="56">
        <f>SUMIFS(SM_Weight,SM_Material,B$44,SM_ServiceType,C47,SM_CutType,D47,SM_BoughtOut,E47,SM_FittingType,F47)</f>
        <v>0</v>
      </c>
      <c r="H47" s="54" t="str">
        <f t="shared" si="23"/>
        <v/>
      </c>
      <c r="I47" s="42">
        <f>SUMIFS(SM_Length,SM_Material,B$44,SM_ServiceType,C47,SM_CutType,D47,SM_BoughtOut,E47,SM_FittingType,F47)</f>
        <v>0</v>
      </c>
      <c r="J47" s="56">
        <f>SUMIFS(SM_Area,SM_Material,B$44,SM_ServiceType,C47,SM_CutType,D47,SM_BoughtOut,E47,SM_FittingType,F47)</f>
        <v>0</v>
      </c>
      <c r="K47" s="54" t="str">
        <f t="shared" si="24"/>
        <v/>
      </c>
      <c r="L47" s="7">
        <f>SUMIFS(SM_Qty,SM_Material,B$44,SM_ServiceType,C47,SM_CutType,D47,SM_BoughtOut,E47,SM_FittingType,F47)</f>
        <v>0</v>
      </c>
      <c r="M47" s="99">
        <f>SUMIFS(SM_Ftime,SM_Material,B$44,SM_ServiceType,C47,SM_CutType,D47,SM_BoughtOut,E47,SM_FittingType,F47)*24</f>
        <v>0</v>
      </c>
      <c r="N47" s="103" t="str">
        <f t="shared" si="25"/>
        <v/>
      </c>
      <c r="O47" s="99">
        <f>SUMIFS(SM_Etime,SM_Material,B$44,SM_ServiceType,C47,SM_CutType,D47,SM_BoughtOut,E47,SM_FittingType,F47)*24</f>
        <v>0</v>
      </c>
      <c r="P47" s="103" t="str">
        <f t="shared" si="26"/>
        <v/>
      </c>
      <c r="Q47" s="102" t="str">
        <f t="shared" si="27"/>
        <v/>
      </c>
      <c r="R47" s="99">
        <f>(Fabricated159[[#This Row],[Column5]]*SM_ShopLaborRate)+(Fabricated159[[#This Row],[Column7]]*SM_FieldLaborRate)</f>
        <v>0</v>
      </c>
      <c r="S47" s="102" t="str">
        <f t="shared" si="28"/>
        <v/>
      </c>
      <c r="T47" s="99">
        <f>SUMIFS(SM_MaterialCost,SM_Material,B$44,SM_ServiceType,C47,SM_CutType,D47,SM_BoughtOut,E47,SM_FittingType,F47)</f>
        <v>0</v>
      </c>
      <c r="U47" s="28" t="str">
        <f>IF(L47=0,"",L47/$L$32)</f>
        <v/>
      </c>
      <c r="V47"/>
      <c r="W47" s="133" t="s">
        <v>91</v>
      </c>
      <c r="X47" s="222">
        <v>1</v>
      </c>
      <c r="Y47" s="30"/>
      <c r="AB47" s="8"/>
      <c r="AC47" s="31"/>
      <c r="AD47" s="30"/>
    </row>
    <row r="48" spans="2:30" ht="15.6" hidden="1" x14ac:dyDescent="0.3">
      <c r="B48" t="s">
        <v>29</v>
      </c>
      <c r="C48" t="s">
        <v>25</v>
      </c>
      <c r="D48" t="s">
        <v>32</v>
      </c>
      <c r="E48" t="s">
        <v>20</v>
      </c>
      <c r="F48" t="s">
        <v>23</v>
      </c>
      <c r="G48" s="56">
        <f>SUMIFS(SM_Weight,SM_Material,B$44,SM_ServiceType,C48,SM_CutType,D48,SM_BoughtOut,E48,SM_FittingType,F48)</f>
        <v>0</v>
      </c>
      <c r="H48" s="54" t="str">
        <f t="shared" si="23"/>
        <v/>
      </c>
      <c r="I48" s="42">
        <f>SUMIFS(SM_Length,SM_Material,B$44,SM_ServiceType,C48,SM_CutType,D48,SM_BoughtOut,E48,SM_FittingType,F48)</f>
        <v>0</v>
      </c>
      <c r="J48" s="56">
        <f>SUMIFS(SM_Area,SM_Material,B$44,SM_ServiceType,C48,SM_CutType,D48,SM_BoughtOut,E48,SM_FittingType,F48)</f>
        <v>0</v>
      </c>
      <c r="K48" s="54" t="str">
        <f t="shared" si="24"/>
        <v/>
      </c>
      <c r="L48" s="7">
        <f>SUMIFS(SM_Qty,SM_Material,B$44,SM_ServiceType,C48,SM_CutType,D48,SM_BoughtOut,E48,SM_FittingType,F48)</f>
        <v>0</v>
      </c>
      <c r="M48" s="99">
        <f>SUMIFS(SM_Ftime,SM_Material,B$44,SM_ServiceType,C48,SM_CutType,D48,SM_BoughtOut,E48,SM_FittingType,F48)*24</f>
        <v>0</v>
      </c>
      <c r="N48" s="103" t="str">
        <f t="shared" si="25"/>
        <v/>
      </c>
      <c r="O48" s="99">
        <f>SUMIFS(SM_Etime,SM_Material,B$44,SM_ServiceType,C48,SM_CutType,D48,SM_BoughtOut,E48,SM_FittingType,F48)*24</f>
        <v>0</v>
      </c>
      <c r="P48" s="103" t="str">
        <f t="shared" si="26"/>
        <v/>
      </c>
      <c r="Q48" s="102" t="str">
        <f t="shared" si="27"/>
        <v/>
      </c>
      <c r="R48" s="99">
        <f>(Fabricated159[[#This Row],[Column5]]*SM_ShopLaborRate)+(Fabricated159[[#This Row],[Column7]]*SM_FieldLaborRate)</f>
        <v>0</v>
      </c>
      <c r="S48" s="102" t="str">
        <f t="shared" si="28"/>
        <v/>
      </c>
      <c r="T48" s="99">
        <f>SUMIFS(SM_MaterialCost,SM_Material,B$44,SM_ServiceType,C48,SM_CutType,D48,SM_BoughtOut,E48,SM_FittingType,F48)</f>
        <v>0</v>
      </c>
      <c r="U48" s="28" t="str">
        <f>IF(L48=0,"",L48/$L$32)</f>
        <v/>
      </c>
      <c r="V48"/>
      <c r="W48"/>
      <c r="X48"/>
      <c r="Y48" s="30"/>
      <c r="AB48" s="8"/>
      <c r="AC48" s="31"/>
      <c r="AD48" s="30"/>
    </row>
    <row r="49" spans="2:30" ht="15.6" hidden="1" x14ac:dyDescent="0.3">
      <c r="B49" t="s">
        <v>30</v>
      </c>
      <c r="C49" t="s">
        <v>25</v>
      </c>
      <c r="D49" t="s">
        <v>32</v>
      </c>
      <c r="E49" t="s">
        <v>20</v>
      </c>
      <c r="F49" t="s">
        <v>18</v>
      </c>
      <c r="G49" s="56">
        <f>SUMIFS(SM_Weight,SM_Material,B$44,SM_ServiceType,C49,SM_CutType,D49,SM_BoughtOut,E49,SM_FittingType,F49)</f>
        <v>0</v>
      </c>
      <c r="H49" s="54" t="str">
        <f t="shared" si="23"/>
        <v/>
      </c>
      <c r="I49" s="42">
        <f>SUMIFS(SM_Length,SM_Material,B$44,SM_ServiceType,C49,SM_CutType,D49,SM_BoughtOut,E49,SM_FittingType,F49)</f>
        <v>0</v>
      </c>
      <c r="J49" s="56">
        <f>SUMIFS(SM_Area,SM_Material,B$44,SM_ServiceType,C49,SM_CutType,D49,SM_BoughtOut,E49,SM_FittingType,F49)</f>
        <v>0</v>
      </c>
      <c r="K49" s="54" t="str">
        <f t="shared" si="24"/>
        <v/>
      </c>
      <c r="L49" s="7">
        <f>SUMIFS(SM_Qty,SM_Material,B$44,SM_ServiceType,C49,SM_CutType,D49,SM_BoughtOut,E49,SM_FittingType,F49)</f>
        <v>0</v>
      </c>
      <c r="M49" s="99">
        <f>SUMIFS(SM_Ftime,SM_Material,B$44,SM_ServiceType,C49,SM_CutType,D49,SM_BoughtOut,E49,SM_FittingType,F49)*24</f>
        <v>0</v>
      </c>
      <c r="N49" s="103" t="str">
        <f t="shared" si="25"/>
        <v/>
      </c>
      <c r="O49" s="99">
        <f>SUMIFS(SM_Etime,SM_Material,B$44,SM_ServiceType,C49,SM_CutType,D49,SM_BoughtOut,E49,SM_FittingType,F49)*24</f>
        <v>0</v>
      </c>
      <c r="P49" s="103" t="str">
        <f t="shared" si="26"/>
        <v/>
      </c>
      <c r="Q49" s="102" t="str">
        <f t="shared" si="27"/>
        <v/>
      </c>
      <c r="R49" s="99">
        <f>(Fabricated159[[#This Row],[Column5]]*SM_ShopLaborRate)+(Fabricated159[[#This Row],[Column7]]*SM_FieldLaborRate)</f>
        <v>0</v>
      </c>
      <c r="S49" s="102" t="str">
        <f t="shared" si="28"/>
        <v/>
      </c>
      <c r="T49" s="99">
        <f>SUMIFS(SM_MaterialCost,SM_Material,B$44,SM_ServiceType,C49,SM_CutType,D49,SM_BoughtOut,E49,SM_FittingType,F49)</f>
        <v>0</v>
      </c>
      <c r="U49" s="28" t="str">
        <f>IF(L49=0,"",L49/$L$32)</f>
        <v/>
      </c>
      <c r="V49"/>
      <c r="W49"/>
      <c r="X49"/>
      <c r="Y49" s="30"/>
      <c r="AB49" s="8"/>
      <c r="AC49" s="31"/>
      <c r="AD49" s="30"/>
    </row>
    <row r="50" spans="2:30" ht="15.6" hidden="1" x14ac:dyDescent="0.3">
      <c r="B50" t="str">
        <f>IF(SUM(X45:X47)&gt;3,"Total w/Multiplier","Total")</f>
        <v>Total</v>
      </c>
      <c r="G50" s="56">
        <f>SUBTOTAL(109,Fabricated159[Weight (lbs)])</f>
        <v>0</v>
      </c>
      <c r="H50" s="54" t="str">
        <f t="shared" si="23"/>
        <v/>
      </c>
      <c r="I50" s="42">
        <f>SUBTOTAL(109,Fabricated159[Length (ft)])</f>
        <v>0</v>
      </c>
      <c r="J50" s="56">
        <f>SUBTOTAL(109,Fabricated159[Area (SqFt)])</f>
        <v>0</v>
      </c>
      <c r="K50" s="110" t="str">
        <f t="shared" si="24"/>
        <v/>
      </c>
      <c r="L50" s="7">
        <f>SUBTOTAL(109,Fabricated159[Pieces])</f>
        <v>0</v>
      </c>
      <c r="M50" s="100">
        <f>SUBTOTAL(109,Fabricated159[Column5])*X45</f>
        <v>0</v>
      </c>
      <c r="N50" s="111" t="str">
        <f t="shared" si="25"/>
        <v/>
      </c>
      <c r="O50" s="100">
        <f>SUBTOTAL(109,Fabricated159[Column7])*X46</f>
        <v>0</v>
      </c>
      <c r="P50" s="103" t="str">
        <f t="shared" si="26"/>
        <v/>
      </c>
      <c r="Q50" s="102" t="str">
        <f t="shared" si="27"/>
        <v/>
      </c>
      <c r="R50" s="100">
        <f>SUBTOTAL(109,Fabricated159[Column9])</f>
        <v>0</v>
      </c>
      <c r="S50" s="102" t="str">
        <f t="shared" si="28"/>
        <v/>
      </c>
      <c r="T50" s="100">
        <f>SUBTOTAL(109,Fabricated159[Column11])*X47</f>
        <v>0</v>
      </c>
      <c r="U50" s="28">
        <f>SUBTOTAL(109,Fabricated159[Column1])</f>
        <v>0</v>
      </c>
      <c r="V50"/>
      <c r="W50"/>
      <c r="X50"/>
      <c r="Y50" s="30"/>
      <c r="AB50" s="8"/>
      <c r="AC50" s="31"/>
      <c r="AD50" s="30"/>
    </row>
    <row r="51" spans="2:30" hidden="1" x14ac:dyDescent="0.3"/>
    <row r="52" spans="2:30" ht="23.4" hidden="1" x14ac:dyDescent="0.45">
      <c r="B52" s="6" t="s">
        <v>17</v>
      </c>
      <c r="E52" s="15"/>
      <c r="F52" s="40"/>
      <c r="G52"/>
      <c r="H52"/>
      <c r="I52"/>
      <c r="J52"/>
      <c r="K52" s="31"/>
      <c r="L52" s="30"/>
    </row>
    <row r="53" spans="2:30" ht="18" hidden="1" x14ac:dyDescent="0.35">
      <c r="B53" s="12">
        <f>Lists!A4</f>
        <v>0</v>
      </c>
      <c r="C53" s="13"/>
      <c r="D53" s="13"/>
      <c r="E53" s="13"/>
      <c r="F53" s="13"/>
      <c r="G53" s="105" t="s">
        <v>86</v>
      </c>
      <c r="H53" s="106"/>
      <c r="I53" s="107" t="s">
        <v>87</v>
      </c>
      <c r="J53" s="108" t="s">
        <v>88</v>
      </c>
      <c r="K53" s="109"/>
      <c r="L53" s="23" t="s">
        <v>89</v>
      </c>
      <c r="M53" s="57" t="s">
        <v>53</v>
      </c>
      <c r="N53" s="59"/>
      <c r="O53" s="57" t="s">
        <v>54</v>
      </c>
      <c r="P53" s="59"/>
      <c r="Q53" s="101"/>
      <c r="R53" s="104" t="s">
        <v>12</v>
      </c>
      <c r="S53" s="101"/>
      <c r="T53" s="104" t="s">
        <v>13</v>
      </c>
      <c r="U53" s="104" t="s">
        <v>85</v>
      </c>
      <c r="W53" s="129" t="s">
        <v>92</v>
      </c>
      <c r="X53" s="130"/>
    </row>
    <row r="54" spans="2:30" hidden="1" x14ac:dyDescent="0.3">
      <c r="B54" t="s">
        <v>26</v>
      </c>
      <c r="C54" t="s">
        <v>21</v>
      </c>
      <c r="D54" t="s">
        <v>24</v>
      </c>
      <c r="E54" t="s">
        <v>19</v>
      </c>
      <c r="F54" t="s">
        <v>23</v>
      </c>
      <c r="G54" s="56">
        <f>SUMIFS(SM_Weight,SM_Material,B$53,SM_ServiceType,C54,SM_CutType,D54,SM_BoughtOut,E54,SM_FittingType,F54)</f>
        <v>0</v>
      </c>
      <c r="H54" s="54" t="str">
        <f t="shared" ref="H54:H59" si="29">IF(G54=0,"","lbs")</f>
        <v/>
      </c>
      <c r="I54" s="42">
        <f>SUMIFS(SM_Length,SM_Material,B$53,SM_ServiceType,C54,SM_CutType,D54,SM_BoughtOut,E54,SM_FittingType,F54)</f>
        <v>0</v>
      </c>
      <c r="J54" s="56">
        <f>SUMIFS(SM_Area,SM_Material,B$53,SM_ServiceType,C54,SM_CutType,D54,SM_BoughtOut,E54,SM_FittingType,F54)</f>
        <v>0</v>
      </c>
      <c r="K54" s="54" t="str">
        <f t="shared" ref="K54:K59" si="30">IF(J54=0,"","ft²")</f>
        <v/>
      </c>
      <c r="L54" s="7">
        <f>SUMIFS(SM_Qty,SM_Material,B$53,SM_ServiceType,C54,SM_CutType,D54,SM_BoughtOut,E54,SM_FittingType,F54)</f>
        <v>0</v>
      </c>
      <c r="M54" s="99">
        <f>SUMIFS(SM_Ftime,SM_Material,B$53,SM_ServiceType,C54,SM_CutType,D54,SM_BoughtOut,E54,SM_FittingType,F54)*24</f>
        <v>0</v>
      </c>
      <c r="N54" s="103" t="str">
        <f t="shared" ref="N54:N59" si="31">IF(M54=0,"","hrs")</f>
        <v/>
      </c>
      <c r="O54" s="99">
        <f>SUMIFS(SM_Etime,SM_Material,B$53,SM_ServiceType,C54,SM_CutType,D54,SM_BoughtOut,E54,SM_FittingType,F54)*24</f>
        <v>0</v>
      </c>
      <c r="P54" s="103" t="str">
        <f t="shared" ref="P54:P59" si="32">IF(O54=0,"","hrs")</f>
        <v/>
      </c>
      <c r="Q54" s="102" t="str">
        <f t="shared" ref="Q54:Q59" si="33">IF(R54=0,"","$")</f>
        <v/>
      </c>
      <c r="R54" s="99">
        <f>(BouthtOut126[[#This Row],[Column4]]*SM_ShopLaborRate)+(BouthtOut126[[#This Row],[Column6]]*SM_FieldLaborRate)</f>
        <v>0</v>
      </c>
      <c r="S54" s="102" t="str">
        <f t="shared" ref="S54:S59" si="34">IF(T54=0,"","$")</f>
        <v/>
      </c>
      <c r="T54" s="99">
        <f>SUMIFS(SM_MaterialCost,SM_Material,B$53,SM_ServiceType,C54,SM_CutType,D54,SM_BoughtOut,E54,SM_FittingType,F54)</f>
        <v>0</v>
      </c>
      <c r="U54" s="28" t="str">
        <f>IF(L54=0,"",L54/$L$41)</f>
        <v/>
      </c>
      <c r="W54" s="131" t="s">
        <v>39</v>
      </c>
      <c r="X54" s="220">
        <v>1</v>
      </c>
    </row>
    <row r="55" spans="2:30" hidden="1" x14ac:dyDescent="0.3">
      <c r="B55" t="s">
        <v>27</v>
      </c>
      <c r="C55" t="s">
        <v>21</v>
      </c>
      <c r="D55" t="s">
        <v>22</v>
      </c>
      <c r="E55" t="s">
        <v>19</v>
      </c>
      <c r="F55" t="s">
        <v>23</v>
      </c>
      <c r="G55" s="56">
        <f>SUMIFS(SM_Weight,SM_Material,B$53,SM_ServiceType,C55,SM_CutType,D55,SM_BoughtOut,E55,SM_FittingType,F55)</f>
        <v>0</v>
      </c>
      <c r="H55" s="54" t="str">
        <f t="shared" si="29"/>
        <v/>
      </c>
      <c r="I55" s="42">
        <f>SUMIFS(SM_Length,SM_Material,B$53,SM_ServiceType,C55,SM_CutType,D55,SM_BoughtOut,E55,SM_FittingType,F55)</f>
        <v>0</v>
      </c>
      <c r="J55" s="56">
        <f>SUMIFS(SM_Area,SM_Material,B$53,SM_ServiceType,C55,SM_CutType,D55,SM_BoughtOut,E55,SM_FittingType,F55)</f>
        <v>0</v>
      </c>
      <c r="K55" s="54" t="str">
        <f t="shared" si="30"/>
        <v/>
      </c>
      <c r="L55" s="7">
        <f>SUMIFS(SM_Qty,SM_Material,B$53,SM_ServiceType,C55,SM_CutType,D55,SM_BoughtOut,E55,SM_FittingType,F55)</f>
        <v>0</v>
      </c>
      <c r="M55" s="99">
        <f>SUMIFS(SM_Ftime,SM_Material,B$53,SM_ServiceType,C55,SM_CutType,D55,SM_BoughtOut,E55,SM_FittingType,F55)*24</f>
        <v>0</v>
      </c>
      <c r="N55" s="103" t="str">
        <f t="shared" si="31"/>
        <v/>
      </c>
      <c r="O55" s="99">
        <f>SUMIFS(SM_Etime,SM_Material,B$53,SM_ServiceType,C55,SM_CutType,D55,SM_BoughtOut,E55,SM_FittingType,F55)*24</f>
        <v>0</v>
      </c>
      <c r="P55" s="103" t="str">
        <f t="shared" si="32"/>
        <v/>
      </c>
      <c r="Q55" s="102" t="str">
        <f t="shared" si="33"/>
        <v/>
      </c>
      <c r="R55" s="99">
        <f>(BouthtOut126[[#This Row],[Column4]]*SM_ShopLaborRate)+(BouthtOut126[[#This Row],[Column6]]*SM_FieldLaborRate)</f>
        <v>0</v>
      </c>
      <c r="S55" s="102" t="str">
        <f t="shared" si="34"/>
        <v/>
      </c>
      <c r="T55" s="99">
        <f>SUMIFS(SM_MaterialCost,SM_Material,B$53,SM_ServiceType,C55,SM_CutType,D55,SM_BoughtOut,E55,SM_FittingType,F55)</f>
        <v>0</v>
      </c>
      <c r="U55" s="28" t="str">
        <f>IF(L55=0,"",L55/$L$41)</f>
        <v/>
      </c>
      <c r="W55" s="132" t="s">
        <v>40</v>
      </c>
      <c r="X55" s="221">
        <v>1</v>
      </c>
    </row>
    <row r="56" spans="2:30" hidden="1" x14ac:dyDescent="0.3">
      <c r="B56" t="s">
        <v>28</v>
      </c>
      <c r="C56" t="s">
        <v>21</v>
      </c>
      <c r="D56" t="s">
        <v>22</v>
      </c>
      <c r="E56" t="s">
        <v>19</v>
      </c>
      <c r="F56" t="s">
        <v>18</v>
      </c>
      <c r="G56" s="56">
        <f>SUMIFS(SM_Weight,SM_Material,B$53,SM_ServiceType,C56,SM_CutType,D56,SM_BoughtOut,E56,SM_FittingType,F56)</f>
        <v>0</v>
      </c>
      <c r="H56" s="54" t="str">
        <f t="shared" si="29"/>
        <v/>
      </c>
      <c r="I56" s="42">
        <f>SUMIFS(SM_Length,SM_Material,B$53,SM_ServiceType,C56,SM_CutType,D56,SM_BoughtOut,E56,SM_FittingType,F56)</f>
        <v>0</v>
      </c>
      <c r="J56" s="56">
        <f>SUMIFS(SM_Area,SM_Material,B$53,SM_ServiceType,C56,SM_CutType,D56,SM_BoughtOut,E56,SM_FittingType,F56)</f>
        <v>0</v>
      </c>
      <c r="K56" s="54" t="str">
        <f t="shared" si="30"/>
        <v/>
      </c>
      <c r="L56" s="7">
        <f>SUMIFS(SM_Qty,SM_Material,B$53,SM_ServiceType,C56,SM_CutType,D56,SM_BoughtOut,E56,SM_FittingType,F56)</f>
        <v>0</v>
      </c>
      <c r="M56" s="99">
        <f>SUMIFS(SM_Ftime,SM_Material,B$53,SM_ServiceType,C56,SM_CutType,D56,SM_BoughtOut,E56,SM_FittingType,F56)*24</f>
        <v>0</v>
      </c>
      <c r="N56" s="103" t="str">
        <f t="shared" si="31"/>
        <v/>
      </c>
      <c r="O56" s="99">
        <f>SUMIFS(SM_Etime,SM_Material,B$53,SM_ServiceType,C56,SM_CutType,D56,SM_BoughtOut,E56,SM_FittingType,F56)*24</f>
        <v>0</v>
      </c>
      <c r="P56" s="103" t="str">
        <f t="shared" si="32"/>
        <v/>
      </c>
      <c r="Q56" s="102" t="str">
        <f t="shared" si="33"/>
        <v/>
      </c>
      <c r="R56" s="99">
        <f>(BouthtOut126[[#This Row],[Column4]]*SM_ShopLaborRate)+(BouthtOut126[[#This Row],[Column6]]*SM_FieldLaborRate)</f>
        <v>0</v>
      </c>
      <c r="S56" s="102" t="str">
        <f t="shared" si="34"/>
        <v/>
      </c>
      <c r="T56" s="99">
        <f>SUMIFS(SM_MaterialCost,SM_Material,B$53,SM_ServiceType,C56,SM_CutType,D56,SM_BoughtOut,E56,SM_FittingType,F56)</f>
        <v>0</v>
      </c>
      <c r="U56" s="28" t="str">
        <f>IF(L56=0,"",L56/$L$41)</f>
        <v/>
      </c>
      <c r="W56" s="133" t="s">
        <v>91</v>
      </c>
      <c r="X56" s="222">
        <v>1</v>
      </c>
    </row>
    <row r="57" spans="2:30" hidden="1" x14ac:dyDescent="0.3">
      <c r="B57" t="s">
        <v>29</v>
      </c>
      <c r="C57" t="s">
        <v>25</v>
      </c>
      <c r="D57" t="s">
        <v>32</v>
      </c>
      <c r="E57" t="s">
        <v>19</v>
      </c>
      <c r="F57" t="s">
        <v>23</v>
      </c>
      <c r="G57" s="56">
        <f>SUMIFS(SM_Weight,SM_Material,B$53,SM_ServiceType,C57,SM_CutType,D57,SM_BoughtOut,E57,SM_FittingType,F57)</f>
        <v>0</v>
      </c>
      <c r="H57" s="54" t="str">
        <f t="shared" si="29"/>
        <v/>
      </c>
      <c r="I57" s="42">
        <f>SUMIFS(SM_Length,SM_Material,B$53,SM_ServiceType,C57,SM_CutType,D57,SM_BoughtOut,E57,SM_FittingType,F57)</f>
        <v>0</v>
      </c>
      <c r="J57" s="56">
        <f>SUMIFS(SM_Area,SM_Material,B$53,SM_ServiceType,C57,SM_CutType,D57,SM_BoughtOut,E57,SM_FittingType,F57)</f>
        <v>0</v>
      </c>
      <c r="K57" s="54" t="str">
        <f t="shared" si="30"/>
        <v/>
      </c>
      <c r="L57" s="7">
        <f>SUMIFS(SM_Qty,SM_Material,B$53,SM_ServiceType,C57,SM_CutType,D57,SM_BoughtOut,E57,SM_FittingType,F57)</f>
        <v>0</v>
      </c>
      <c r="M57" s="99">
        <f>SUMIFS(SM_Ftime,SM_Material,B$53,SM_ServiceType,C57,SM_CutType,D57,SM_BoughtOut,E57,SM_FittingType,F57)*24</f>
        <v>0</v>
      </c>
      <c r="N57" s="103" t="str">
        <f t="shared" si="31"/>
        <v/>
      </c>
      <c r="O57" s="99">
        <f>SUMIFS(SM_Etime,SM_Material,B$53,SM_ServiceType,C57,SM_CutType,D57,SM_BoughtOut,E57,SM_FittingType,F57)*24</f>
        <v>0</v>
      </c>
      <c r="P57" s="103" t="str">
        <f t="shared" si="32"/>
        <v/>
      </c>
      <c r="Q57" s="102" t="str">
        <f t="shared" si="33"/>
        <v/>
      </c>
      <c r="R57" s="99">
        <f>(BouthtOut126[[#This Row],[Column4]]*SM_ShopLaborRate)+(BouthtOut126[[#This Row],[Column6]]*SM_FieldLaborRate)</f>
        <v>0</v>
      </c>
      <c r="S57" s="102" t="str">
        <f t="shared" si="34"/>
        <v/>
      </c>
      <c r="T57" s="99">
        <f>SUMIFS(SM_MaterialCost,SM_Material,B$53,SM_ServiceType,C57,SM_CutType,D57,SM_BoughtOut,E57,SM_FittingType,F57)</f>
        <v>0</v>
      </c>
      <c r="U57" s="28" t="str">
        <f>IF(L57=0,"",L57/$L$41)</f>
        <v/>
      </c>
    </row>
    <row r="58" spans="2:30" hidden="1" x14ac:dyDescent="0.3">
      <c r="B58" t="s">
        <v>30</v>
      </c>
      <c r="C58" t="s">
        <v>25</v>
      </c>
      <c r="D58" t="s">
        <v>32</v>
      </c>
      <c r="E58" t="s">
        <v>19</v>
      </c>
      <c r="F58" t="s">
        <v>18</v>
      </c>
      <c r="G58" s="56">
        <f>SUMIFS(SM_Weight,SM_Material,B$53,SM_ServiceType,C58,SM_CutType,D58,SM_BoughtOut,E58,SM_FittingType,F58)</f>
        <v>0</v>
      </c>
      <c r="H58" s="54" t="str">
        <f t="shared" si="29"/>
        <v/>
      </c>
      <c r="I58" s="42">
        <f>SUMIFS(SM_Length,SM_Material,B$53,SM_ServiceType,C58,SM_CutType,D58,SM_BoughtOut,E58,SM_FittingType,F58)</f>
        <v>0</v>
      </c>
      <c r="J58" s="56">
        <f>SUMIFS(SM_Area,SM_Material,B$53,SM_ServiceType,C58,SM_CutType,D58,SM_BoughtOut,E58,SM_FittingType,F58)</f>
        <v>0</v>
      </c>
      <c r="K58" s="54" t="str">
        <f t="shared" si="30"/>
        <v/>
      </c>
      <c r="L58" s="7">
        <f>SUMIFS(SM_Qty,SM_Material,B$53,SM_ServiceType,C58,SM_CutType,D58,SM_BoughtOut,E58,SM_FittingType,F58)</f>
        <v>0</v>
      </c>
      <c r="M58" s="99">
        <f>SUMIFS(SM_Ftime,SM_Material,B$53,SM_ServiceType,C58,SM_CutType,D58,SM_BoughtOut,E58,SM_FittingType,F58)*24</f>
        <v>0</v>
      </c>
      <c r="N58" s="103" t="str">
        <f t="shared" si="31"/>
        <v/>
      </c>
      <c r="O58" s="99">
        <f>SUMIFS(SM_Etime,SM_Material,B$53,SM_ServiceType,C58,SM_CutType,D58,SM_BoughtOut,E58,SM_FittingType,F58)*24</f>
        <v>0</v>
      </c>
      <c r="P58" s="103" t="str">
        <f t="shared" si="32"/>
        <v/>
      </c>
      <c r="Q58" s="102" t="str">
        <f t="shared" si="33"/>
        <v/>
      </c>
      <c r="R58" s="99">
        <f>(BouthtOut126[[#This Row],[Column4]]*SM_ShopLaborRate)+(BouthtOut126[[#This Row],[Column6]]*SM_FieldLaborRate)</f>
        <v>0</v>
      </c>
      <c r="S58" s="102" t="str">
        <f t="shared" si="34"/>
        <v/>
      </c>
      <c r="T58" s="99">
        <f>SUMIFS(SM_MaterialCost,SM_Material,B$53,SM_ServiceType,C58,SM_CutType,D58,SM_BoughtOut,E58,SM_FittingType,F58)</f>
        <v>0</v>
      </c>
      <c r="U58" s="28" t="str">
        <f>IF(L58=0,"",L58/$L$41)</f>
        <v/>
      </c>
    </row>
    <row r="59" spans="2:30" hidden="1" x14ac:dyDescent="0.3">
      <c r="B59" t="str">
        <f>IF(SUM(X54:X56)&gt;3,"Total w/Multiplier","Total")</f>
        <v>Total</v>
      </c>
      <c r="G59" s="56">
        <f>SUBTOTAL(109,BouthtOut126[Weight (lbs)])</f>
        <v>0</v>
      </c>
      <c r="H59" s="54" t="str">
        <f t="shared" si="29"/>
        <v/>
      </c>
      <c r="I59" s="42">
        <f>SUBTOTAL(109,BouthtOut126[Length (ft)])</f>
        <v>0</v>
      </c>
      <c r="J59" s="56">
        <f>SUBTOTAL(109,BouthtOut126[Area (SqFt)])</f>
        <v>0</v>
      </c>
      <c r="K59" s="110" t="str">
        <f t="shared" si="30"/>
        <v/>
      </c>
      <c r="L59" s="7">
        <f>SUBTOTAL(109,BouthtOut126[Pieces])</f>
        <v>0</v>
      </c>
      <c r="M59" s="100">
        <f>SUBTOTAL(109,BouthtOut126[Column4])*X54</f>
        <v>0</v>
      </c>
      <c r="N59" s="111" t="str">
        <f t="shared" si="31"/>
        <v/>
      </c>
      <c r="O59" s="100">
        <f>SUBTOTAL(109,BouthtOut126[Column6])*X55</f>
        <v>0</v>
      </c>
      <c r="P59" s="103" t="str">
        <f t="shared" si="32"/>
        <v/>
      </c>
      <c r="Q59" s="102" t="str">
        <f t="shared" si="33"/>
        <v/>
      </c>
      <c r="R59" s="100">
        <f>SUBTOTAL(109,BouthtOut126[Column8])</f>
        <v>0</v>
      </c>
      <c r="S59" s="102" t="str">
        <f t="shared" si="34"/>
        <v/>
      </c>
      <c r="T59" s="100">
        <f>SUBTOTAL(109,BouthtOut126[Column10])*X56</f>
        <v>0</v>
      </c>
      <c r="U59" s="28">
        <f>SUBTOTAL(109,BouthtOut126[Column11])</f>
        <v>0</v>
      </c>
      <c r="V59"/>
      <c r="W59"/>
      <c r="X59"/>
    </row>
    <row r="60" spans="2:30" hidden="1" x14ac:dyDescent="0.3"/>
    <row r="61" spans="2:30" ht="23.4" hidden="1" x14ac:dyDescent="0.45">
      <c r="B61" s="6" t="s">
        <v>31</v>
      </c>
    </row>
    <row r="62" spans="2:30" ht="18" hidden="1" x14ac:dyDescent="0.35">
      <c r="B62" s="12">
        <f>Lists!A5</f>
        <v>0</v>
      </c>
      <c r="C62" s="13"/>
      <c r="D62" s="13"/>
      <c r="E62" s="13"/>
      <c r="F62" s="13"/>
      <c r="G62" s="105" t="s">
        <v>86</v>
      </c>
      <c r="H62" s="106"/>
      <c r="I62" s="107" t="s">
        <v>87</v>
      </c>
      <c r="J62" s="108" t="s">
        <v>88</v>
      </c>
      <c r="K62" s="109"/>
      <c r="L62" s="23" t="s">
        <v>89</v>
      </c>
      <c r="M62" s="57" t="s">
        <v>53</v>
      </c>
      <c r="N62" s="59"/>
      <c r="O62" s="57" t="s">
        <v>54</v>
      </c>
      <c r="P62" s="59"/>
      <c r="Q62" s="101"/>
      <c r="R62" s="104" t="s">
        <v>12</v>
      </c>
      <c r="S62" s="101"/>
      <c r="T62" s="104" t="s">
        <v>13</v>
      </c>
      <c r="U62" s="104" t="s">
        <v>85</v>
      </c>
      <c r="V62"/>
      <c r="W62" s="129" t="s">
        <v>92</v>
      </c>
      <c r="X62" s="130"/>
      <c r="AA62" s="30"/>
      <c r="AB62"/>
    </row>
    <row r="63" spans="2:30" ht="15.6" hidden="1" x14ac:dyDescent="0.3">
      <c r="B63" t="s">
        <v>26</v>
      </c>
      <c r="C63" t="s">
        <v>21</v>
      </c>
      <c r="D63" t="s">
        <v>24</v>
      </c>
      <c r="E63" t="s">
        <v>20</v>
      </c>
      <c r="F63" t="s">
        <v>23</v>
      </c>
      <c r="G63" s="56">
        <f>SUMIFS(SM_Weight,SM_Material,B$62,SM_ServiceType,C63,SM_CutType,D63,SM_BoughtOut,E63,SM_FittingType,F63)</f>
        <v>0</v>
      </c>
      <c r="H63" s="54" t="str">
        <f t="shared" ref="H63:H68" si="35">IF(G63=0,"","lbs")</f>
        <v/>
      </c>
      <c r="I63" s="42">
        <f>SUMIFS(SM_Length,SM_Material,B$62,SM_ServiceType,C63,SM_CutType,D63,SM_BoughtOut,E63,SM_FittingType,F63)</f>
        <v>0</v>
      </c>
      <c r="J63" s="56">
        <f>SUMIFS(SM_Area,SM_Material,B$62,SM_ServiceType,C63,SM_CutType,D63,SM_BoughtOut,E63,SM_FittingType,F63)</f>
        <v>0</v>
      </c>
      <c r="K63" s="54" t="str">
        <f t="shared" ref="K63:K68" si="36">IF(J63=0,"","ft²")</f>
        <v/>
      </c>
      <c r="L63" s="7">
        <f>SUMIFS(SM_Qty,SM_Material,B$62,SM_ServiceType,C63,SM_CutType,D63,SM_BoughtOut,E63,SM_FittingType,F63)</f>
        <v>0</v>
      </c>
      <c r="M63" s="99">
        <f>SUMIFS(SM_Ftime,SM_Material,B$62,SM_ServiceType,C63,SM_CutType,D63,SM_BoughtOut,E63,SM_FittingType,F63)*24</f>
        <v>0</v>
      </c>
      <c r="N63" s="103" t="str">
        <f t="shared" ref="N63:N68" si="37">IF(M63=0,"","hrs")</f>
        <v/>
      </c>
      <c r="O63" s="99">
        <f>SUMIFS(SM_Etime,SM_Material,B$62,SM_ServiceType,C63,SM_CutType,D63,SM_BoughtOut,E63,SM_FittingType,F63)*24</f>
        <v>0</v>
      </c>
      <c r="P63" s="103" t="str">
        <f t="shared" ref="P63:P68" si="38">IF(O63=0,"","hrs")</f>
        <v/>
      </c>
      <c r="Q63" s="102" t="str">
        <f t="shared" ref="Q63:Q68" si="39">IF(R63=0,"","$")</f>
        <v/>
      </c>
      <c r="R63" s="99">
        <f>(Fabricated15911[[#This Row],[Column5]]*SM_ShopLaborRate)+(Fabricated15911[[#This Row],[Column7]]*SM_FieldLaborRate)</f>
        <v>0</v>
      </c>
      <c r="S63" s="102" t="str">
        <f t="shared" ref="S63:S68" si="40">IF(T63=0,"","$")</f>
        <v/>
      </c>
      <c r="T63" s="99">
        <f>SUMIFS(SM_MaterialCost,SM_Material,B$53,SM_ServiceType,C63,SM_CutType,D63,SM_BoughtOut,E63,SM_FittingType,F63)</f>
        <v>0</v>
      </c>
      <c r="U63" s="28" t="str">
        <f>IF(L63=0,"",L63/$L$32)</f>
        <v/>
      </c>
      <c r="V63"/>
      <c r="W63" s="131" t="s">
        <v>39</v>
      </c>
      <c r="X63" s="220">
        <v>1</v>
      </c>
      <c r="Y63" s="30"/>
      <c r="AB63" s="8"/>
      <c r="AC63" s="31"/>
      <c r="AD63" s="30"/>
    </row>
    <row r="64" spans="2:30" ht="15.6" hidden="1" x14ac:dyDescent="0.3">
      <c r="B64" t="s">
        <v>27</v>
      </c>
      <c r="C64" t="s">
        <v>21</v>
      </c>
      <c r="D64" t="s">
        <v>22</v>
      </c>
      <c r="E64" t="s">
        <v>20</v>
      </c>
      <c r="F64" t="s">
        <v>23</v>
      </c>
      <c r="G64" s="56">
        <f>SUMIFS(SM_Weight,SM_Material,B$62,SM_ServiceType,C64,SM_CutType,D64,SM_BoughtOut,E64,SM_FittingType,F64)</f>
        <v>0</v>
      </c>
      <c r="H64" s="54" t="str">
        <f t="shared" si="35"/>
        <v/>
      </c>
      <c r="I64" s="42">
        <f>SUMIFS(SM_Length,SM_Material,B$62,SM_ServiceType,C64,SM_CutType,D64,SM_BoughtOut,E64,SM_FittingType,F64)</f>
        <v>0</v>
      </c>
      <c r="J64" s="56">
        <f>SUMIFS(SM_Area,SM_Material,B$62,SM_ServiceType,C64,SM_CutType,D64,SM_BoughtOut,E64,SM_FittingType,F64)</f>
        <v>0</v>
      </c>
      <c r="K64" s="54" t="str">
        <f t="shared" si="36"/>
        <v/>
      </c>
      <c r="L64" s="7">
        <f>SUMIFS(SM_Qty,SM_Material,B$62,SM_ServiceType,C64,SM_CutType,D64,SM_BoughtOut,E64,SM_FittingType,F64)</f>
        <v>0</v>
      </c>
      <c r="M64" s="99">
        <f>SUMIFS(SM_Ftime,SM_Material,B$62,SM_ServiceType,C64,SM_CutType,D64,SM_BoughtOut,E64,SM_FittingType,F64)*24</f>
        <v>0</v>
      </c>
      <c r="N64" s="103" t="str">
        <f t="shared" si="37"/>
        <v/>
      </c>
      <c r="O64" s="99">
        <f>SUMIFS(SM_Etime,SM_Material,B$62,SM_ServiceType,C64,SM_CutType,D64,SM_BoughtOut,E64,SM_FittingType,F64)*24</f>
        <v>0</v>
      </c>
      <c r="P64" s="103" t="str">
        <f t="shared" si="38"/>
        <v/>
      </c>
      <c r="Q64" s="102" t="str">
        <f t="shared" si="39"/>
        <v/>
      </c>
      <c r="R64" s="99">
        <f>(Fabricated15911[[#This Row],[Column5]]*SM_ShopLaborRate)+(Fabricated15911[[#This Row],[Column7]]*SM_FieldLaborRate)</f>
        <v>0</v>
      </c>
      <c r="S64" s="102" t="str">
        <f t="shared" si="40"/>
        <v/>
      </c>
      <c r="T64" s="99">
        <f>SUMIFS(SM_MaterialCost,SM_Material,B$53,SM_ServiceType,C64,SM_CutType,D64,SM_BoughtOut,E64,SM_FittingType,F64)</f>
        <v>0</v>
      </c>
      <c r="U64" s="28" t="str">
        <f>IF(L64=0,"",L64/$L$32)</f>
        <v/>
      </c>
      <c r="V64"/>
      <c r="W64" s="132" t="s">
        <v>40</v>
      </c>
      <c r="X64" s="221">
        <v>1</v>
      </c>
      <c r="Y64" s="30"/>
      <c r="AB64" s="8"/>
      <c r="AC64" s="31"/>
      <c r="AD64" s="30"/>
    </row>
    <row r="65" spans="2:30" ht="15.6" hidden="1" x14ac:dyDescent="0.3">
      <c r="B65" t="s">
        <v>28</v>
      </c>
      <c r="C65" t="s">
        <v>21</v>
      </c>
      <c r="D65" t="s">
        <v>22</v>
      </c>
      <c r="E65" t="s">
        <v>20</v>
      </c>
      <c r="F65" t="s">
        <v>18</v>
      </c>
      <c r="G65" s="56">
        <f>SUMIFS(SM_Weight,SM_Material,B$62,SM_ServiceType,C65,SM_CutType,D65,SM_BoughtOut,E65,SM_FittingType,F65)</f>
        <v>0</v>
      </c>
      <c r="H65" s="54" t="str">
        <f t="shared" si="35"/>
        <v/>
      </c>
      <c r="I65" s="42">
        <f>SUMIFS(SM_Length,SM_Material,B$62,SM_ServiceType,C65,SM_CutType,D65,SM_BoughtOut,E65,SM_FittingType,F65)</f>
        <v>0</v>
      </c>
      <c r="J65" s="56">
        <f>SUMIFS(SM_Area,SM_Material,B$62,SM_ServiceType,C65,SM_CutType,D65,SM_BoughtOut,E65,SM_FittingType,F65)</f>
        <v>0</v>
      </c>
      <c r="K65" s="54" t="str">
        <f t="shared" si="36"/>
        <v/>
      </c>
      <c r="L65" s="7">
        <f>SUMIFS(SM_Qty,SM_Material,B$62,SM_ServiceType,C65,SM_CutType,D65,SM_BoughtOut,E65,SM_FittingType,F65)</f>
        <v>0</v>
      </c>
      <c r="M65" s="99">
        <f>SUMIFS(SM_Ftime,SM_Material,B$62,SM_ServiceType,C65,SM_CutType,D65,SM_BoughtOut,E65,SM_FittingType,F65)*24</f>
        <v>0</v>
      </c>
      <c r="N65" s="103" t="str">
        <f t="shared" si="37"/>
        <v/>
      </c>
      <c r="O65" s="99">
        <f>SUMIFS(SM_Etime,SM_Material,B$62,SM_ServiceType,C65,SM_CutType,D65,SM_BoughtOut,E65,SM_FittingType,F65)*24</f>
        <v>0</v>
      </c>
      <c r="P65" s="103" t="str">
        <f t="shared" si="38"/>
        <v/>
      </c>
      <c r="Q65" s="102" t="str">
        <f t="shared" si="39"/>
        <v/>
      </c>
      <c r="R65" s="99">
        <f>(Fabricated15911[[#This Row],[Column5]]*SM_ShopLaborRate)+(Fabricated15911[[#This Row],[Column7]]*SM_FieldLaborRate)</f>
        <v>0</v>
      </c>
      <c r="S65" s="102" t="str">
        <f t="shared" si="40"/>
        <v/>
      </c>
      <c r="T65" s="99">
        <f>SUMIFS(SM_MaterialCost,SM_Material,B$53,SM_ServiceType,C65,SM_CutType,D65,SM_BoughtOut,E65,SM_FittingType,F65)</f>
        <v>0</v>
      </c>
      <c r="U65" s="28" t="str">
        <f>IF(L65=0,"",L65/$L$32)</f>
        <v/>
      </c>
      <c r="V65"/>
      <c r="W65" s="133" t="s">
        <v>91</v>
      </c>
      <c r="X65" s="222">
        <v>1</v>
      </c>
      <c r="Y65" s="30"/>
      <c r="AB65" s="8"/>
      <c r="AC65" s="31"/>
      <c r="AD65" s="30"/>
    </row>
    <row r="66" spans="2:30" ht="15.6" hidden="1" x14ac:dyDescent="0.3">
      <c r="B66" t="s">
        <v>29</v>
      </c>
      <c r="C66" t="s">
        <v>25</v>
      </c>
      <c r="D66" t="s">
        <v>32</v>
      </c>
      <c r="E66" t="s">
        <v>20</v>
      </c>
      <c r="F66" t="s">
        <v>23</v>
      </c>
      <c r="G66" s="56">
        <f>SUMIFS(SM_Weight,SM_Material,B$62,SM_ServiceType,C66,SM_CutType,D66,SM_BoughtOut,E66,SM_FittingType,F66)</f>
        <v>0</v>
      </c>
      <c r="H66" s="54" t="str">
        <f t="shared" si="35"/>
        <v/>
      </c>
      <c r="I66" s="42">
        <f>SUMIFS(SM_Length,SM_Material,B$62,SM_ServiceType,C66,SM_CutType,D66,SM_BoughtOut,E66,SM_FittingType,F66)</f>
        <v>0</v>
      </c>
      <c r="J66" s="56">
        <f>SUMIFS(SM_Area,SM_Material,B$62,SM_ServiceType,C66,SM_CutType,D66,SM_BoughtOut,E66,SM_FittingType,F66)</f>
        <v>0</v>
      </c>
      <c r="K66" s="54" t="str">
        <f t="shared" si="36"/>
        <v/>
      </c>
      <c r="L66" s="7">
        <f>SUMIFS(SM_Qty,SM_Material,B$62,SM_ServiceType,C66,SM_CutType,D66,SM_BoughtOut,E66,SM_FittingType,F66)</f>
        <v>0</v>
      </c>
      <c r="M66" s="99">
        <f>SUMIFS(SM_Ftime,SM_Material,B$62,SM_ServiceType,C66,SM_CutType,D66,SM_BoughtOut,E66,SM_FittingType,F66)*24</f>
        <v>0</v>
      </c>
      <c r="N66" s="103" t="str">
        <f t="shared" si="37"/>
        <v/>
      </c>
      <c r="O66" s="99">
        <f>SUMIFS(SM_Etime,SM_Material,B$62,SM_ServiceType,C66,SM_CutType,D66,SM_BoughtOut,E66,SM_FittingType,F66)*24</f>
        <v>0</v>
      </c>
      <c r="P66" s="103" t="str">
        <f t="shared" si="38"/>
        <v/>
      </c>
      <c r="Q66" s="102" t="str">
        <f t="shared" si="39"/>
        <v/>
      </c>
      <c r="R66" s="99">
        <f>(Fabricated15911[[#This Row],[Column5]]*SM_ShopLaborRate)+(Fabricated15911[[#This Row],[Column7]]*SM_FieldLaborRate)</f>
        <v>0</v>
      </c>
      <c r="S66" s="102" t="str">
        <f t="shared" si="40"/>
        <v/>
      </c>
      <c r="T66" s="99">
        <f>SUMIFS(SM_MaterialCost,SM_Material,B$53,SM_ServiceType,C66,SM_CutType,D66,SM_BoughtOut,E66,SM_FittingType,F66)</f>
        <v>0</v>
      </c>
      <c r="U66" s="28" t="str">
        <f>IF(L66=0,"",L66/$L$32)</f>
        <v/>
      </c>
      <c r="V66"/>
      <c r="W66"/>
      <c r="X66"/>
      <c r="Y66" s="30"/>
      <c r="AB66" s="8"/>
      <c r="AC66" s="31"/>
      <c r="AD66" s="30"/>
    </row>
    <row r="67" spans="2:30" ht="15.6" hidden="1" x14ac:dyDescent="0.3">
      <c r="B67" t="s">
        <v>30</v>
      </c>
      <c r="C67" t="s">
        <v>25</v>
      </c>
      <c r="D67" t="s">
        <v>32</v>
      </c>
      <c r="E67" t="s">
        <v>20</v>
      </c>
      <c r="F67" t="s">
        <v>18</v>
      </c>
      <c r="G67" s="56">
        <f>SUMIFS(SM_Weight,SM_Material,B$62,SM_ServiceType,C67,SM_CutType,D67,SM_BoughtOut,E67,SM_FittingType,F67)</f>
        <v>0</v>
      </c>
      <c r="H67" s="54" t="str">
        <f t="shared" si="35"/>
        <v/>
      </c>
      <c r="I67" s="42">
        <f>SUMIFS(SM_Length,SM_Material,B$62,SM_ServiceType,C67,SM_CutType,D67,SM_BoughtOut,E67,SM_FittingType,F67)</f>
        <v>0</v>
      </c>
      <c r="J67" s="56">
        <f>SUMIFS(SM_Area,SM_Material,B$62,SM_ServiceType,C67,SM_CutType,D67,SM_BoughtOut,E67,SM_FittingType,F67)</f>
        <v>0</v>
      </c>
      <c r="K67" s="54" t="str">
        <f t="shared" si="36"/>
        <v/>
      </c>
      <c r="L67" s="7">
        <f>SUMIFS(SM_Qty,SM_Material,B$62,SM_ServiceType,C67,SM_CutType,D67,SM_BoughtOut,E67,SM_FittingType,F67)</f>
        <v>0</v>
      </c>
      <c r="M67" s="99">
        <f>SUMIFS(SM_Ftime,SM_Material,B$62,SM_ServiceType,C67,SM_CutType,D67,SM_BoughtOut,E67,SM_FittingType,F67)*24</f>
        <v>0</v>
      </c>
      <c r="N67" s="103" t="str">
        <f t="shared" si="37"/>
        <v/>
      </c>
      <c r="O67" s="99">
        <f>SUMIFS(SM_Etime,SM_Material,B$62,SM_ServiceType,C67,SM_CutType,D67,SM_BoughtOut,E67,SM_FittingType,F67)*24</f>
        <v>0</v>
      </c>
      <c r="P67" s="103" t="str">
        <f t="shared" si="38"/>
        <v/>
      </c>
      <c r="Q67" s="102" t="str">
        <f t="shared" si="39"/>
        <v/>
      </c>
      <c r="R67" s="99">
        <f>(Fabricated15911[[#This Row],[Column5]]*SM_ShopLaborRate)+(Fabricated15911[[#This Row],[Column7]]*SM_FieldLaborRate)</f>
        <v>0</v>
      </c>
      <c r="S67" s="102" t="str">
        <f t="shared" si="40"/>
        <v/>
      </c>
      <c r="T67" s="99">
        <f>SUMIFS(SM_MaterialCost,SM_Material,B$53,SM_ServiceType,C67,SM_CutType,D67,SM_BoughtOut,E67,SM_FittingType,F67)</f>
        <v>0</v>
      </c>
      <c r="U67" s="28" t="str">
        <f>IF(L67=0,"",L67/$L$32)</f>
        <v/>
      </c>
      <c r="V67"/>
      <c r="W67"/>
      <c r="X67"/>
      <c r="Y67" s="30"/>
      <c r="AB67" s="8"/>
      <c r="AC67" s="31"/>
      <c r="AD67" s="30"/>
    </row>
    <row r="68" spans="2:30" ht="15.6" hidden="1" x14ac:dyDescent="0.3">
      <c r="B68" t="str">
        <f>IF(SUM(X63:X65)&gt;3,"Total w/Multiplier","Total")</f>
        <v>Total</v>
      </c>
      <c r="G68" s="56">
        <f>SUBTOTAL(109,Fabricated15911[Weight (lbs)])</f>
        <v>0</v>
      </c>
      <c r="H68" s="54" t="str">
        <f t="shared" si="35"/>
        <v/>
      </c>
      <c r="I68" s="42">
        <f>SUBTOTAL(109,Fabricated15911[Length (ft)])</f>
        <v>0</v>
      </c>
      <c r="J68" s="56">
        <f>SUBTOTAL(109,Fabricated15911[Area (SqFt)])</f>
        <v>0</v>
      </c>
      <c r="K68" s="110" t="str">
        <f t="shared" si="36"/>
        <v/>
      </c>
      <c r="L68" s="7">
        <f>SUBTOTAL(109,Fabricated15911[Pieces])</f>
        <v>0</v>
      </c>
      <c r="M68" s="100">
        <f>SUBTOTAL(109,Fabricated15911[Column5])*X63</f>
        <v>0</v>
      </c>
      <c r="N68" s="111" t="str">
        <f t="shared" si="37"/>
        <v/>
      </c>
      <c r="O68" s="100">
        <f>SUBTOTAL(109,Fabricated15911[Column7])*X64</f>
        <v>0</v>
      </c>
      <c r="P68" s="103" t="str">
        <f t="shared" si="38"/>
        <v/>
      </c>
      <c r="Q68" s="102" t="str">
        <f t="shared" si="39"/>
        <v/>
      </c>
      <c r="R68" s="100">
        <f>SUBTOTAL(109,Fabricated15911[Column9])</f>
        <v>0</v>
      </c>
      <c r="S68" s="102" t="str">
        <f t="shared" si="40"/>
        <v/>
      </c>
      <c r="T68" s="100">
        <f>SUBTOTAL(109,Fabricated15911[Column11])*X65</f>
        <v>0</v>
      </c>
      <c r="U68" s="28">
        <f>SUBTOTAL(109,Fabricated15911[Column1])</f>
        <v>0</v>
      </c>
      <c r="V68"/>
      <c r="W68"/>
      <c r="X68"/>
      <c r="Y68" s="30"/>
      <c r="AB68" s="8"/>
      <c r="AC68" s="31"/>
      <c r="AD68" s="30"/>
    </row>
    <row r="69" spans="2:30" hidden="1" x14ac:dyDescent="0.3"/>
    <row r="70" spans="2:30" ht="23.4" hidden="1" x14ac:dyDescent="0.45">
      <c r="B70" s="6" t="s">
        <v>17</v>
      </c>
      <c r="E70" s="15"/>
      <c r="F70" s="40"/>
      <c r="G70"/>
      <c r="H70"/>
      <c r="I70"/>
      <c r="J70"/>
      <c r="K70" s="31"/>
      <c r="L70" s="30"/>
    </row>
    <row r="71" spans="2:30" ht="18" hidden="1" x14ac:dyDescent="0.35">
      <c r="B71" s="12">
        <f>Lists!A5</f>
        <v>0</v>
      </c>
      <c r="C71" s="13"/>
      <c r="D71" s="13"/>
      <c r="E71" s="13"/>
      <c r="F71" s="13"/>
      <c r="G71" s="105" t="s">
        <v>86</v>
      </c>
      <c r="H71" s="106"/>
      <c r="I71" s="107" t="s">
        <v>87</v>
      </c>
      <c r="J71" s="108" t="s">
        <v>88</v>
      </c>
      <c r="K71" s="109"/>
      <c r="L71" s="23" t="s">
        <v>89</v>
      </c>
      <c r="M71" s="57" t="s">
        <v>53</v>
      </c>
      <c r="N71" s="59"/>
      <c r="O71" s="57" t="s">
        <v>54</v>
      </c>
      <c r="P71" s="59"/>
      <c r="Q71" s="101"/>
      <c r="R71" s="104" t="s">
        <v>12</v>
      </c>
      <c r="S71" s="101"/>
      <c r="T71" s="104" t="s">
        <v>13</v>
      </c>
      <c r="U71" s="104" t="s">
        <v>85</v>
      </c>
      <c r="W71" s="129" t="s">
        <v>92</v>
      </c>
      <c r="X71" s="130"/>
    </row>
    <row r="72" spans="2:30" hidden="1" x14ac:dyDescent="0.3">
      <c r="B72" t="s">
        <v>26</v>
      </c>
      <c r="C72" t="s">
        <v>21</v>
      </c>
      <c r="D72" t="s">
        <v>24</v>
      </c>
      <c r="E72" t="s">
        <v>19</v>
      </c>
      <c r="F72" t="s">
        <v>23</v>
      </c>
      <c r="G72" s="56">
        <f>SUMIFS(SM_Weight,SM_Material,B$71,SM_ServiceType,C72,SM_CutType,D72,SM_BoughtOut,E72,SM_FittingType,F72)</f>
        <v>0</v>
      </c>
      <c r="H72" s="54" t="str">
        <f t="shared" ref="H72:H77" si="41">IF(G72=0,"","lbs")</f>
        <v/>
      </c>
      <c r="I72" s="42">
        <f>SUMIFS(SM_Length,SM_Material,B$71,SM_ServiceType,C72,SM_CutType,D72,SM_BoughtOut,E72,SM_FittingType,F72)</f>
        <v>0</v>
      </c>
      <c r="J72" s="56">
        <f>SUMIFS(SM_Area,SM_Material,B$71,SM_ServiceType,C72,SM_CutType,D72,SM_BoughtOut,E72,SM_FittingType,F72)</f>
        <v>0</v>
      </c>
      <c r="K72" s="54" t="str">
        <f t="shared" ref="K72:K77" si="42">IF(J72=0,"","ft²")</f>
        <v/>
      </c>
      <c r="L72" s="7">
        <f>SUMIFS(SM_Qty,SM_Material,B$71,SM_ServiceType,C72,SM_CutType,D72,SM_BoughtOut,E72,SM_FittingType,F72)</f>
        <v>0</v>
      </c>
      <c r="M72" s="99">
        <f>SUMIFS(SM_Ftime,SM_Material,B$71,SM_ServiceType,C72,SM_CutType,D72,SM_BoughtOut,E72,SM_FittingType,F72)*24</f>
        <v>0</v>
      </c>
      <c r="N72" s="103" t="str">
        <f t="shared" ref="N72:N77" si="43">IF(M72=0,"","hrs")</f>
        <v/>
      </c>
      <c r="O72" s="99">
        <f>SUMIFS(SM_Etime,SM_Material,B$71,SM_ServiceType,C72,SM_CutType,D72,SM_BoughtOut,E72,SM_FittingType,F72)*24</f>
        <v>0</v>
      </c>
      <c r="P72" s="103" t="str">
        <f t="shared" ref="P72:P77" si="44">IF(O72=0,"","hrs")</f>
        <v/>
      </c>
      <c r="Q72" s="102" t="str">
        <f t="shared" ref="Q72:Q77" si="45">IF(R72=0,"","$")</f>
        <v/>
      </c>
      <c r="R72" s="99">
        <f>(BouthtOut12610[[#This Row],[Column4]]*SM_ShopLaborRate)+(BouthtOut12610[[#This Row],[Column6]]*SM_FieldLaborRate)</f>
        <v>0</v>
      </c>
      <c r="S72" s="102" t="str">
        <f t="shared" ref="S72:S77" si="46">IF(T72=0,"","$")</f>
        <v/>
      </c>
      <c r="T72" s="99">
        <f>SUMIFS(SM_MaterialCost,SM_Material,B$71,SM_ServiceType,C72,SM_CutType,D72,SM_BoughtOut,E72,SM_FittingType,F72)</f>
        <v>0</v>
      </c>
      <c r="U72" s="28" t="str">
        <f>IF(L72=0,"",L72/$L$41)</f>
        <v/>
      </c>
      <c r="W72" s="131" t="s">
        <v>39</v>
      </c>
      <c r="X72" s="220">
        <v>1</v>
      </c>
    </row>
    <row r="73" spans="2:30" hidden="1" x14ac:dyDescent="0.3">
      <c r="B73" t="s">
        <v>27</v>
      </c>
      <c r="C73" t="s">
        <v>21</v>
      </c>
      <c r="D73" t="s">
        <v>22</v>
      </c>
      <c r="E73" t="s">
        <v>19</v>
      </c>
      <c r="F73" t="s">
        <v>23</v>
      </c>
      <c r="G73" s="56">
        <f>SUMIFS(SM_Weight,SM_Material,B$71,SM_ServiceType,C73,SM_CutType,D73,SM_BoughtOut,E73,SM_FittingType,F73)</f>
        <v>0</v>
      </c>
      <c r="H73" s="54" t="str">
        <f t="shared" si="41"/>
        <v/>
      </c>
      <c r="I73" s="42">
        <f>SUMIFS(SM_Length,SM_Material,B$71,SM_ServiceType,C73,SM_CutType,D73,SM_BoughtOut,E73,SM_FittingType,F73)</f>
        <v>0</v>
      </c>
      <c r="J73" s="56">
        <f>SUMIFS(SM_Area,SM_Material,B$71,SM_ServiceType,C73,SM_CutType,D73,SM_BoughtOut,E73,SM_FittingType,F73)</f>
        <v>0</v>
      </c>
      <c r="K73" s="54" t="str">
        <f t="shared" si="42"/>
        <v/>
      </c>
      <c r="L73" s="7">
        <f>SUMIFS(SM_Qty,SM_Material,B$71,SM_ServiceType,C73,SM_CutType,D73,SM_BoughtOut,E73,SM_FittingType,F73)</f>
        <v>0</v>
      </c>
      <c r="M73" s="99">
        <f>SUMIFS(SM_Ftime,SM_Material,B$71,SM_ServiceType,C73,SM_CutType,D73,SM_BoughtOut,E73,SM_FittingType,F73)*24</f>
        <v>0</v>
      </c>
      <c r="N73" s="103" t="str">
        <f t="shared" si="43"/>
        <v/>
      </c>
      <c r="O73" s="99">
        <f>SUMIFS(SM_Etime,SM_Material,B$71,SM_ServiceType,C73,SM_CutType,D73,SM_BoughtOut,E73,SM_FittingType,F73)*24</f>
        <v>0</v>
      </c>
      <c r="P73" s="103" t="str">
        <f t="shared" si="44"/>
        <v/>
      </c>
      <c r="Q73" s="102" t="str">
        <f t="shared" si="45"/>
        <v/>
      </c>
      <c r="R73" s="99">
        <f>(BouthtOut12610[[#This Row],[Column4]]*SM_ShopLaborRate)+(BouthtOut12610[[#This Row],[Column6]]*SM_FieldLaborRate)</f>
        <v>0</v>
      </c>
      <c r="S73" s="102" t="str">
        <f t="shared" si="46"/>
        <v/>
      </c>
      <c r="T73" s="99">
        <f>SUMIFS(SM_MaterialCost,SM_Material,B$71,SM_ServiceType,C73,SM_CutType,D73,SM_BoughtOut,E73,SM_FittingType,F73)</f>
        <v>0</v>
      </c>
      <c r="U73" s="28" t="str">
        <f>IF(L73=0,"",L73/$L$41)</f>
        <v/>
      </c>
      <c r="W73" s="132" t="s">
        <v>40</v>
      </c>
      <c r="X73" s="221">
        <v>1</v>
      </c>
    </row>
    <row r="74" spans="2:30" hidden="1" x14ac:dyDescent="0.3">
      <c r="B74" t="s">
        <v>28</v>
      </c>
      <c r="C74" t="s">
        <v>21</v>
      </c>
      <c r="D74" t="s">
        <v>22</v>
      </c>
      <c r="E74" t="s">
        <v>19</v>
      </c>
      <c r="F74" t="s">
        <v>18</v>
      </c>
      <c r="G74" s="56">
        <f>SUMIFS(SM_Weight,SM_Material,B$71,SM_ServiceType,C74,SM_CutType,D74,SM_BoughtOut,E74,SM_FittingType,F74)</f>
        <v>0</v>
      </c>
      <c r="H74" s="54" t="str">
        <f t="shared" si="41"/>
        <v/>
      </c>
      <c r="I74" s="42">
        <f>SUMIFS(SM_Length,SM_Material,B$71,SM_ServiceType,C74,SM_CutType,D74,SM_BoughtOut,E74,SM_FittingType,F74)</f>
        <v>0</v>
      </c>
      <c r="J74" s="56">
        <f>SUMIFS(SM_Area,SM_Material,B$71,SM_ServiceType,C74,SM_CutType,D74,SM_BoughtOut,E74,SM_FittingType,F74)</f>
        <v>0</v>
      </c>
      <c r="K74" s="54" t="str">
        <f t="shared" si="42"/>
        <v/>
      </c>
      <c r="L74" s="7">
        <f>SUMIFS(SM_Qty,SM_Material,B$71,SM_ServiceType,C74,SM_CutType,D74,SM_BoughtOut,E74,SM_FittingType,F74)</f>
        <v>0</v>
      </c>
      <c r="M74" s="99">
        <f>SUMIFS(SM_Ftime,SM_Material,B$71,SM_ServiceType,C74,SM_CutType,D74,SM_BoughtOut,E74,SM_FittingType,F74)*24</f>
        <v>0</v>
      </c>
      <c r="N74" s="103" t="str">
        <f t="shared" si="43"/>
        <v/>
      </c>
      <c r="O74" s="99">
        <f>SUMIFS(SM_Etime,SM_Material,B$71,SM_ServiceType,C74,SM_CutType,D74,SM_BoughtOut,E74,SM_FittingType,F74)*24</f>
        <v>0</v>
      </c>
      <c r="P74" s="103" t="str">
        <f t="shared" si="44"/>
        <v/>
      </c>
      <c r="Q74" s="102" t="str">
        <f t="shared" si="45"/>
        <v/>
      </c>
      <c r="R74" s="99">
        <f>(BouthtOut12610[[#This Row],[Column4]]*SM_ShopLaborRate)+(BouthtOut12610[[#This Row],[Column6]]*SM_FieldLaborRate)</f>
        <v>0</v>
      </c>
      <c r="S74" s="102" t="str">
        <f t="shared" si="46"/>
        <v/>
      </c>
      <c r="T74" s="99">
        <f>SUMIFS(SM_MaterialCost,SM_Material,B$71,SM_ServiceType,C74,SM_CutType,D74,SM_BoughtOut,E74,SM_FittingType,F74)</f>
        <v>0</v>
      </c>
      <c r="U74" s="28" t="str">
        <f>IF(L74=0,"",L74/$L$41)</f>
        <v/>
      </c>
      <c r="W74" s="133" t="s">
        <v>91</v>
      </c>
      <c r="X74" s="222">
        <v>1</v>
      </c>
    </row>
    <row r="75" spans="2:30" hidden="1" x14ac:dyDescent="0.3">
      <c r="B75" t="s">
        <v>29</v>
      </c>
      <c r="C75" t="s">
        <v>25</v>
      </c>
      <c r="D75" t="s">
        <v>32</v>
      </c>
      <c r="E75" t="s">
        <v>19</v>
      </c>
      <c r="F75" t="s">
        <v>23</v>
      </c>
      <c r="G75" s="56">
        <f>SUMIFS(SM_Weight,SM_Material,B$71,SM_ServiceType,C75,SM_CutType,D75,SM_BoughtOut,E75,SM_FittingType,F75)</f>
        <v>0</v>
      </c>
      <c r="H75" s="54" t="str">
        <f t="shared" si="41"/>
        <v/>
      </c>
      <c r="I75" s="42">
        <f>SUMIFS(SM_Length,SM_Material,B$71,SM_ServiceType,C75,SM_CutType,D75,SM_BoughtOut,E75,SM_FittingType,F75)</f>
        <v>0</v>
      </c>
      <c r="J75" s="56">
        <f>SUMIFS(SM_Area,SM_Material,B$71,SM_ServiceType,C75,SM_CutType,D75,SM_BoughtOut,E75,SM_FittingType,F75)</f>
        <v>0</v>
      </c>
      <c r="K75" s="54" t="str">
        <f t="shared" si="42"/>
        <v/>
      </c>
      <c r="L75" s="7">
        <f>SUMIFS(SM_Qty,SM_Material,B$71,SM_ServiceType,C75,SM_CutType,D75,SM_BoughtOut,E75,SM_FittingType,F75)</f>
        <v>0</v>
      </c>
      <c r="M75" s="99">
        <f>SUMIFS(SM_Ftime,SM_Material,B$71,SM_ServiceType,C75,SM_CutType,D75,SM_BoughtOut,E75,SM_FittingType,F75)*24</f>
        <v>0</v>
      </c>
      <c r="N75" s="103" t="str">
        <f t="shared" si="43"/>
        <v/>
      </c>
      <c r="O75" s="99">
        <f>SUMIFS(SM_Etime,SM_Material,B$71,SM_ServiceType,C75,SM_CutType,D75,SM_BoughtOut,E75,SM_FittingType,F75)*24</f>
        <v>0</v>
      </c>
      <c r="P75" s="103" t="str">
        <f t="shared" si="44"/>
        <v/>
      </c>
      <c r="Q75" s="102" t="str">
        <f t="shared" si="45"/>
        <v/>
      </c>
      <c r="R75" s="99">
        <f>(BouthtOut12610[[#This Row],[Column4]]*SM_ShopLaborRate)+(BouthtOut12610[[#This Row],[Column6]]*SM_FieldLaborRate)</f>
        <v>0</v>
      </c>
      <c r="S75" s="102" t="str">
        <f t="shared" si="46"/>
        <v/>
      </c>
      <c r="T75" s="99">
        <f>SUMIFS(SM_MaterialCost,SM_Material,B$71,SM_ServiceType,C75,SM_CutType,D75,SM_BoughtOut,E75,SM_FittingType,F75)</f>
        <v>0</v>
      </c>
      <c r="U75" s="28" t="str">
        <f>IF(L75=0,"",L75/$L$41)</f>
        <v/>
      </c>
    </row>
    <row r="76" spans="2:30" hidden="1" x14ac:dyDescent="0.3">
      <c r="B76" t="s">
        <v>30</v>
      </c>
      <c r="C76" t="s">
        <v>25</v>
      </c>
      <c r="D76" t="s">
        <v>32</v>
      </c>
      <c r="E76" t="s">
        <v>19</v>
      </c>
      <c r="F76" t="s">
        <v>18</v>
      </c>
      <c r="G76" s="56">
        <f>SUMIFS(SM_Weight,SM_Material,B$71,SM_ServiceType,C76,SM_CutType,D76,SM_BoughtOut,E76,SM_FittingType,F76)</f>
        <v>0</v>
      </c>
      <c r="H76" s="54" t="str">
        <f t="shared" si="41"/>
        <v/>
      </c>
      <c r="I76" s="42">
        <f>SUMIFS(SM_Length,SM_Material,B$71,SM_ServiceType,C76,SM_CutType,D76,SM_BoughtOut,E76,SM_FittingType,F76)</f>
        <v>0</v>
      </c>
      <c r="J76" s="56">
        <f>SUMIFS(SM_Area,SM_Material,B$71,SM_ServiceType,C76,SM_CutType,D76,SM_BoughtOut,E76,SM_FittingType,F76)</f>
        <v>0</v>
      </c>
      <c r="K76" s="54" t="str">
        <f t="shared" si="42"/>
        <v/>
      </c>
      <c r="L76" s="7">
        <f>SUMIFS(SM_Qty,SM_Material,B$71,SM_ServiceType,C76,SM_CutType,D76,SM_BoughtOut,E76,SM_FittingType,F76)</f>
        <v>0</v>
      </c>
      <c r="M76" s="99">
        <f>SUMIFS(SM_Ftime,SM_Material,B$71,SM_ServiceType,C76,SM_CutType,D76,SM_BoughtOut,E76,SM_FittingType,F76)*24</f>
        <v>0</v>
      </c>
      <c r="N76" s="103" t="str">
        <f t="shared" si="43"/>
        <v/>
      </c>
      <c r="O76" s="99">
        <f>SUMIFS(SM_Etime,SM_Material,B$71,SM_ServiceType,C76,SM_CutType,D76,SM_BoughtOut,E76,SM_FittingType,F76)*24</f>
        <v>0</v>
      </c>
      <c r="P76" s="103" t="str">
        <f t="shared" si="44"/>
        <v/>
      </c>
      <c r="Q76" s="102" t="str">
        <f t="shared" si="45"/>
        <v/>
      </c>
      <c r="R76" s="99">
        <f>(BouthtOut12610[[#This Row],[Column4]]*SM_ShopLaborRate)+(BouthtOut12610[[#This Row],[Column6]]*SM_FieldLaborRate)</f>
        <v>0</v>
      </c>
      <c r="S76" s="102" t="str">
        <f t="shared" si="46"/>
        <v/>
      </c>
      <c r="T76" s="99">
        <f>SUMIFS(SM_MaterialCost,SM_Material,B$71,SM_ServiceType,C76,SM_CutType,D76,SM_BoughtOut,E76,SM_FittingType,F76)</f>
        <v>0</v>
      </c>
      <c r="U76" s="28" t="str">
        <f>IF(L76=0,"",L76/$L$41)</f>
        <v/>
      </c>
    </row>
    <row r="77" spans="2:30" hidden="1" x14ac:dyDescent="0.3">
      <c r="B77" t="str">
        <f>IF(SUM(X72:X74)&gt;3,"Total w/Multiplier","Total")</f>
        <v>Total</v>
      </c>
      <c r="G77" s="56">
        <f>SUBTOTAL(109,BouthtOut12610[Weight (lbs)])</f>
        <v>0</v>
      </c>
      <c r="H77" s="54" t="str">
        <f t="shared" si="41"/>
        <v/>
      </c>
      <c r="I77" s="42">
        <f>SUBTOTAL(109,BouthtOut12610[Length (ft)])</f>
        <v>0</v>
      </c>
      <c r="J77" s="56">
        <f>SUBTOTAL(109,BouthtOut12610[Area (SqFt)])</f>
        <v>0</v>
      </c>
      <c r="K77" s="110" t="str">
        <f t="shared" si="42"/>
        <v/>
      </c>
      <c r="L77" s="7">
        <f>SUBTOTAL(109,BouthtOut12610[Pieces])</f>
        <v>0</v>
      </c>
      <c r="M77" s="100">
        <f>SUBTOTAL(109,BouthtOut12610[Column4])*X72</f>
        <v>0</v>
      </c>
      <c r="N77" s="111" t="str">
        <f t="shared" si="43"/>
        <v/>
      </c>
      <c r="O77" s="100">
        <f>SUBTOTAL(109,BouthtOut12610[Column6])*X73</f>
        <v>0</v>
      </c>
      <c r="P77" s="103" t="str">
        <f t="shared" si="44"/>
        <v/>
      </c>
      <c r="Q77" s="102" t="str">
        <f t="shared" si="45"/>
        <v/>
      </c>
      <c r="R77" s="100">
        <f>SUBTOTAL(109,BouthtOut12610[Column8])</f>
        <v>0</v>
      </c>
      <c r="S77" s="102" t="str">
        <f t="shared" si="46"/>
        <v/>
      </c>
      <c r="T77" s="100">
        <f>SUBTOTAL(109,BouthtOut12610[Column10])*X74</f>
        <v>0</v>
      </c>
      <c r="U77" s="28">
        <f>SUBTOTAL(109,BouthtOut12610[Column11])</f>
        <v>0</v>
      </c>
      <c r="V77"/>
      <c r="W77"/>
      <c r="X77"/>
    </row>
  </sheetData>
  <sheetProtection sheet="1" objects="1" scenarios="1" selectLockedCells="1"/>
  <conditionalFormatting sqref="B50">
    <cfRule type="expression" dxfId="589" priority="8">
      <formula>$B50="Total w/multiplier"</formula>
    </cfRule>
  </conditionalFormatting>
  <conditionalFormatting sqref="B59">
    <cfRule type="expression" dxfId="588" priority="7">
      <formula>$B59="Total w/multiplier"</formula>
    </cfRule>
  </conditionalFormatting>
  <conditionalFormatting sqref="B68">
    <cfRule type="expression" dxfId="587" priority="6">
      <formula>$B68="Total w/multiplier"</formula>
    </cfRule>
  </conditionalFormatting>
  <conditionalFormatting sqref="B77">
    <cfRule type="expression" dxfId="586" priority="5">
      <formula>$B77="Total w/multiplier"</formula>
    </cfRule>
  </conditionalFormatting>
  <conditionalFormatting sqref="B41">
    <cfRule type="expression" dxfId="585" priority="4">
      <formula>$B41="Total w/multiplier"</formula>
    </cfRule>
  </conditionalFormatting>
  <conditionalFormatting sqref="B32">
    <cfRule type="expression" dxfId="584" priority="3">
      <formula>$B32="Total w/multiplier"</formula>
    </cfRule>
  </conditionalFormatting>
  <conditionalFormatting sqref="B23">
    <cfRule type="expression" dxfId="583" priority="2">
      <formula>$B23="Total w/multiplier"</formula>
    </cfRule>
  </conditionalFormatting>
  <conditionalFormatting sqref="B14">
    <cfRule type="expression" dxfId="582" priority="1">
      <formula>$B14="Total w/multiplier"</formula>
    </cfRule>
  </conditionalFormatting>
  <pageMargins left="0.7" right="0.7" top="0.75" bottom="0.75" header="0.3" footer="0.3"/>
  <pageSetup orientation="portrait" r:id="rId1"/>
  <drawing r:id="rId2"/>
  <tableParts count="8"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B1:L202"/>
  <sheetViews>
    <sheetView showGridLines="0" workbookViewId="0">
      <selection activeCell="K9" sqref="K9"/>
    </sheetView>
  </sheetViews>
  <sheetFormatPr defaultRowHeight="14.4" x14ac:dyDescent="0.3"/>
  <cols>
    <col min="1" max="1" width="9.109375" customWidth="1"/>
    <col min="2" max="2" width="40.6640625" customWidth="1"/>
    <col min="3" max="7" width="7.6640625" style="17" customWidth="1"/>
    <col min="8" max="8" width="11.6640625" customWidth="1"/>
    <col min="9" max="9" width="5.6640625" customWidth="1"/>
    <col min="10" max="10" width="10.6640625" style="47" customWidth="1"/>
    <col min="11" max="11" width="6.6640625" style="36" customWidth="1"/>
    <col min="12" max="12" width="8.6640625" style="22" customWidth="1"/>
    <col min="14" max="14" width="18.33203125" customWidth="1"/>
  </cols>
  <sheetData>
    <row r="1" spans="2:12" ht="6" customHeight="1" x14ac:dyDescent="0.3"/>
    <row r="2" spans="2:12" ht="39" customHeight="1" thickBot="1" x14ac:dyDescent="0.45">
      <c r="B2" s="2" t="s">
        <v>96</v>
      </c>
      <c r="C2" s="72"/>
      <c r="D2" s="72"/>
      <c r="E2" s="72"/>
      <c r="F2" s="72"/>
      <c r="G2" s="72"/>
      <c r="H2" s="2"/>
      <c r="I2" s="2"/>
      <c r="J2" s="37"/>
      <c r="K2" s="45"/>
      <c r="L2" s="45"/>
    </row>
    <row r="3" spans="2:12" ht="9" customHeight="1" thickTop="1" x14ac:dyDescent="0.3">
      <c r="J3" s="36"/>
      <c r="K3" s="22"/>
      <c r="L3"/>
    </row>
    <row r="4" spans="2:12" x14ac:dyDescent="0.3">
      <c r="B4" s="3" t="str">
        <f>IF(ProjectName="","",ProjectName)</f>
        <v/>
      </c>
      <c r="C4" s="139"/>
      <c r="D4" s="139"/>
      <c r="E4" s="139"/>
      <c r="F4" s="139"/>
      <c r="G4" s="139"/>
      <c r="J4" s="5" t="s">
        <v>15</v>
      </c>
      <c r="K4" s="119" t="str">
        <f>IF(EstimatorName="","",EstimatorName)</f>
        <v/>
      </c>
      <c r="L4"/>
    </row>
    <row r="5" spans="2:12" ht="15" customHeight="1" x14ac:dyDescent="0.3">
      <c r="B5" s="9" t="str">
        <f>IF(ProjectAddress="","",ProjectAddress)</f>
        <v/>
      </c>
      <c r="C5" s="140"/>
      <c r="D5" s="140"/>
      <c r="E5" s="140"/>
      <c r="F5" s="140"/>
      <c r="G5" s="140"/>
      <c r="J5" s="5" t="s">
        <v>16</v>
      </c>
      <c r="K5" s="119" t="str">
        <f>IF(EstimateNo="","",EstimateNo)</f>
        <v/>
      </c>
      <c r="L5"/>
    </row>
    <row r="7" spans="2:12" ht="23.4" x14ac:dyDescent="0.45">
      <c r="B7" s="6" t="s">
        <v>7</v>
      </c>
      <c r="C7" s="141"/>
      <c r="D7" s="141"/>
      <c r="E7" s="141"/>
      <c r="F7" s="141"/>
      <c r="G7" s="141"/>
      <c r="H7" s="22"/>
      <c r="J7"/>
      <c r="K7"/>
      <c r="L7"/>
    </row>
    <row r="8" spans="2:12" ht="18" x14ac:dyDescent="0.35">
      <c r="B8" s="12" t="s">
        <v>50</v>
      </c>
      <c r="C8" s="142" t="s">
        <v>90</v>
      </c>
      <c r="D8" s="126" t="s">
        <v>39</v>
      </c>
      <c r="E8" s="126"/>
      <c r="F8" s="126" t="s">
        <v>40</v>
      </c>
      <c r="G8" s="126"/>
      <c r="H8" s="149" t="s">
        <v>94</v>
      </c>
      <c r="J8" s="129" t="s">
        <v>92</v>
      </c>
      <c r="K8" s="130"/>
      <c r="L8"/>
    </row>
    <row r="9" spans="2:12" x14ac:dyDescent="0.3">
      <c r="B9" t="str">
        <f>IF(Lists!D2="","",Lists!D2)</f>
        <v/>
      </c>
      <c r="C9" s="146">
        <f>SUMIFS('SM-EST-Accessories'!J:J,SM_AccessoriesName,Accessories!B9)</f>
        <v>0</v>
      </c>
      <c r="D9" s="143">
        <f>SUMIFS('SM-EST-Accessories'!G:G,SM_AccessoriesName,Accessories!B9)*24</f>
        <v>0</v>
      </c>
      <c r="E9" s="103" t="str">
        <f t="shared" ref="E9:E35" si="0">IF(D9=0,"","hrs")</f>
        <v/>
      </c>
      <c r="F9" s="143">
        <f>SUMIFS('SM-EST-Accessories'!H:H,SM_AccessoriesName,Accessories!B9)*24</f>
        <v>0</v>
      </c>
      <c r="G9" s="103" t="str">
        <f t="shared" ref="G9:G35" si="1">IF(F9=0,"","hrs")</f>
        <v/>
      </c>
      <c r="H9" s="144">
        <f>SUMIFS('SM-EST-Accessories'!I:I,SM_AccessoriesName,Accessories!B9)</f>
        <v>0</v>
      </c>
      <c r="J9" s="131" t="s">
        <v>39</v>
      </c>
      <c r="K9" s="220">
        <v>1</v>
      </c>
      <c r="L9"/>
    </row>
    <row r="10" spans="2:12" x14ac:dyDescent="0.3">
      <c r="B10" t="str">
        <f>IF(Lists!D3="","",Lists!D3)</f>
        <v/>
      </c>
      <c r="C10" s="146">
        <f>SUMIFS('SM-EST-Accessories'!J:J,SM_AccessoriesName,Accessories!B10)</f>
        <v>0</v>
      </c>
      <c r="D10" s="143">
        <f>SUMIFS('SM-EST-Accessories'!G:G,SM_AccessoriesName,Accessories!B10)*24</f>
        <v>0</v>
      </c>
      <c r="E10" s="103" t="str">
        <f t="shared" si="0"/>
        <v/>
      </c>
      <c r="F10" s="143">
        <f>SUMIFS('SM-EST-Accessories'!H:H,SM_AccessoriesName,Accessories!B10)*24</f>
        <v>0</v>
      </c>
      <c r="G10" s="103" t="str">
        <f t="shared" si="1"/>
        <v/>
      </c>
      <c r="H10" s="144">
        <f>SUMIFS('SM-EST-Accessories'!I:I,SM_AccessoriesName,Accessories!B10)</f>
        <v>0</v>
      </c>
      <c r="J10" s="132" t="s">
        <v>40</v>
      </c>
      <c r="K10" s="221">
        <v>1</v>
      </c>
      <c r="L10"/>
    </row>
    <row r="11" spans="2:12" x14ac:dyDescent="0.3">
      <c r="B11" t="str">
        <f>IF(Lists!D4="","",Lists!D4)</f>
        <v/>
      </c>
      <c r="C11" s="146">
        <f>SUMIFS('SM-EST-Accessories'!J:J,SM_AccessoriesName,Accessories!B11)</f>
        <v>0</v>
      </c>
      <c r="D11" s="143">
        <f>SUMIFS('SM-EST-Accessories'!G:G,SM_AccessoriesName,Accessories!B11)*24</f>
        <v>0</v>
      </c>
      <c r="E11" s="103" t="str">
        <f t="shared" si="0"/>
        <v/>
      </c>
      <c r="F11" s="143">
        <f>SUMIFS('SM-EST-Accessories'!H:H,SM_AccessoriesName,Accessories!B11)*24</f>
        <v>0</v>
      </c>
      <c r="G11" s="103" t="str">
        <f t="shared" si="1"/>
        <v/>
      </c>
      <c r="H11" s="144">
        <f>SUMIFS('SM-EST-Accessories'!I:I,SM_AccessoriesName,Accessories!B11)</f>
        <v>0</v>
      </c>
      <c r="J11" s="133" t="s">
        <v>48</v>
      </c>
      <c r="K11" s="222">
        <v>1</v>
      </c>
      <c r="L11"/>
    </row>
    <row r="12" spans="2:12" x14ac:dyDescent="0.3">
      <c r="B12" t="str">
        <f>IF(Lists!D5="","",Lists!D5)</f>
        <v/>
      </c>
      <c r="C12" s="146">
        <f>SUMIFS('SM-EST-Accessories'!J:J,SM_AccessoriesName,Accessories!B12)</f>
        <v>0</v>
      </c>
      <c r="D12" s="143">
        <f>SUMIFS('SM-EST-Accessories'!G:G,SM_AccessoriesName,Accessories!B12)*24</f>
        <v>0</v>
      </c>
      <c r="E12" s="103" t="str">
        <f t="shared" si="0"/>
        <v/>
      </c>
      <c r="F12" s="143">
        <f>SUMIFS('SM-EST-Accessories'!H:H,SM_AccessoriesName,Accessories!B12)*24</f>
        <v>0</v>
      </c>
      <c r="G12" s="103" t="str">
        <f t="shared" si="1"/>
        <v/>
      </c>
      <c r="H12" s="144">
        <f>SUMIFS('SM-EST-Accessories'!I:I,SM_AccessoriesName,Accessories!B12)</f>
        <v>0</v>
      </c>
      <c r="J12"/>
      <c r="K12"/>
      <c r="L12"/>
    </row>
    <row r="13" spans="2:12" x14ac:dyDescent="0.3">
      <c r="B13" t="str">
        <f>IF(Lists!D6="","",Lists!D6)</f>
        <v/>
      </c>
      <c r="C13" s="146">
        <f>SUMIFS('SM-EST-Accessories'!J:J,SM_AccessoriesName,Accessories!B13)</f>
        <v>0</v>
      </c>
      <c r="D13" s="143">
        <f>SUMIFS('SM-EST-Accessories'!G:G,SM_AccessoriesName,Accessories!B13)*24</f>
        <v>0</v>
      </c>
      <c r="E13" s="103" t="str">
        <f t="shared" si="0"/>
        <v/>
      </c>
      <c r="F13" s="143">
        <f>SUMIFS('SM-EST-Accessories'!H:H,SM_AccessoriesName,Accessories!B13)*24</f>
        <v>0</v>
      </c>
      <c r="G13" s="103" t="str">
        <f t="shared" si="1"/>
        <v/>
      </c>
      <c r="H13" s="144">
        <f>SUMIFS('SM-EST-Accessories'!I:I,SM_AccessoriesName,Accessories!B13)</f>
        <v>0</v>
      </c>
      <c r="J13"/>
      <c r="K13"/>
      <c r="L13"/>
    </row>
    <row r="14" spans="2:12" x14ac:dyDescent="0.3">
      <c r="B14" t="str">
        <f>IF(Lists!D7="","",Lists!D7)</f>
        <v/>
      </c>
      <c r="C14" s="146">
        <f>SUMIFS('SM-EST-Accessories'!J:J,SM_AccessoriesName,Accessories!B14)</f>
        <v>0</v>
      </c>
      <c r="D14" s="143">
        <f>SUMIFS('SM-EST-Accessories'!G:G,SM_AccessoriesName,Accessories!B14)*24</f>
        <v>0</v>
      </c>
      <c r="E14" s="103" t="str">
        <f t="shared" si="0"/>
        <v/>
      </c>
      <c r="F14" s="143">
        <f>SUMIFS('SM-EST-Accessories'!H:H,SM_AccessoriesName,Accessories!B14)*24</f>
        <v>0</v>
      </c>
      <c r="G14" s="103" t="str">
        <f t="shared" si="1"/>
        <v/>
      </c>
      <c r="H14" s="144">
        <f>SUMIFS('SM-EST-Accessories'!I:I,SM_AccessoriesName,Accessories!B14)</f>
        <v>0</v>
      </c>
      <c r="J14"/>
      <c r="K14"/>
      <c r="L14"/>
    </row>
    <row r="15" spans="2:12" x14ac:dyDescent="0.3">
      <c r="B15" t="str">
        <f>IF(Lists!D8="","",Lists!D8)</f>
        <v/>
      </c>
      <c r="C15" s="146">
        <f>SUMIFS('SM-EST-Accessories'!J:J,SM_AccessoriesName,Accessories!B15)</f>
        <v>0</v>
      </c>
      <c r="D15" s="143">
        <f>SUMIFS('SM-EST-Accessories'!G:G,SM_AccessoriesName,Accessories!B15)*24</f>
        <v>0</v>
      </c>
      <c r="E15" s="103" t="str">
        <f t="shared" si="0"/>
        <v/>
      </c>
      <c r="F15" s="143">
        <f>SUMIFS('SM-EST-Accessories'!H:H,SM_AccessoriesName,Accessories!B15)*24</f>
        <v>0</v>
      </c>
      <c r="G15" s="103" t="str">
        <f t="shared" si="1"/>
        <v/>
      </c>
      <c r="H15" s="144">
        <f>SUMIFS('SM-EST-Accessories'!I:I,SM_AccessoriesName,Accessories!B15)</f>
        <v>0</v>
      </c>
      <c r="J15"/>
      <c r="K15"/>
      <c r="L15"/>
    </row>
    <row r="16" spans="2:12" x14ac:dyDescent="0.3">
      <c r="B16" t="str">
        <f>IF(Lists!D9="","",Lists!D9)</f>
        <v/>
      </c>
      <c r="C16" s="146">
        <f>SUMIFS('SM-EST-Accessories'!J:J,SM_AccessoriesName,Accessories!B16)</f>
        <v>0</v>
      </c>
      <c r="D16" s="143">
        <f>SUMIFS('SM-EST-Accessories'!G:G,SM_AccessoriesName,Accessories!B16)*24</f>
        <v>0</v>
      </c>
      <c r="E16" s="103" t="str">
        <f t="shared" si="0"/>
        <v/>
      </c>
      <c r="F16" s="143">
        <f>SUMIFS('SM-EST-Accessories'!H:H,SM_AccessoriesName,Accessories!B16)*24</f>
        <v>0</v>
      </c>
      <c r="G16" s="103" t="str">
        <f t="shared" si="1"/>
        <v/>
      </c>
      <c r="H16" s="144">
        <f>SUMIFS('SM-EST-Accessories'!I:I,SM_AccessoriesName,Accessories!B16)</f>
        <v>0</v>
      </c>
      <c r="J16"/>
      <c r="K16"/>
      <c r="L16"/>
    </row>
    <row r="17" spans="2:12" x14ac:dyDescent="0.3">
      <c r="B17" t="str">
        <f>IF(Lists!D10="","",Lists!D10)</f>
        <v/>
      </c>
      <c r="C17" s="146">
        <f>SUMIFS('SM-EST-Accessories'!J:J,SM_AccessoriesName,Accessories!B17)</f>
        <v>0</v>
      </c>
      <c r="D17" s="143">
        <f>SUMIFS('SM-EST-Accessories'!G:G,SM_AccessoriesName,Accessories!B17)*24</f>
        <v>0</v>
      </c>
      <c r="E17" s="103" t="str">
        <f t="shared" si="0"/>
        <v/>
      </c>
      <c r="F17" s="143">
        <f>SUMIFS('SM-EST-Accessories'!H:H,SM_AccessoriesName,Accessories!B17)*24</f>
        <v>0</v>
      </c>
      <c r="G17" s="103" t="str">
        <f t="shared" si="1"/>
        <v/>
      </c>
      <c r="H17" s="144">
        <f>SUMIFS('SM-EST-Accessories'!I:I,SM_AccessoriesName,Accessories!B17)</f>
        <v>0</v>
      </c>
      <c r="J17"/>
      <c r="K17"/>
      <c r="L17"/>
    </row>
    <row r="18" spans="2:12" x14ac:dyDescent="0.3">
      <c r="B18" t="str">
        <f>IF(Lists!D11="","",Lists!D11)</f>
        <v/>
      </c>
      <c r="C18" s="146">
        <f>SUMIFS('SM-EST-Accessories'!J:J,SM_AccessoriesName,Accessories!B18)</f>
        <v>0</v>
      </c>
      <c r="D18" s="143">
        <f>SUMIFS('SM-EST-Accessories'!G:G,SM_AccessoriesName,Accessories!B18)*24</f>
        <v>0</v>
      </c>
      <c r="E18" s="103" t="str">
        <f t="shared" si="0"/>
        <v/>
      </c>
      <c r="F18" s="143">
        <f>SUMIFS('SM-EST-Accessories'!H:H,SM_AccessoriesName,Accessories!B18)*24</f>
        <v>0</v>
      </c>
      <c r="G18" s="103" t="str">
        <f t="shared" si="1"/>
        <v/>
      </c>
      <c r="H18" s="144">
        <f>SUMIFS('SM-EST-Accessories'!I:I,SM_AccessoriesName,Accessories!B18)</f>
        <v>0</v>
      </c>
      <c r="J18"/>
      <c r="K18"/>
      <c r="L18"/>
    </row>
    <row r="19" spans="2:12" x14ac:dyDescent="0.3">
      <c r="B19" t="str">
        <f>IF(Lists!D12="","",Lists!D12)</f>
        <v/>
      </c>
      <c r="C19" s="146">
        <f>SUMIFS('SM-EST-Accessories'!J:J,SM_AccessoriesName,Accessories!B19)</f>
        <v>0</v>
      </c>
      <c r="D19" s="143">
        <f>SUMIFS('SM-EST-Accessories'!G:G,SM_AccessoriesName,Accessories!B19)*24</f>
        <v>0</v>
      </c>
      <c r="E19" s="103" t="str">
        <f t="shared" si="0"/>
        <v/>
      </c>
      <c r="F19" s="143">
        <f>SUMIFS('SM-EST-Accessories'!H:H,SM_AccessoriesName,Accessories!B19)*24</f>
        <v>0</v>
      </c>
      <c r="G19" s="103" t="str">
        <f t="shared" si="1"/>
        <v/>
      </c>
      <c r="H19" s="144">
        <f>SUMIFS('SM-EST-Accessories'!I:I,SM_AccessoriesName,Accessories!B19)</f>
        <v>0</v>
      </c>
      <c r="J19"/>
      <c r="K19"/>
      <c r="L19"/>
    </row>
    <row r="20" spans="2:12" x14ac:dyDescent="0.3">
      <c r="B20" t="str">
        <f>IF(Lists!D13="","",Lists!D13)</f>
        <v/>
      </c>
      <c r="C20" s="146">
        <f>SUMIFS('SM-EST-Accessories'!J:J,SM_AccessoriesName,Accessories!B20)</f>
        <v>0</v>
      </c>
      <c r="D20" s="143">
        <f>SUMIFS('SM-EST-Accessories'!G:G,SM_AccessoriesName,Accessories!B20)*24</f>
        <v>0</v>
      </c>
      <c r="E20" s="103" t="str">
        <f t="shared" si="0"/>
        <v/>
      </c>
      <c r="F20" s="143">
        <f>SUMIFS('SM-EST-Accessories'!H:H,SM_AccessoriesName,Accessories!B20)*24</f>
        <v>0</v>
      </c>
      <c r="G20" s="103" t="str">
        <f t="shared" si="1"/>
        <v/>
      </c>
      <c r="H20" s="144">
        <f>SUMIFS('SM-EST-Accessories'!I:I,SM_AccessoriesName,Accessories!B20)</f>
        <v>0</v>
      </c>
      <c r="J20"/>
      <c r="K20"/>
      <c r="L20"/>
    </row>
    <row r="21" spans="2:12" x14ac:dyDescent="0.3">
      <c r="B21" t="str">
        <f>IF(Lists!D14="","",Lists!D14)</f>
        <v/>
      </c>
      <c r="C21" s="146">
        <f>SUMIFS('SM-EST-Accessories'!J:J,SM_AccessoriesName,Accessories!B21)</f>
        <v>0</v>
      </c>
      <c r="D21" s="143">
        <f>SUMIFS('SM-EST-Accessories'!G:G,SM_AccessoriesName,Accessories!B21)*24</f>
        <v>0</v>
      </c>
      <c r="E21" s="103" t="str">
        <f t="shared" si="0"/>
        <v/>
      </c>
      <c r="F21" s="143">
        <f>SUMIFS('SM-EST-Accessories'!H:H,SM_AccessoriesName,Accessories!B21)*24</f>
        <v>0</v>
      </c>
      <c r="G21" s="103" t="str">
        <f t="shared" si="1"/>
        <v/>
      </c>
      <c r="H21" s="144">
        <f>SUMIFS('SM-EST-Accessories'!I:I,SM_AccessoriesName,Accessories!B21)</f>
        <v>0</v>
      </c>
      <c r="J21"/>
      <c r="K21"/>
      <c r="L21"/>
    </row>
    <row r="22" spans="2:12" x14ac:dyDescent="0.3">
      <c r="B22" t="str">
        <f>IF(Lists!D15="","",Lists!D15)</f>
        <v/>
      </c>
      <c r="C22" s="146">
        <f>SUMIFS('SM-EST-Accessories'!J:J,SM_AccessoriesName,Accessories!B22)</f>
        <v>0</v>
      </c>
      <c r="D22" s="143">
        <f>SUMIFS('SM-EST-Accessories'!G:G,SM_AccessoriesName,Accessories!B22)*24</f>
        <v>0</v>
      </c>
      <c r="E22" s="103" t="str">
        <f t="shared" si="0"/>
        <v/>
      </c>
      <c r="F22" s="143">
        <f>SUMIFS('SM-EST-Accessories'!H:H,SM_AccessoriesName,Accessories!B22)*24</f>
        <v>0</v>
      </c>
      <c r="G22" s="103" t="str">
        <f t="shared" si="1"/>
        <v/>
      </c>
      <c r="H22" s="144">
        <f>SUMIFS('SM-EST-Accessories'!I:I,SM_AccessoriesName,Accessories!B22)</f>
        <v>0</v>
      </c>
      <c r="J22"/>
      <c r="K22"/>
      <c r="L22"/>
    </row>
    <row r="23" spans="2:12" x14ac:dyDescent="0.3">
      <c r="B23" t="str">
        <f>IF(Lists!D16="","",Lists!D16)</f>
        <v/>
      </c>
      <c r="C23" s="146">
        <f>SUMIFS('SM-EST-Accessories'!J:J,SM_AccessoriesName,Accessories!B23)</f>
        <v>0</v>
      </c>
      <c r="D23" s="143">
        <f>SUMIFS('SM-EST-Accessories'!G:G,SM_AccessoriesName,Accessories!B23)*24</f>
        <v>0</v>
      </c>
      <c r="E23" s="103" t="str">
        <f t="shared" si="0"/>
        <v/>
      </c>
      <c r="F23" s="143">
        <f>SUMIFS('SM-EST-Accessories'!H:H,SM_AccessoriesName,Accessories!B23)*24</f>
        <v>0</v>
      </c>
      <c r="G23" s="103" t="str">
        <f t="shared" si="1"/>
        <v/>
      </c>
      <c r="H23" s="144">
        <f>SUMIFS('SM-EST-Accessories'!I:I,SM_AccessoriesName,Accessories!B23)</f>
        <v>0</v>
      </c>
      <c r="J23"/>
      <c r="K23"/>
      <c r="L23"/>
    </row>
    <row r="24" spans="2:12" x14ac:dyDescent="0.3">
      <c r="B24" t="str">
        <f>IF(Lists!D17="","",Lists!D17)</f>
        <v/>
      </c>
      <c r="C24" s="146">
        <f>SUMIFS('SM-EST-Accessories'!J:J,SM_AccessoriesName,Accessories!B24)</f>
        <v>0</v>
      </c>
      <c r="D24" s="143">
        <f>SUMIFS('SM-EST-Accessories'!G:G,SM_AccessoriesName,Accessories!B24)*24</f>
        <v>0</v>
      </c>
      <c r="E24" s="103" t="str">
        <f t="shared" si="0"/>
        <v/>
      </c>
      <c r="F24" s="143">
        <f>SUMIFS('SM-EST-Accessories'!H:H,SM_AccessoriesName,Accessories!B24)*24</f>
        <v>0</v>
      </c>
      <c r="G24" s="103" t="str">
        <f t="shared" si="1"/>
        <v/>
      </c>
      <c r="H24" s="144">
        <f>SUMIFS('SM-EST-Accessories'!I:I,SM_AccessoriesName,Accessories!B24)</f>
        <v>0</v>
      </c>
      <c r="J24"/>
      <c r="K24"/>
      <c r="L24"/>
    </row>
    <row r="25" spans="2:12" x14ac:dyDescent="0.3">
      <c r="B25" t="str">
        <f>IF(Lists!D18="","",Lists!D18)</f>
        <v/>
      </c>
      <c r="C25" s="146">
        <f>SUMIFS('SM-EST-Accessories'!J:J,SM_AccessoriesName,Accessories!B25)</f>
        <v>0</v>
      </c>
      <c r="D25" s="143">
        <f>SUMIFS('SM-EST-Accessories'!G:G,SM_AccessoriesName,Accessories!B25)*24</f>
        <v>0</v>
      </c>
      <c r="E25" s="103" t="str">
        <f t="shared" si="0"/>
        <v/>
      </c>
      <c r="F25" s="143">
        <f>SUMIFS('SM-EST-Accessories'!H:H,SM_AccessoriesName,Accessories!B25)*24</f>
        <v>0</v>
      </c>
      <c r="G25" s="103" t="str">
        <f t="shared" si="1"/>
        <v/>
      </c>
      <c r="H25" s="144">
        <f>SUMIFS('SM-EST-Accessories'!I:I,SM_AccessoriesName,Accessories!B25)</f>
        <v>0</v>
      </c>
      <c r="J25"/>
      <c r="K25"/>
      <c r="L25"/>
    </row>
    <row r="26" spans="2:12" x14ac:dyDescent="0.3">
      <c r="B26" t="str">
        <f>IF(Lists!D19="","",Lists!D19)</f>
        <v/>
      </c>
      <c r="C26" s="146">
        <f>SUMIFS('SM-EST-Accessories'!J:J,SM_AccessoriesName,Accessories!B26)</f>
        <v>0</v>
      </c>
      <c r="D26" s="143">
        <f>SUMIFS('SM-EST-Accessories'!G:G,SM_AccessoriesName,Accessories!B26)*24</f>
        <v>0</v>
      </c>
      <c r="E26" s="103" t="str">
        <f t="shared" si="0"/>
        <v/>
      </c>
      <c r="F26" s="143">
        <f>SUMIFS('SM-EST-Accessories'!H:H,SM_AccessoriesName,Accessories!B26)*24</f>
        <v>0</v>
      </c>
      <c r="G26" s="103" t="str">
        <f t="shared" si="1"/>
        <v/>
      </c>
      <c r="H26" s="144">
        <f>SUMIFS('SM-EST-Accessories'!I:I,SM_AccessoriesName,Accessories!B26)</f>
        <v>0</v>
      </c>
      <c r="J26"/>
      <c r="K26"/>
      <c r="L26"/>
    </row>
    <row r="27" spans="2:12" x14ac:dyDescent="0.3">
      <c r="B27" t="str">
        <f>IF(Lists!D20="","",Lists!D20)</f>
        <v/>
      </c>
      <c r="C27" s="146">
        <f>SUMIFS('SM-EST-Accessories'!J:J,SM_AccessoriesName,Accessories!B27)</f>
        <v>0</v>
      </c>
      <c r="D27" s="143">
        <f>SUMIFS('SM-EST-Accessories'!G:G,SM_AccessoriesName,Accessories!B27)*24</f>
        <v>0</v>
      </c>
      <c r="E27" s="103" t="str">
        <f t="shared" si="0"/>
        <v/>
      </c>
      <c r="F27" s="143">
        <f>SUMIFS('SM-EST-Accessories'!H:H,SM_AccessoriesName,Accessories!B27)*24</f>
        <v>0</v>
      </c>
      <c r="G27" s="103" t="str">
        <f t="shared" si="1"/>
        <v/>
      </c>
      <c r="H27" s="144">
        <f>SUMIFS('SM-EST-Accessories'!I:I,SM_AccessoriesName,Accessories!B27)</f>
        <v>0</v>
      </c>
      <c r="J27"/>
      <c r="K27"/>
      <c r="L27"/>
    </row>
    <row r="28" spans="2:12" x14ac:dyDescent="0.3">
      <c r="B28" t="str">
        <f>IF(Lists!D21="","",Lists!D21)</f>
        <v/>
      </c>
      <c r="C28" s="146">
        <f>SUMIFS('SM-EST-Accessories'!J:J,SM_AccessoriesName,Accessories!B28)</f>
        <v>0</v>
      </c>
      <c r="D28" s="143">
        <f>SUMIFS('SM-EST-Accessories'!G:G,SM_AccessoriesName,Accessories!B28)*24</f>
        <v>0</v>
      </c>
      <c r="E28" s="103" t="str">
        <f t="shared" si="0"/>
        <v/>
      </c>
      <c r="F28" s="143">
        <f>SUMIFS('SM-EST-Accessories'!H:H,SM_AccessoriesName,Accessories!B28)*24</f>
        <v>0</v>
      </c>
      <c r="G28" s="103" t="str">
        <f t="shared" si="1"/>
        <v/>
      </c>
      <c r="H28" s="144">
        <f>SUMIFS('SM-EST-Accessories'!I:I,SM_AccessoriesName,Accessories!B28)</f>
        <v>0</v>
      </c>
      <c r="J28"/>
      <c r="K28"/>
      <c r="L28"/>
    </row>
    <row r="29" spans="2:12" x14ac:dyDescent="0.3">
      <c r="B29" t="str">
        <f>IF(Lists!D22="","",Lists!D22)</f>
        <v/>
      </c>
      <c r="C29" s="146">
        <f>SUMIFS('SM-EST-Accessories'!J:J,SM_AccessoriesName,Accessories!B29)</f>
        <v>0</v>
      </c>
      <c r="D29" s="143">
        <f>SUMIFS('SM-EST-Accessories'!G:G,SM_AccessoriesName,Accessories!B29)*24</f>
        <v>0</v>
      </c>
      <c r="E29" s="103" t="str">
        <f t="shared" si="0"/>
        <v/>
      </c>
      <c r="F29" s="143">
        <f>SUMIFS('SM-EST-Accessories'!H:H,SM_AccessoriesName,Accessories!B29)*24</f>
        <v>0</v>
      </c>
      <c r="G29" s="103" t="str">
        <f t="shared" si="1"/>
        <v/>
      </c>
      <c r="H29" s="144">
        <f>SUMIFS('SM-EST-Accessories'!I:I,SM_AccessoriesName,Accessories!B29)</f>
        <v>0</v>
      </c>
      <c r="J29"/>
      <c r="K29"/>
      <c r="L29"/>
    </row>
    <row r="30" spans="2:12" x14ac:dyDescent="0.3">
      <c r="B30" t="str">
        <f>IF(Lists!D23="","",Lists!D23)</f>
        <v/>
      </c>
      <c r="C30" s="146">
        <f>SUMIFS('SM-EST-Accessories'!J:J,SM_AccessoriesName,Accessories!B30)</f>
        <v>0</v>
      </c>
      <c r="D30" s="143">
        <f>SUMIFS('SM-EST-Accessories'!G:G,SM_AccessoriesName,Accessories!B30)*24</f>
        <v>0</v>
      </c>
      <c r="E30" s="103" t="str">
        <f t="shared" si="0"/>
        <v/>
      </c>
      <c r="F30" s="143">
        <f>SUMIFS('SM-EST-Accessories'!H:H,SM_AccessoriesName,Accessories!B30)*24</f>
        <v>0</v>
      </c>
      <c r="G30" s="103" t="str">
        <f t="shared" si="1"/>
        <v/>
      </c>
      <c r="H30" s="144">
        <f>SUMIFS('SM-EST-Accessories'!I:I,SM_AccessoriesName,Accessories!B30)</f>
        <v>0</v>
      </c>
      <c r="J30"/>
      <c r="K30"/>
      <c r="L30"/>
    </row>
    <row r="31" spans="2:12" x14ac:dyDescent="0.3">
      <c r="B31" t="str">
        <f>IF(Lists!D24="","",Lists!D24)</f>
        <v/>
      </c>
      <c r="C31" s="146">
        <f>SUMIFS('SM-EST-Accessories'!J:J,SM_AccessoriesName,Accessories!B31)</f>
        <v>0</v>
      </c>
      <c r="D31" s="143">
        <f>SUMIFS('SM-EST-Accessories'!G:G,SM_AccessoriesName,Accessories!B31)*24</f>
        <v>0</v>
      </c>
      <c r="E31" s="103" t="str">
        <f t="shared" si="0"/>
        <v/>
      </c>
      <c r="F31" s="143">
        <f>SUMIFS('SM-EST-Accessories'!H:H,SM_AccessoriesName,Accessories!B31)*24</f>
        <v>0</v>
      </c>
      <c r="G31" s="103" t="str">
        <f t="shared" si="1"/>
        <v/>
      </c>
      <c r="H31" s="144">
        <f>SUMIFS('SM-EST-Accessories'!I:I,SM_AccessoriesName,Accessories!B31)</f>
        <v>0</v>
      </c>
      <c r="J31"/>
      <c r="K31"/>
      <c r="L31"/>
    </row>
    <row r="32" spans="2:12" x14ac:dyDescent="0.3">
      <c r="B32" t="str">
        <f>IF(Lists!D25="","",Lists!D25)</f>
        <v/>
      </c>
      <c r="C32" s="146">
        <f>SUMIFS('SM-EST-Accessories'!J:J,SM_AccessoriesName,Accessories!B32)</f>
        <v>0</v>
      </c>
      <c r="D32" s="143">
        <f>SUMIFS('SM-EST-Accessories'!G:G,SM_AccessoriesName,Accessories!B32)*24</f>
        <v>0</v>
      </c>
      <c r="E32" s="103" t="str">
        <f t="shared" si="0"/>
        <v/>
      </c>
      <c r="F32" s="143">
        <f>SUMIFS('SM-EST-Accessories'!H:H,SM_AccessoriesName,Accessories!B32)*24</f>
        <v>0</v>
      </c>
      <c r="G32" s="103" t="str">
        <f t="shared" si="1"/>
        <v/>
      </c>
      <c r="H32" s="144">
        <f>SUMIFS('SM-EST-Accessories'!I:I,SM_AccessoriesName,Accessories!B32)</f>
        <v>0</v>
      </c>
      <c r="J32"/>
      <c r="K32"/>
      <c r="L32"/>
    </row>
    <row r="33" spans="2:12" x14ac:dyDescent="0.3">
      <c r="B33" t="str">
        <f>IF(Lists!D26="","",Lists!D26)</f>
        <v/>
      </c>
      <c r="C33" s="146">
        <f>SUMIFS('SM-EST-Accessories'!J:J,SM_AccessoriesName,Accessories!B33)</f>
        <v>0</v>
      </c>
      <c r="D33" s="143">
        <f>SUMIFS('SM-EST-Accessories'!G:G,SM_AccessoriesName,Accessories!B33)*24</f>
        <v>0</v>
      </c>
      <c r="E33" s="103" t="str">
        <f t="shared" si="0"/>
        <v/>
      </c>
      <c r="F33" s="143">
        <f>SUMIFS('SM-EST-Accessories'!H:H,SM_AccessoriesName,Accessories!B33)*24</f>
        <v>0</v>
      </c>
      <c r="G33" s="103" t="str">
        <f t="shared" si="1"/>
        <v/>
      </c>
      <c r="H33" s="144">
        <f>SUMIFS('SM-EST-Accessories'!I:I,SM_AccessoriesName,Accessories!B33)</f>
        <v>0</v>
      </c>
      <c r="J33"/>
      <c r="K33"/>
      <c r="L33"/>
    </row>
    <row r="34" spans="2:12" x14ac:dyDescent="0.3">
      <c r="B34" t="str">
        <f>IF(Lists!D27="","",Lists!D27)</f>
        <v/>
      </c>
      <c r="C34" s="146">
        <f>SUMIFS('SM-EST-Accessories'!J:J,SM_AccessoriesName,Accessories!B34)</f>
        <v>0</v>
      </c>
      <c r="D34" s="143">
        <f>SUMIFS('SM-EST-Accessories'!G:G,SM_AccessoriesName,Accessories!B34)*24</f>
        <v>0</v>
      </c>
      <c r="E34" s="103" t="str">
        <f t="shared" si="0"/>
        <v/>
      </c>
      <c r="F34" s="143">
        <f>SUMIFS('SM-EST-Accessories'!H:H,SM_AccessoriesName,Accessories!B34)*24</f>
        <v>0</v>
      </c>
      <c r="G34" s="103" t="str">
        <f t="shared" si="1"/>
        <v/>
      </c>
      <c r="H34" s="144">
        <f>SUMIFS('SM-EST-Accessories'!I:I,SM_AccessoriesName,Accessories!B34)</f>
        <v>0</v>
      </c>
      <c r="J34"/>
      <c r="K34"/>
      <c r="L34"/>
    </row>
    <row r="35" spans="2:12" x14ac:dyDescent="0.3">
      <c r="B35" t="str">
        <f>IF(Lists!D28="","",Lists!D28)</f>
        <v/>
      </c>
      <c r="C35" s="146">
        <f>SUMIFS('SM-EST-Accessories'!J:J,SM_AccessoriesName,Accessories!B35)</f>
        <v>0</v>
      </c>
      <c r="D35" s="143">
        <f>SUMIFS('SM-EST-Accessories'!G:G,SM_AccessoriesName,Accessories!B35)*24</f>
        <v>0</v>
      </c>
      <c r="E35" s="103" t="str">
        <f t="shared" si="0"/>
        <v/>
      </c>
      <c r="F35" s="143">
        <f>SUMIFS('SM-EST-Accessories'!H:H,SM_AccessoriesName,Accessories!B35)*24</f>
        <v>0</v>
      </c>
      <c r="G35" s="103" t="str">
        <f t="shared" si="1"/>
        <v/>
      </c>
      <c r="H35" s="144">
        <f>SUMIFS('SM-EST-Accessories'!I:I,SM_AccessoriesName,Accessories!B35)</f>
        <v>0</v>
      </c>
      <c r="J35"/>
      <c r="K35"/>
      <c r="L35"/>
    </row>
    <row r="36" spans="2:12" x14ac:dyDescent="0.3">
      <c r="B36" s="172" t="str">
        <f>IF(SUM(K9:K11)&gt;3,"Total w/Multiplier","Total")</f>
        <v>Total</v>
      </c>
      <c r="C36" s="214"/>
      <c r="D36" s="215">
        <f>SUBTOTAL(109,Accessories[Column6])*K9</f>
        <v>0</v>
      </c>
      <c r="E36" s="216" t="str">
        <f>IF(D36=0,"","hrs")</f>
        <v/>
      </c>
      <c r="F36" s="215">
        <f>SUBTOTAL(109,Accessories[Column7])*K10</f>
        <v>0</v>
      </c>
      <c r="G36" s="216" t="str">
        <f>IF(F36=0,"","hrs")</f>
        <v/>
      </c>
      <c r="H36" s="217">
        <f>SUBTOTAL(109,Accessories[Column4])*K11</f>
        <v>0</v>
      </c>
      <c r="J36"/>
      <c r="K36"/>
      <c r="L36"/>
    </row>
    <row r="37" spans="2:12" x14ac:dyDescent="0.3">
      <c r="H37" s="22"/>
      <c r="J37"/>
      <c r="K37"/>
      <c r="L37"/>
    </row>
    <row r="38" spans="2:12" x14ac:dyDescent="0.3">
      <c r="H38" s="22"/>
      <c r="J38"/>
      <c r="K38"/>
      <c r="L38"/>
    </row>
    <row r="39" spans="2:12" x14ac:dyDescent="0.3">
      <c r="H39" s="22"/>
      <c r="J39"/>
      <c r="K39"/>
      <c r="L39"/>
    </row>
    <row r="40" spans="2:12" x14ac:dyDescent="0.3">
      <c r="H40" s="22"/>
      <c r="J40"/>
      <c r="K40"/>
      <c r="L40"/>
    </row>
    <row r="41" spans="2:12" x14ac:dyDescent="0.3">
      <c r="H41" s="22"/>
      <c r="J41"/>
      <c r="K41"/>
      <c r="L41"/>
    </row>
    <row r="42" spans="2:12" x14ac:dyDescent="0.3">
      <c r="H42" s="22"/>
      <c r="J42"/>
      <c r="K42"/>
      <c r="L42"/>
    </row>
    <row r="43" spans="2:12" x14ac:dyDescent="0.3">
      <c r="H43" s="22"/>
      <c r="J43"/>
      <c r="K43"/>
      <c r="L43"/>
    </row>
    <row r="44" spans="2:12" x14ac:dyDescent="0.3">
      <c r="H44" s="22"/>
      <c r="J44"/>
      <c r="K44"/>
      <c r="L44"/>
    </row>
    <row r="45" spans="2:12" x14ac:dyDescent="0.3">
      <c r="H45" s="22"/>
      <c r="J45"/>
      <c r="K45"/>
      <c r="L45"/>
    </row>
    <row r="46" spans="2:12" x14ac:dyDescent="0.3">
      <c r="H46" s="22"/>
      <c r="J46"/>
      <c r="K46"/>
      <c r="L46"/>
    </row>
    <row r="47" spans="2:12" x14ac:dyDescent="0.3">
      <c r="H47" s="22"/>
      <c r="J47"/>
      <c r="K47"/>
      <c r="L47"/>
    </row>
    <row r="48" spans="2:12" x14ac:dyDescent="0.3">
      <c r="H48" s="22"/>
      <c r="J48"/>
      <c r="K48"/>
      <c r="L48"/>
    </row>
    <row r="49" spans="8:12" x14ac:dyDescent="0.3">
      <c r="H49" s="22"/>
      <c r="J49"/>
      <c r="K49"/>
      <c r="L49"/>
    </row>
    <row r="50" spans="8:12" x14ac:dyDescent="0.3">
      <c r="H50" s="22"/>
      <c r="J50"/>
      <c r="K50"/>
      <c r="L50"/>
    </row>
    <row r="51" spans="8:12" x14ac:dyDescent="0.3">
      <c r="H51" s="22"/>
      <c r="J51"/>
      <c r="K51"/>
      <c r="L51"/>
    </row>
    <row r="52" spans="8:12" x14ac:dyDescent="0.3">
      <c r="H52" s="22"/>
      <c r="J52"/>
      <c r="K52"/>
      <c r="L52"/>
    </row>
    <row r="53" spans="8:12" x14ac:dyDescent="0.3">
      <c r="H53" s="22"/>
      <c r="J53"/>
      <c r="K53"/>
      <c r="L53"/>
    </row>
    <row r="54" spans="8:12" x14ac:dyDescent="0.3">
      <c r="H54" s="22"/>
      <c r="J54"/>
      <c r="K54"/>
      <c r="L54"/>
    </row>
    <row r="55" spans="8:12" x14ac:dyDescent="0.3">
      <c r="H55" s="22"/>
      <c r="J55"/>
      <c r="K55"/>
      <c r="L55"/>
    </row>
    <row r="56" spans="8:12" x14ac:dyDescent="0.3">
      <c r="H56" s="36"/>
      <c r="I56" s="22"/>
      <c r="J56"/>
      <c r="K56"/>
      <c r="L56"/>
    </row>
    <row r="57" spans="8:12" x14ac:dyDescent="0.3">
      <c r="H57" s="36"/>
      <c r="I57" s="22"/>
      <c r="J57"/>
      <c r="K57"/>
      <c r="L57"/>
    </row>
    <row r="58" spans="8:12" x14ac:dyDescent="0.3">
      <c r="H58" s="36"/>
      <c r="I58" s="22"/>
      <c r="J58"/>
      <c r="K58"/>
      <c r="L58"/>
    </row>
    <row r="59" spans="8:12" x14ac:dyDescent="0.3">
      <c r="H59" s="36"/>
      <c r="I59" s="22"/>
      <c r="J59"/>
      <c r="K59"/>
      <c r="L59"/>
    </row>
    <row r="60" spans="8:12" x14ac:dyDescent="0.3">
      <c r="H60" s="36"/>
      <c r="I60" s="22"/>
      <c r="J60"/>
      <c r="K60"/>
      <c r="L60"/>
    </row>
    <row r="61" spans="8:12" x14ac:dyDescent="0.3">
      <c r="H61" s="36"/>
      <c r="I61" s="22"/>
      <c r="J61"/>
      <c r="K61"/>
      <c r="L61"/>
    </row>
    <row r="62" spans="8:12" x14ac:dyDescent="0.3">
      <c r="H62" s="36"/>
      <c r="I62" s="22"/>
      <c r="J62"/>
      <c r="K62"/>
      <c r="L62"/>
    </row>
    <row r="63" spans="8:12" x14ac:dyDescent="0.3">
      <c r="H63" s="36"/>
      <c r="I63" s="22"/>
      <c r="J63"/>
      <c r="K63"/>
      <c r="L63"/>
    </row>
    <row r="64" spans="8:12" x14ac:dyDescent="0.3">
      <c r="H64" s="36"/>
      <c r="I64" s="22"/>
      <c r="J64"/>
      <c r="K64"/>
      <c r="L64"/>
    </row>
    <row r="65" spans="8:12" x14ac:dyDescent="0.3">
      <c r="H65" s="36"/>
      <c r="I65" s="22"/>
      <c r="J65"/>
      <c r="K65"/>
      <c r="L65"/>
    </row>
    <row r="66" spans="8:12" x14ac:dyDescent="0.3">
      <c r="H66" s="36"/>
      <c r="I66" s="22"/>
      <c r="J66"/>
      <c r="K66"/>
      <c r="L66"/>
    </row>
    <row r="67" spans="8:12" x14ac:dyDescent="0.3">
      <c r="H67" s="36"/>
      <c r="I67" s="22"/>
      <c r="J67"/>
      <c r="K67"/>
      <c r="L67"/>
    </row>
    <row r="68" spans="8:12" x14ac:dyDescent="0.3">
      <c r="H68" s="36"/>
      <c r="I68" s="22"/>
      <c r="J68"/>
      <c r="K68"/>
      <c r="L68"/>
    </row>
    <row r="69" spans="8:12" x14ac:dyDescent="0.3">
      <c r="H69" s="36"/>
      <c r="I69" s="22"/>
      <c r="J69"/>
      <c r="K69"/>
      <c r="L69"/>
    </row>
    <row r="70" spans="8:12" x14ac:dyDescent="0.3">
      <c r="H70" s="36"/>
      <c r="I70" s="22"/>
      <c r="J70"/>
      <c r="K70"/>
      <c r="L70"/>
    </row>
    <row r="71" spans="8:12" x14ac:dyDescent="0.3">
      <c r="H71" s="36"/>
      <c r="I71" s="22"/>
      <c r="J71"/>
      <c r="K71"/>
      <c r="L71"/>
    </row>
    <row r="72" spans="8:12" x14ac:dyDescent="0.3">
      <c r="H72" s="36"/>
      <c r="I72" s="22"/>
      <c r="J72"/>
      <c r="K72"/>
      <c r="L72"/>
    </row>
    <row r="73" spans="8:12" x14ac:dyDescent="0.3">
      <c r="H73" s="36"/>
      <c r="I73" s="22"/>
      <c r="J73"/>
      <c r="K73"/>
      <c r="L73"/>
    </row>
    <row r="74" spans="8:12" x14ac:dyDescent="0.3">
      <c r="H74" s="36"/>
      <c r="I74" s="22"/>
      <c r="J74"/>
      <c r="K74"/>
      <c r="L74"/>
    </row>
    <row r="75" spans="8:12" x14ac:dyDescent="0.3">
      <c r="H75" s="36"/>
      <c r="I75" s="22"/>
      <c r="J75"/>
      <c r="K75"/>
      <c r="L75"/>
    </row>
    <row r="76" spans="8:12" x14ac:dyDescent="0.3">
      <c r="H76" s="36"/>
      <c r="I76" s="22"/>
      <c r="J76"/>
      <c r="K76"/>
      <c r="L76"/>
    </row>
    <row r="77" spans="8:12" x14ac:dyDescent="0.3">
      <c r="H77" s="36"/>
      <c r="I77" s="22"/>
      <c r="J77"/>
      <c r="K77"/>
      <c r="L77"/>
    </row>
    <row r="78" spans="8:12" x14ac:dyDescent="0.3">
      <c r="H78" s="36"/>
      <c r="I78" s="22"/>
      <c r="J78"/>
      <c r="K78"/>
      <c r="L78"/>
    </row>
    <row r="79" spans="8:12" x14ac:dyDescent="0.3">
      <c r="H79" s="36"/>
      <c r="I79" s="22"/>
      <c r="J79"/>
      <c r="K79"/>
      <c r="L79"/>
    </row>
    <row r="80" spans="8:12" x14ac:dyDescent="0.3">
      <c r="H80" s="36"/>
      <c r="I80" s="22"/>
      <c r="J80"/>
      <c r="K80"/>
      <c r="L80"/>
    </row>
    <row r="81" spans="8:12" x14ac:dyDescent="0.3">
      <c r="H81" s="36"/>
      <c r="I81" s="22"/>
      <c r="J81"/>
      <c r="K81"/>
      <c r="L81"/>
    </row>
    <row r="82" spans="8:12" x14ac:dyDescent="0.3">
      <c r="H82" s="36"/>
      <c r="I82" s="22"/>
      <c r="J82"/>
      <c r="K82"/>
      <c r="L82"/>
    </row>
    <row r="83" spans="8:12" x14ac:dyDescent="0.3">
      <c r="H83" s="36"/>
      <c r="I83" s="22"/>
      <c r="J83"/>
      <c r="K83"/>
      <c r="L83"/>
    </row>
    <row r="84" spans="8:12" x14ac:dyDescent="0.3">
      <c r="H84" s="36"/>
      <c r="I84" s="22"/>
      <c r="J84"/>
      <c r="K84"/>
      <c r="L84"/>
    </row>
    <row r="85" spans="8:12" x14ac:dyDescent="0.3">
      <c r="H85" s="36"/>
      <c r="I85" s="22"/>
      <c r="J85"/>
      <c r="K85"/>
      <c r="L85"/>
    </row>
    <row r="86" spans="8:12" x14ac:dyDescent="0.3">
      <c r="H86" s="36"/>
      <c r="I86" s="22"/>
      <c r="J86"/>
      <c r="K86"/>
      <c r="L86"/>
    </row>
    <row r="87" spans="8:12" x14ac:dyDescent="0.3">
      <c r="H87" s="36"/>
      <c r="I87" s="22"/>
      <c r="J87"/>
      <c r="K87"/>
      <c r="L87"/>
    </row>
    <row r="88" spans="8:12" x14ac:dyDescent="0.3">
      <c r="H88" s="36"/>
      <c r="I88" s="22"/>
      <c r="J88"/>
      <c r="K88"/>
      <c r="L88"/>
    </row>
    <row r="89" spans="8:12" x14ac:dyDescent="0.3">
      <c r="H89" s="36"/>
      <c r="I89" s="22"/>
      <c r="J89"/>
      <c r="K89"/>
      <c r="L89"/>
    </row>
    <row r="90" spans="8:12" x14ac:dyDescent="0.3">
      <c r="H90" s="36"/>
      <c r="I90" s="22"/>
      <c r="J90"/>
      <c r="K90"/>
      <c r="L90"/>
    </row>
    <row r="91" spans="8:12" x14ac:dyDescent="0.3">
      <c r="H91" s="36"/>
      <c r="I91" s="22"/>
      <c r="J91"/>
      <c r="K91"/>
      <c r="L91"/>
    </row>
    <row r="92" spans="8:12" x14ac:dyDescent="0.3">
      <c r="H92" s="36"/>
      <c r="I92" s="22"/>
      <c r="J92"/>
      <c r="K92"/>
      <c r="L92"/>
    </row>
    <row r="93" spans="8:12" x14ac:dyDescent="0.3">
      <c r="H93" s="36"/>
      <c r="I93" s="22"/>
      <c r="J93"/>
      <c r="K93"/>
      <c r="L93"/>
    </row>
    <row r="94" spans="8:12" x14ac:dyDescent="0.3">
      <c r="H94" s="36"/>
      <c r="I94" s="22"/>
      <c r="J94"/>
      <c r="K94"/>
      <c r="L94"/>
    </row>
    <row r="95" spans="8:12" x14ac:dyDescent="0.3">
      <c r="H95" s="36"/>
      <c r="I95" s="22"/>
      <c r="J95"/>
      <c r="K95"/>
      <c r="L95"/>
    </row>
    <row r="96" spans="8:12" x14ac:dyDescent="0.3">
      <c r="H96" s="36"/>
      <c r="I96" s="22"/>
      <c r="J96"/>
      <c r="K96"/>
      <c r="L96"/>
    </row>
    <row r="97" spans="8:12" x14ac:dyDescent="0.3">
      <c r="H97" s="36"/>
      <c r="I97" s="22"/>
      <c r="J97"/>
      <c r="K97"/>
      <c r="L97"/>
    </row>
    <row r="98" spans="8:12" x14ac:dyDescent="0.3">
      <c r="H98" s="36"/>
      <c r="I98" s="22"/>
      <c r="J98"/>
      <c r="K98"/>
      <c r="L98"/>
    </row>
    <row r="99" spans="8:12" x14ac:dyDescent="0.3">
      <c r="H99" s="36"/>
      <c r="I99" s="22"/>
      <c r="J99"/>
      <c r="K99"/>
      <c r="L99"/>
    </row>
    <row r="100" spans="8:12" x14ac:dyDescent="0.3">
      <c r="H100" s="36"/>
      <c r="I100" s="22"/>
      <c r="J100"/>
      <c r="K100"/>
      <c r="L100"/>
    </row>
    <row r="101" spans="8:12" x14ac:dyDescent="0.3">
      <c r="H101" s="36"/>
      <c r="I101" s="22"/>
      <c r="J101"/>
      <c r="K101"/>
      <c r="L101"/>
    </row>
    <row r="102" spans="8:12" x14ac:dyDescent="0.3">
      <c r="H102" s="36"/>
      <c r="I102" s="22"/>
      <c r="J102"/>
      <c r="K102"/>
      <c r="L102"/>
    </row>
    <row r="103" spans="8:12" x14ac:dyDescent="0.3">
      <c r="H103" s="36"/>
      <c r="I103" s="22"/>
      <c r="J103"/>
      <c r="K103"/>
      <c r="L103"/>
    </row>
    <row r="104" spans="8:12" x14ac:dyDescent="0.3">
      <c r="H104" s="36"/>
      <c r="I104" s="22"/>
      <c r="J104"/>
      <c r="K104"/>
      <c r="L104"/>
    </row>
    <row r="105" spans="8:12" x14ac:dyDescent="0.3">
      <c r="H105" s="36"/>
      <c r="I105" s="22"/>
      <c r="J105"/>
      <c r="K105"/>
      <c r="L105"/>
    </row>
    <row r="106" spans="8:12" x14ac:dyDescent="0.3">
      <c r="H106" s="36"/>
      <c r="I106" s="22"/>
      <c r="J106"/>
      <c r="K106"/>
      <c r="L106"/>
    </row>
    <row r="107" spans="8:12" x14ac:dyDescent="0.3">
      <c r="H107" s="36"/>
      <c r="I107" s="22"/>
      <c r="J107"/>
      <c r="K107"/>
      <c r="L107"/>
    </row>
    <row r="108" spans="8:12" x14ac:dyDescent="0.3">
      <c r="H108" s="36"/>
      <c r="I108" s="22"/>
      <c r="J108"/>
      <c r="K108"/>
      <c r="L108"/>
    </row>
    <row r="109" spans="8:12" x14ac:dyDescent="0.3">
      <c r="H109" s="36"/>
      <c r="I109" s="22"/>
      <c r="J109"/>
      <c r="K109"/>
      <c r="L109"/>
    </row>
    <row r="110" spans="8:12" x14ac:dyDescent="0.3">
      <c r="H110" s="36"/>
      <c r="I110" s="22"/>
      <c r="J110"/>
      <c r="K110"/>
      <c r="L110"/>
    </row>
    <row r="111" spans="8:12" x14ac:dyDescent="0.3">
      <c r="H111" s="36"/>
      <c r="I111" s="22"/>
      <c r="J111"/>
      <c r="K111"/>
      <c r="L111"/>
    </row>
    <row r="112" spans="8:12" x14ac:dyDescent="0.3">
      <c r="H112" s="36"/>
      <c r="I112" s="22"/>
      <c r="J112"/>
      <c r="K112"/>
      <c r="L112"/>
    </row>
    <row r="113" spans="8:12" x14ac:dyDescent="0.3">
      <c r="H113" s="36"/>
      <c r="I113" s="22"/>
      <c r="J113"/>
      <c r="K113"/>
      <c r="L113"/>
    </row>
    <row r="114" spans="8:12" x14ac:dyDescent="0.3">
      <c r="H114" s="36"/>
      <c r="I114" s="22"/>
      <c r="J114"/>
      <c r="K114"/>
      <c r="L114"/>
    </row>
    <row r="115" spans="8:12" x14ac:dyDescent="0.3">
      <c r="H115" s="36"/>
      <c r="I115" s="22"/>
      <c r="J115"/>
      <c r="K115"/>
      <c r="L115"/>
    </row>
    <row r="116" spans="8:12" x14ac:dyDescent="0.3">
      <c r="H116" s="36"/>
      <c r="I116" s="22"/>
      <c r="J116"/>
      <c r="K116"/>
      <c r="L116"/>
    </row>
    <row r="117" spans="8:12" x14ac:dyDescent="0.3">
      <c r="H117" s="36"/>
      <c r="I117" s="22"/>
      <c r="J117"/>
      <c r="K117"/>
      <c r="L117"/>
    </row>
    <row r="118" spans="8:12" x14ac:dyDescent="0.3">
      <c r="H118" s="36"/>
      <c r="I118" s="22"/>
      <c r="J118"/>
      <c r="K118"/>
      <c r="L118"/>
    </row>
    <row r="119" spans="8:12" x14ac:dyDescent="0.3">
      <c r="H119" s="36"/>
      <c r="I119" s="22"/>
      <c r="J119"/>
      <c r="K119"/>
      <c r="L119"/>
    </row>
    <row r="120" spans="8:12" x14ac:dyDescent="0.3">
      <c r="H120" s="36"/>
      <c r="I120" s="22"/>
      <c r="J120"/>
      <c r="K120"/>
      <c r="L120"/>
    </row>
    <row r="121" spans="8:12" x14ac:dyDescent="0.3">
      <c r="H121" s="36"/>
      <c r="I121" s="22"/>
      <c r="J121"/>
      <c r="K121"/>
      <c r="L121"/>
    </row>
    <row r="122" spans="8:12" x14ac:dyDescent="0.3">
      <c r="H122" s="36"/>
      <c r="I122" s="22"/>
      <c r="J122"/>
      <c r="K122"/>
      <c r="L122"/>
    </row>
    <row r="123" spans="8:12" x14ac:dyDescent="0.3">
      <c r="H123" s="36"/>
      <c r="I123" s="22"/>
      <c r="J123"/>
      <c r="K123"/>
      <c r="L123"/>
    </row>
    <row r="124" spans="8:12" x14ac:dyDescent="0.3">
      <c r="H124" s="36"/>
      <c r="I124" s="22"/>
      <c r="J124"/>
      <c r="K124"/>
      <c r="L124"/>
    </row>
    <row r="125" spans="8:12" x14ac:dyDescent="0.3">
      <c r="H125" s="36"/>
      <c r="I125" s="22"/>
      <c r="J125"/>
      <c r="K125"/>
      <c r="L125"/>
    </row>
    <row r="126" spans="8:12" x14ac:dyDescent="0.3">
      <c r="H126" s="36"/>
      <c r="I126" s="22"/>
      <c r="J126"/>
      <c r="K126"/>
      <c r="L126"/>
    </row>
    <row r="127" spans="8:12" x14ac:dyDescent="0.3">
      <c r="H127" s="36"/>
      <c r="I127" s="22"/>
      <c r="J127"/>
      <c r="K127"/>
      <c r="L127"/>
    </row>
    <row r="128" spans="8:12" x14ac:dyDescent="0.3">
      <c r="H128" s="36"/>
      <c r="I128" s="22"/>
      <c r="J128"/>
      <c r="K128"/>
      <c r="L128"/>
    </row>
    <row r="129" spans="8:12" x14ac:dyDescent="0.3">
      <c r="H129" s="36"/>
      <c r="I129" s="22"/>
      <c r="J129"/>
      <c r="K129"/>
      <c r="L129"/>
    </row>
    <row r="130" spans="8:12" x14ac:dyDescent="0.3">
      <c r="H130" s="36"/>
      <c r="I130" s="22"/>
      <c r="J130"/>
      <c r="K130"/>
      <c r="L130"/>
    </row>
    <row r="131" spans="8:12" x14ac:dyDescent="0.3">
      <c r="H131" s="36"/>
      <c r="I131" s="22"/>
      <c r="J131"/>
      <c r="K131"/>
      <c r="L131"/>
    </row>
    <row r="132" spans="8:12" x14ac:dyDescent="0.3">
      <c r="H132" s="36"/>
      <c r="I132" s="22"/>
      <c r="J132"/>
      <c r="K132"/>
      <c r="L132"/>
    </row>
    <row r="133" spans="8:12" x14ac:dyDescent="0.3">
      <c r="H133" s="36"/>
      <c r="I133" s="22"/>
      <c r="J133"/>
      <c r="K133"/>
      <c r="L133"/>
    </row>
    <row r="134" spans="8:12" x14ac:dyDescent="0.3">
      <c r="H134" s="36"/>
      <c r="I134" s="22"/>
      <c r="J134"/>
      <c r="K134"/>
      <c r="L134"/>
    </row>
    <row r="135" spans="8:12" x14ac:dyDescent="0.3">
      <c r="H135" s="36"/>
      <c r="I135" s="22"/>
      <c r="J135"/>
      <c r="K135"/>
      <c r="L135"/>
    </row>
    <row r="136" spans="8:12" x14ac:dyDescent="0.3">
      <c r="H136" s="36"/>
      <c r="I136" s="22"/>
      <c r="J136"/>
      <c r="K136"/>
      <c r="L136"/>
    </row>
    <row r="137" spans="8:12" x14ac:dyDescent="0.3">
      <c r="H137" s="36"/>
      <c r="I137" s="22"/>
      <c r="J137"/>
      <c r="K137"/>
      <c r="L137"/>
    </row>
    <row r="138" spans="8:12" x14ac:dyDescent="0.3">
      <c r="H138" s="36"/>
      <c r="I138" s="22"/>
      <c r="J138"/>
      <c r="K138"/>
      <c r="L138"/>
    </row>
    <row r="139" spans="8:12" x14ac:dyDescent="0.3">
      <c r="H139" s="36"/>
      <c r="I139" s="22"/>
      <c r="J139"/>
      <c r="K139"/>
      <c r="L139"/>
    </row>
    <row r="140" spans="8:12" x14ac:dyDescent="0.3">
      <c r="H140" s="36"/>
      <c r="I140" s="22"/>
      <c r="J140"/>
      <c r="K140"/>
      <c r="L140"/>
    </row>
    <row r="141" spans="8:12" x14ac:dyDescent="0.3">
      <c r="H141" s="36"/>
      <c r="I141" s="22"/>
      <c r="J141"/>
      <c r="K141"/>
      <c r="L141"/>
    </row>
    <row r="142" spans="8:12" x14ac:dyDescent="0.3">
      <c r="H142" s="36"/>
      <c r="I142" s="22"/>
      <c r="J142"/>
      <c r="K142"/>
      <c r="L142"/>
    </row>
    <row r="143" spans="8:12" x14ac:dyDescent="0.3">
      <c r="H143" s="36"/>
      <c r="I143" s="22"/>
      <c r="J143"/>
      <c r="K143"/>
      <c r="L143"/>
    </row>
    <row r="144" spans="8:12" x14ac:dyDescent="0.3">
      <c r="H144" s="36"/>
      <c r="I144" s="22"/>
      <c r="J144"/>
      <c r="K144"/>
      <c r="L144"/>
    </row>
    <row r="145" spans="8:12" x14ac:dyDescent="0.3">
      <c r="H145" s="36"/>
      <c r="I145" s="22"/>
      <c r="J145"/>
      <c r="K145"/>
      <c r="L145"/>
    </row>
    <row r="146" spans="8:12" x14ac:dyDescent="0.3">
      <c r="H146" s="36"/>
      <c r="I146" s="22"/>
      <c r="J146"/>
      <c r="K146"/>
      <c r="L146"/>
    </row>
    <row r="147" spans="8:12" x14ac:dyDescent="0.3">
      <c r="H147" s="36"/>
      <c r="I147" s="22"/>
      <c r="J147"/>
      <c r="K147"/>
      <c r="L147"/>
    </row>
    <row r="148" spans="8:12" x14ac:dyDescent="0.3">
      <c r="H148" s="36"/>
      <c r="I148" s="22"/>
      <c r="J148"/>
      <c r="K148"/>
      <c r="L148"/>
    </row>
    <row r="149" spans="8:12" x14ac:dyDescent="0.3">
      <c r="H149" s="36"/>
      <c r="I149" s="22"/>
      <c r="J149"/>
      <c r="K149"/>
      <c r="L149"/>
    </row>
    <row r="150" spans="8:12" x14ac:dyDescent="0.3">
      <c r="H150" s="36"/>
      <c r="I150" s="22"/>
      <c r="J150"/>
      <c r="K150"/>
      <c r="L150"/>
    </row>
    <row r="151" spans="8:12" x14ac:dyDescent="0.3">
      <c r="H151" s="36"/>
      <c r="I151" s="22"/>
      <c r="J151"/>
      <c r="K151"/>
      <c r="L151"/>
    </row>
    <row r="152" spans="8:12" x14ac:dyDescent="0.3">
      <c r="H152" s="36"/>
      <c r="I152" s="22"/>
      <c r="J152"/>
      <c r="K152"/>
      <c r="L152"/>
    </row>
    <row r="153" spans="8:12" x14ac:dyDescent="0.3">
      <c r="H153" s="36"/>
      <c r="I153" s="22"/>
      <c r="J153"/>
      <c r="K153"/>
      <c r="L153"/>
    </row>
    <row r="154" spans="8:12" x14ac:dyDescent="0.3">
      <c r="H154" s="36"/>
      <c r="I154" s="22"/>
      <c r="J154"/>
      <c r="K154"/>
      <c r="L154"/>
    </row>
    <row r="155" spans="8:12" x14ac:dyDescent="0.3">
      <c r="H155" s="36"/>
      <c r="I155" s="22"/>
      <c r="J155"/>
      <c r="K155"/>
      <c r="L155"/>
    </row>
    <row r="156" spans="8:12" x14ac:dyDescent="0.3">
      <c r="H156" s="36"/>
      <c r="I156" s="22"/>
      <c r="J156"/>
      <c r="K156"/>
      <c r="L156"/>
    </row>
    <row r="157" spans="8:12" x14ac:dyDescent="0.3">
      <c r="H157" s="36"/>
      <c r="I157" s="22"/>
      <c r="J157"/>
      <c r="K157"/>
      <c r="L157"/>
    </row>
    <row r="158" spans="8:12" x14ac:dyDescent="0.3">
      <c r="H158" s="36"/>
      <c r="I158" s="22"/>
      <c r="J158"/>
      <c r="K158"/>
      <c r="L158"/>
    </row>
    <row r="159" spans="8:12" x14ac:dyDescent="0.3">
      <c r="H159" s="36"/>
      <c r="I159" s="22"/>
      <c r="J159"/>
      <c r="K159"/>
      <c r="L159"/>
    </row>
    <row r="160" spans="8:12" x14ac:dyDescent="0.3">
      <c r="H160" s="36"/>
      <c r="I160" s="22"/>
      <c r="J160"/>
      <c r="K160"/>
      <c r="L160"/>
    </row>
    <row r="161" spans="8:12" x14ac:dyDescent="0.3">
      <c r="H161" s="36"/>
      <c r="I161" s="22"/>
      <c r="J161"/>
      <c r="K161"/>
      <c r="L161"/>
    </row>
    <row r="162" spans="8:12" x14ac:dyDescent="0.3">
      <c r="H162" s="36"/>
      <c r="I162" s="22"/>
      <c r="J162"/>
      <c r="K162"/>
      <c r="L162"/>
    </row>
    <row r="163" spans="8:12" x14ac:dyDescent="0.3">
      <c r="H163" s="36"/>
      <c r="I163" s="22"/>
      <c r="J163"/>
      <c r="K163"/>
      <c r="L163"/>
    </row>
    <row r="164" spans="8:12" x14ac:dyDescent="0.3">
      <c r="H164" s="36"/>
      <c r="I164" s="22"/>
      <c r="J164"/>
      <c r="K164"/>
      <c r="L164"/>
    </row>
    <row r="165" spans="8:12" x14ac:dyDescent="0.3">
      <c r="H165" s="36"/>
      <c r="I165" s="22"/>
      <c r="J165"/>
      <c r="K165"/>
      <c r="L165"/>
    </row>
    <row r="166" spans="8:12" x14ac:dyDescent="0.3">
      <c r="H166" s="36"/>
      <c r="I166" s="22"/>
      <c r="J166"/>
      <c r="K166"/>
      <c r="L166"/>
    </row>
    <row r="167" spans="8:12" x14ac:dyDescent="0.3">
      <c r="H167" s="36"/>
      <c r="I167" s="22"/>
      <c r="J167"/>
      <c r="K167"/>
      <c r="L167"/>
    </row>
    <row r="168" spans="8:12" x14ac:dyDescent="0.3">
      <c r="H168" s="36"/>
      <c r="I168" s="22"/>
      <c r="J168"/>
      <c r="K168"/>
      <c r="L168"/>
    </row>
    <row r="169" spans="8:12" x14ac:dyDescent="0.3">
      <c r="H169" s="36"/>
      <c r="I169" s="22"/>
      <c r="J169"/>
      <c r="K169"/>
      <c r="L169"/>
    </row>
    <row r="170" spans="8:12" x14ac:dyDescent="0.3">
      <c r="H170" s="36"/>
      <c r="I170" s="22"/>
      <c r="J170"/>
      <c r="K170"/>
      <c r="L170"/>
    </row>
    <row r="171" spans="8:12" x14ac:dyDescent="0.3">
      <c r="H171" s="36"/>
      <c r="I171" s="22"/>
      <c r="J171"/>
      <c r="K171"/>
      <c r="L171"/>
    </row>
    <row r="172" spans="8:12" x14ac:dyDescent="0.3">
      <c r="H172" s="36"/>
      <c r="I172" s="22"/>
      <c r="J172"/>
      <c r="K172"/>
      <c r="L172"/>
    </row>
    <row r="173" spans="8:12" x14ac:dyDescent="0.3">
      <c r="H173" s="36"/>
      <c r="I173" s="22"/>
      <c r="J173"/>
      <c r="K173"/>
      <c r="L173"/>
    </row>
    <row r="174" spans="8:12" x14ac:dyDescent="0.3">
      <c r="H174" s="36"/>
      <c r="I174" s="22"/>
      <c r="J174"/>
      <c r="K174"/>
      <c r="L174"/>
    </row>
    <row r="175" spans="8:12" x14ac:dyDescent="0.3">
      <c r="H175" s="36"/>
      <c r="I175" s="22"/>
      <c r="J175"/>
      <c r="K175"/>
      <c r="L175"/>
    </row>
    <row r="176" spans="8:12" x14ac:dyDescent="0.3">
      <c r="H176" s="36"/>
      <c r="I176" s="22"/>
      <c r="J176"/>
      <c r="K176"/>
      <c r="L176"/>
    </row>
    <row r="177" spans="8:12" x14ac:dyDescent="0.3">
      <c r="H177" s="36"/>
      <c r="I177" s="22"/>
      <c r="J177"/>
      <c r="K177"/>
      <c r="L177"/>
    </row>
    <row r="178" spans="8:12" x14ac:dyDescent="0.3">
      <c r="H178" s="36"/>
      <c r="I178" s="22"/>
      <c r="J178"/>
      <c r="K178"/>
      <c r="L178"/>
    </row>
    <row r="179" spans="8:12" x14ac:dyDescent="0.3">
      <c r="H179" s="36"/>
      <c r="I179" s="22"/>
      <c r="J179"/>
      <c r="K179"/>
      <c r="L179"/>
    </row>
    <row r="180" spans="8:12" x14ac:dyDescent="0.3">
      <c r="H180" s="36"/>
      <c r="I180" s="22"/>
      <c r="J180"/>
      <c r="K180"/>
      <c r="L180"/>
    </row>
    <row r="181" spans="8:12" x14ac:dyDescent="0.3">
      <c r="H181" s="36"/>
      <c r="I181" s="22"/>
      <c r="J181"/>
      <c r="K181"/>
      <c r="L181"/>
    </row>
    <row r="182" spans="8:12" x14ac:dyDescent="0.3">
      <c r="H182" s="36"/>
      <c r="I182" s="22"/>
      <c r="J182"/>
      <c r="K182"/>
      <c r="L182"/>
    </row>
    <row r="183" spans="8:12" x14ac:dyDescent="0.3">
      <c r="H183" s="36"/>
      <c r="I183" s="22"/>
      <c r="J183"/>
      <c r="K183"/>
      <c r="L183"/>
    </row>
    <row r="184" spans="8:12" x14ac:dyDescent="0.3">
      <c r="H184" s="36"/>
      <c r="I184" s="22"/>
      <c r="J184"/>
      <c r="K184"/>
      <c r="L184"/>
    </row>
    <row r="185" spans="8:12" x14ac:dyDescent="0.3">
      <c r="H185" s="36"/>
      <c r="I185" s="22"/>
      <c r="J185"/>
      <c r="K185"/>
      <c r="L185"/>
    </row>
    <row r="186" spans="8:12" x14ac:dyDescent="0.3">
      <c r="H186" s="36"/>
      <c r="I186" s="22"/>
      <c r="J186"/>
      <c r="K186"/>
      <c r="L186"/>
    </row>
    <row r="187" spans="8:12" x14ac:dyDescent="0.3">
      <c r="H187" s="36"/>
      <c r="I187" s="22"/>
      <c r="J187"/>
      <c r="K187"/>
      <c r="L187"/>
    </row>
    <row r="188" spans="8:12" x14ac:dyDescent="0.3">
      <c r="H188" s="36"/>
      <c r="I188" s="22"/>
      <c r="J188"/>
      <c r="K188"/>
      <c r="L188"/>
    </row>
    <row r="189" spans="8:12" x14ac:dyDescent="0.3">
      <c r="H189" s="36"/>
      <c r="I189" s="22"/>
      <c r="J189"/>
      <c r="K189"/>
      <c r="L189"/>
    </row>
    <row r="190" spans="8:12" x14ac:dyDescent="0.3">
      <c r="H190" s="36"/>
      <c r="I190" s="22"/>
      <c r="J190"/>
      <c r="K190"/>
      <c r="L190"/>
    </row>
    <row r="191" spans="8:12" x14ac:dyDescent="0.3">
      <c r="H191" s="36"/>
      <c r="I191" s="22"/>
      <c r="J191"/>
      <c r="K191"/>
      <c r="L191"/>
    </row>
    <row r="192" spans="8:12" x14ac:dyDescent="0.3">
      <c r="H192" s="36"/>
      <c r="I192" s="22"/>
      <c r="J192"/>
      <c r="K192"/>
      <c r="L192"/>
    </row>
    <row r="193" spans="8:12" x14ac:dyDescent="0.3">
      <c r="H193" s="36"/>
      <c r="I193" s="22"/>
      <c r="J193"/>
      <c r="K193"/>
      <c r="L193"/>
    </row>
    <row r="194" spans="8:12" x14ac:dyDescent="0.3">
      <c r="H194" s="36"/>
      <c r="I194" s="22"/>
      <c r="J194"/>
      <c r="K194"/>
      <c r="L194"/>
    </row>
    <row r="195" spans="8:12" x14ac:dyDescent="0.3">
      <c r="H195" s="36"/>
      <c r="I195" s="22"/>
      <c r="J195"/>
      <c r="K195"/>
      <c r="L195"/>
    </row>
    <row r="196" spans="8:12" x14ac:dyDescent="0.3">
      <c r="H196" s="36"/>
      <c r="I196" s="22"/>
      <c r="J196"/>
      <c r="K196"/>
      <c r="L196"/>
    </row>
    <row r="197" spans="8:12" x14ac:dyDescent="0.3">
      <c r="H197" s="36"/>
      <c r="I197" s="22"/>
      <c r="J197"/>
      <c r="K197"/>
      <c r="L197"/>
    </row>
    <row r="198" spans="8:12" x14ac:dyDescent="0.3">
      <c r="H198" s="36"/>
      <c r="I198" s="22"/>
      <c r="J198"/>
      <c r="K198"/>
      <c r="L198"/>
    </row>
    <row r="199" spans="8:12" x14ac:dyDescent="0.3">
      <c r="H199" s="36"/>
      <c r="I199" s="22"/>
      <c r="J199"/>
      <c r="K199"/>
      <c r="L199"/>
    </row>
    <row r="200" spans="8:12" x14ac:dyDescent="0.3">
      <c r="H200" s="36"/>
      <c r="I200" s="22"/>
      <c r="J200"/>
      <c r="K200"/>
      <c r="L200"/>
    </row>
    <row r="201" spans="8:12" x14ac:dyDescent="0.3">
      <c r="H201" s="36"/>
      <c r="I201" s="22"/>
      <c r="L201"/>
    </row>
    <row r="202" spans="8:12" x14ac:dyDescent="0.3">
      <c r="H202" s="36"/>
      <c r="I202" s="22"/>
      <c r="L202"/>
    </row>
  </sheetData>
  <sheetProtection sheet="1" objects="1" scenarios="1" selectLockedCells="1"/>
  <conditionalFormatting sqref="B36">
    <cfRule type="expression" dxfId="213" priority="1">
      <formula>$B$36="Total w/multiplier"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L33"/>
  <sheetViews>
    <sheetView showGridLines="0" workbookViewId="0">
      <selection activeCell="K9" sqref="K9"/>
    </sheetView>
  </sheetViews>
  <sheetFormatPr defaultRowHeight="14.4" x14ac:dyDescent="0.3"/>
  <cols>
    <col min="1" max="1" width="9.109375" customWidth="1"/>
    <col min="2" max="2" width="33.6640625" customWidth="1"/>
    <col min="3" max="3" width="10" style="17" customWidth="1"/>
    <col min="4" max="5" width="8.6640625" style="17" customWidth="1"/>
    <col min="6" max="6" width="8.6640625" style="20" customWidth="1"/>
    <col min="7" max="7" width="8.6640625" style="17" customWidth="1"/>
    <col min="8" max="8" width="13.5546875" customWidth="1"/>
    <col min="9" max="9" width="5.6640625" customWidth="1"/>
    <col min="10" max="10" width="10.6640625" customWidth="1"/>
    <col min="11" max="11" width="6.6640625" style="120" customWidth="1"/>
    <col min="12" max="12" width="8.6640625" customWidth="1"/>
  </cols>
  <sheetData>
    <row r="1" spans="2:12" ht="6" customHeight="1" x14ac:dyDescent="0.3">
      <c r="L1" s="1"/>
    </row>
    <row r="2" spans="2:12" ht="39" customHeight="1" thickBot="1" x14ac:dyDescent="0.45">
      <c r="B2" s="2" t="s">
        <v>122</v>
      </c>
      <c r="C2" s="72"/>
      <c r="D2" s="72"/>
      <c r="E2" s="72"/>
      <c r="F2" s="55"/>
      <c r="G2" s="72"/>
      <c r="H2" s="2"/>
      <c r="I2" s="2"/>
      <c r="J2" s="2"/>
      <c r="K2" s="2"/>
      <c r="L2" s="19"/>
    </row>
    <row r="3" spans="2:12" ht="9" customHeight="1" thickTop="1" x14ac:dyDescent="0.3">
      <c r="K3"/>
      <c r="L3" s="1"/>
    </row>
    <row r="4" spans="2:12" x14ac:dyDescent="0.3">
      <c r="B4" s="3" t="str">
        <f>IF(ProjectName="","",ProjectName)</f>
        <v/>
      </c>
      <c r="J4" s="5" t="s">
        <v>15</v>
      </c>
      <c r="K4" s="119" t="str">
        <f>IF(EstimatorName="","",EstimatorName)</f>
        <v/>
      </c>
      <c r="L4" s="1"/>
    </row>
    <row r="5" spans="2:12" ht="15" customHeight="1" x14ac:dyDescent="0.3">
      <c r="B5" s="9" t="str">
        <f>IF(ProjectAddress="","",ProjectAddress)</f>
        <v/>
      </c>
      <c r="J5" s="5" t="s">
        <v>16</v>
      </c>
      <c r="K5" s="119" t="str">
        <f>IF(EstimateNo="","",EstimateNo)</f>
        <v/>
      </c>
      <c r="L5" s="1"/>
    </row>
    <row r="6" spans="2:12" ht="15" customHeight="1" x14ac:dyDescent="0.3">
      <c r="B6" s="9"/>
      <c r="J6" s="5"/>
      <c r="K6" s="119"/>
      <c r="L6" s="1"/>
    </row>
    <row r="7" spans="2:12" ht="23.4" x14ac:dyDescent="0.45">
      <c r="B7" s="6" t="s">
        <v>10</v>
      </c>
    </row>
    <row r="8" spans="2:12" ht="18" x14ac:dyDescent="0.35">
      <c r="B8" s="12" t="s">
        <v>50</v>
      </c>
      <c r="C8" s="142" t="s">
        <v>90</v>
      </c>
      <c r="D8" s="126" t="s">
        <v>39</v>
      </c>
      <c r="E8" s="126"/>
      <c r="F8" s="126" t="s">
        <v>40</v>
      </c>
      <c r="G8" s="126"/>
      <c r="H8" s="46" t="s">
        <v>94</v>
      </c>
      <c r="J8" s="129" t="s">
        <v>92</v>
      </c>
      <c r="K8" s="130"/>
    </row>
    <row r="9" spans="2:12" x14ac:dyDescent="0.3">
      <c r="B9" s="122" t="str">
        <f>IF(Lists!F2="","",Lists!F2)</f>
        <v/>
      </c>
      <c r="C9" s="138">
        <f>SUMIFS('SM-EST-Dampers'!K:K,SM_DamperName,DamperTable[[#This Row],[Column1]])</f>
        <v>0</v>
      </c>
      <c r="D9" s="143">
        <f>SUMIFS('SM-EST-Dampers'!H:H,SM_DamperName,DamperTable[[#This Row],[Column1]])*24</f>
        <v>0</v>
      </c>
      <c r="E9" s="103" t="str">
        <f t="shared" ref="E9:E32" si="0">IF(D9=0,"","hrs")</f>
        <v/>
      </c>
      <c r="F9" s="143">
        <f>SUMIFS('SM-EST-Dampers'!I:I,SM_DamperName,DamperTable[[#This Row],[Column1]])*24</f>
        <v>0</v>
      </c>
      <c r="G9" s="103" t="str">
        <f t="shared" ref="G9:G32" si="1">IF(F9=0,"","hrs")</f>
        <v/>
      </c>
      <c r="H9" s="147">
        <f>SUMIFS('SM-EST-Dampers'!J:J,SM_DamperName,DamperTable[[#This Row],[Column1]])</f>
        <v>0</v>
      </c>
      <c r="J9" s="131" t="s">
        <v>39</v>
      </c>
      <c r="K9" s="220">
        <v>1</v>
      </c>
    </row>
    <row r="10" spans="2:12" x14ac:dyDescent="0.3">
      <c r="B10" s="122" t="str">
        <f>IF(Lists!F3="","",Lists!F3)</f>
        <v/>
      </c>
      <c r="C10" s="138">
        <f>SUMIFS('SM-EST-Dampers'!K:K,SM_DamperName,DamperTable[[#This Row],[Column1]])</f>
        <v>0</v>
      </c>
      <c r="D10" s="143">
        <f>SUMIFS('SM-EST-Dampers'!H:H,SM_DamperName,DamperTable[[#This Row],[Column1]])*24</f>
        <v>0</v>
      </c>
      <c r="E10" s="103" t="str">
        <f t="shared" si="0"/>
        <v/>
      </c>
      <c r="F10" s="143">
        <f>SUMIFS('SM-EST-Dampers'!I:I,SM_DamperName,DamperTable[[#This Row],[Column1]])*24</f>
        <v>0</v>
      </c>
      <c r="G10" s="103" t="str">
        <f t="shared" si="1"/>
        <v/>
      </c>
      <c r="H10" s="147">
        <f>SUMIFS('SM-EST-Dampers'!J:J,SM_DamperName,DamperTable[[#This Row],[Column1]])</f>
        <v>0</v>
      </c>
      <c r="J10" s="132" t="s">
        <v>40</v>
      </c>
      <c r="K10" s="221">
        <v>1</v>
      </c>
    </row>
    <row r="11" spans="2:12" x14ac:dyDescent="0.3">
      <c r="B11" s="122" t="str">
        <f>IF(Lists!F4="","",Lists!F4)</f>
        <v/>
      </c>
      <c r="C11" s="138">
        <f>SUMIFS('SM-EST-Dampers'!K:K,SM_DamperName,DamperTable[[#This Row],[Column1]])</f>
        <v>0</v>
      </c>
      <c r="D11" s="143">
        <f>SUMIFS('SM-EST-Dampers'!H:H,SM_DamperName,DamperTable[[#This Row],[Column1]])*24</f>
        <v>0</v>
      </c>
      <c r="E11" s="103" t="str">
        <f t="shared" si="0"/>
        <v/>
      </c>
      <c r="F11" s="143">
        <f>SUMIFS('SM-EST-Dampers'!I:I,SM_DamperName,DamperTable[[#This Row],[Column1]])*24</f>
        <v>0</v>
      </c>
      <c r="G11" s="103" t="str">
        <f t="shared" si="1"/>
        <v/>
      </c>
      <c r="H11" s="147">
        <f>SUMIFS('SM-EST-Dampers'!J:J,SM_DamperName,DamperTable[[#This Row],[Column1]])</f>
        <v>0</v>
      </c>
      <c r="J11" s="133" t="s">
        <v>48</v>
      </c>
      <c r="K11" s="222">
        <v>1</v>
      </c>
    </row>
    <row r="12" spans="2:12" x14ac:dyDescent="0.3">
      <c r="B12" s="122" t="str">
        <f>IF(Lists!F5="","",Lists!F5)</f>
        <v/>
      </c>
      <c r="C12" s="138">
        <f>SUMIFS('SM-EST-Dampers'!K:K,SM_DamperName,DamperTable[[#This Row],[Column1]])</f>
        <v>0</v>
      </c>
      <c r="D12" s="143">
        <f>SUMIFS('SM-EST-Dampers'!H:H,SM_DamperName,DamperTable[[#This Row],[Column1]])*24</f>
        <v>0</v>
      </c>
      <c r="E12" s="103" t="str">
        <f t="shared" si="0"/>
        <v/>
      </c>
      <c r="F12" s="143">
        <f>SUMIFS('SM-EST-Dampers'!I:I,SM_DamperName,DamperTable[[#This Row],[Column1]])*24</f>
        <v>0</v>
      </c>
      <c r="G12" s="103" t="str">
        <f t="shared" si="1"/>
        <v/>
      </c>
      <c r="H12" s="147">
        <f>SUMIFS('SM-EST-Dampers'!J:J,SM_DamperName,DamperTable[[#This Row],[Column1]])</f>
        <v>0</v>
      </c>
      <c r="J12" s="16"/>
      <c r="K12"/>
      <c r="L12" s="120"/>
    </row>
    <row r="13" spans="2:12" x14ac:dyDescent="0.3">
      <c r="B13" s="122" t="str">
        <f>IF(Lists!F6="","",Lists!F6)</f>
        <v/>
      </c>
      <c r="C13" s="138">
        <f>SUMIFS('SM-EST-Dampers'!K:K,SM_DamperName,DamperTable[[#This Row],[Column1]])</f>
        <v>0</v>
      </c>
      <c r="D13" s="143">
        <f>SUMIFS('SM-EST-Dampers'!H:H,SM_DamperName,DamperTable[[#This Row],[Column1]])*24</f>
        <v>0</v>
      </c>
      <c r="E13" s="103" t="str">
        <f t="shared" si="0"/>
        <v/>
      </c>
      <c r="F13" s="143">
        <f>SUMIFS('SM-EST-Dampers'!I:I,SM_DamperName,DamperTable[[#This Row],[Column1]])*24</f>
        <v>0</v>
      </c>
      <c r="G13" s="103" t="str">
        <f t="shared" si="1"/>
        <v/>
      </c>
      <c r="H13" s="147">
        <f>SUMIFS('SM-EST-Dampers'!J:J,SM_DamperName,DamperTable[[#This Row],[Column1]])</f>
        <v>0</v>
      </c>
      <c r="J13" s="16"/>
      <c r="K13"/>
      <c r="L13" s="120"/>
    </row>
    <row r="14" spans="2:12" x14ac:dyDescent="0.3">
      <c r="B14" s="122" t="str">
        <f>IF(Lists!F7="","",Lists!F7)</f>
        <v/>
      </c>
      <c r="C14" s="138">
        <f>SUMIFS('SM-EST-Dampers'!K:K,SM_DamperName,DamperTable[[#This Row],[Column1]])</f>
        <v>0</v>
      </c>
      <c r="D14" s="143">
        <f>SUMIFS('SM-EST-Dampers'!H:H,SM_DamperName,DamperTable[[#This Row],[Column1]])*24</f>
        <v>0</v>
      </c>
      <c r="E14" s="103" t="str">
        <f t="shared" si="0"/>
        <v/>
      </c>
      <c r="F14" s="143">
        <f>SUMIFS('SM-EST-Dampers'!I:I,SM_DamperName,DamperTable[[#This Row],[Column1]])*24</f>
        <v>0</v>
      </c>
      <c r="G14" s="103" t="str">
        <f t="shared" si="1"/>
        <v/>
      </c>
      <c r="H14" s="147">
        <f>SUMIFS('SM-EST-Dampers'!J:J,SM_DamperName,DamperTable[[#This Row],[Column1]])</f>
        <v>0</v>
      </c>
      <c r="J14" s="16"/>
      <c r="K14"/>
      <c r="L14" s="120"/>
    </row>
    <row r="15" spans="2:12" x14ac:dyDescent="0.3">
      <c r="B15" s="122" t="str">
        <f>IF(Lists!F8="","",Lists!F8)</f>
        <v/>
      </c>
      <c r="C15" s="138">
        <f>SUMIFS('SM-EST-Dampers'!K:K,SM_DamperName,DamperTable[[#This Row],[Column1]])</f>
        <v>0</v>
      </c>
      <c r="D15" s="143">
        <f>SUMIFS('SM-EST-Dampers'!H:H,SM_DamperName,DamperTable[[#This Row],[Column1]])*24</f>
        <v>0</v>
      </c>
      <c r="E15" s="103" t="str">
        <f t="shared" si="0"/>
        <v/>
      </c>
      <c r="F15" s="143">
        <f>SUMIFS('SM-EST-Dampers'!I:I,SM_DamperName,DamperTable[[#This Row],[Column1]])*24</f>
        <v>0</v>
      </c>
      <c r="G15" s="103" t="str">
        <f t="shared" si="1"/>
        <v/>
      </c>
      <c r="H15" s="147">
        <f>SUMIFS('SM-EST-Dampers'!J:J,SM_DamperName,DamperTable[[#This Row],[Column1]])</f>
        <v>0</v>
      </c>
      <c r="J15" s="16"/>
      <c r="K15"/>
      <c r="L15" s="120"/>
    </row>
    <row r="16" spans="2:12" x14ac:dyDescent="0.3">
      <c r="B16" s="122" t="str">
        <f>IF(Lists!F9="","",Lists!F9)</f>
        <v/>
      </c>
      <c r="C16" s="138">
        <f>SUMIFS('SM-EST-Dampers'!K:K,SM_DamperName,DamperTable[[#This Row],[Column1]])</f>
        <v>0</v>
      </c>
      <c r="D16" s="143">
        <f>SUMIFS('SM-EST-Dampers'!H:H,SM_DamperName,DamperTable[[#This Row],[Column1]])*24</f>
        <v>0</v>
      </c>
      <c r="E16" s="103" t="str">
        <f t="shared" si="0"/>
        <v/>
      </c>
      <c r="F16" s="143">
        <f>SUMIFS('SM-EST-Dampers'!I:I,SM_DamperName,DamperTable[[#This Row],[Column1]])*24</f>
        <v>0</v>
      </c>
      <c r="G16" s="103" t="str">
        <f t="shared" si="1"/>
        <v/>
      </c>
      <c r="H16" s="147">
        <f>SUMIFS('SM-EST-Dampers'!J:J,SM_DamperName,DamperTable[[#This Row],[Column1]])</f>
        <v>0</v>
      </c>
      <c r="J16" s="16"/>
      <c r="K16"/>
      <c r="L16" s="120"/>
    </row>
    <row r="17" spans="2:12" x14ac:dyDescent="0.3">
      <c r="B17" s="122" t="str">
        <f>IF(Lists!F10="","",Lists!F10)</f>
        <v/>
      </c>
      <c r="C17" s="138">
        <f>SUMIFS('SM-EST-Dampers'!K:K,SM_DamperName,DamperTable[[#This Row],[Column1]])</f>
        <v>0</v>
      </c>
      <c r="D17" s="143">
        <f>SUMIFS('SM-EST-Dampers'!H:H,SM_DamperName,DamperTable[[#This Row],[Column1]])*24</f>
        <v>0</v>
      </c>
      <c r="E17" s="103" t="str">
        <f t="shared" si="0"/>
        <v/>
      </c>
      <c r="F17" s="143">
        <f>SUMIFS('SM-EST-Dampers'!I:I,SM_DamperName,DamperTable[[#This Row],[Column1]])*24</f>
        <v>0</v>
      </c>
      <c r="G17" s="103" t="str">
        <f t="shared" si="1"/>
        <v/>
      </c>
      <c r="H17" s="147">
        <f>SUMIFS('SM-EST-Dampers'!J:J,SM_DamperName,DamperTable[[#This Row],[Column1]])</f>
        <v>0</v>
      </c>
      <c r="J17" s="16"/>
      <c r="K17"/>
      <c r="L17" s="120"/>
    </row>
    <row r="18" spans="2:12" x14ac:dyDescent="0.3">
      <c r="B18" s="122" t="str">
        <f>IF(Lists!F11="","",Lists!F11)</f>
        <v/>
      </c>
      <c r="C18" s="138">
        <f>SUMIFS('SM-EST-Dampers'!K:K,SM_DamperName,DamperTable[[#This Row],[Column1]])</f>
        <v>0</v>
      </c>
      <c r="D18" s="143">
        <f>SUMIFS('SM-EST-Dampers'!H:H,SM_DamperName,DamperTable[[#This Row],[Column1]])*24</f>
        <v>0</v>
      </c>
      <c r="E18" s="103" t="str">
        <f t="shared" si="0"/>
        <v/>
      </c>
      <c r="F18" s="143">
        <f>SUMIFS('SM-EST-Dampers'!I:I,SM_DamperName,DamperTable[[#This Row],[Column1]])*24</f>
        <v>0</v>
      </c>
      <c r="G18" s="103" t="str">
        <f t="shared" si="1"/>
        <v/>
      </c>
      <c r="H18" s="147">
        <f>SUMIFS('SM-EST-Dampers'!J:J,SM_DamperName,DamperTable[[#This Row],[Column1]])</f>
        <v>0</v>
      </c>
      <c r="J18" s="16"/>
      <c r="K18"/>
      <c r="L18" s="120"/>
    </row>
    <row r="19" spans="2:12" x14ac:dyDescent="0.3">
      <c r="B19" s="122" t="str">
        <f>IF(Lists!F12="","",Lists!F12)</f>
        <v/>
      </c>
      <c r="C19" s="138">
        <f>SUMIFS('SM-EST-Dampers'!K:K,SM_DamperName,DamperTable[[#This Row],[Column1]])</f>
        <v>0</v>
      </c>
      <c r="D19" s="143">
        <f>SUMIFS('SM-EST-Dampers'!H:H,SM_DamperName,DamperTable[[#This Row],[Column1]])*24</f>
        <v>0</v>
      </c>
      <c r="E19" s="103" t="str">
        <f t="shared" si="0"/>
        <v/>
      </c>
      <c r="F19" s="143">
        <f>SUMIFS('SM-EST-Dampers'!I:I,SM_DamperName,DamperTable[[#This Row],[Column1]])*24</f>
        <v>0</v>
      </c>
      <c r="G19" s="103" t="str">
        <f t="shared" si="1"/>
        <v/>
      </c>
      <c r="H19" s="147">
        <f>SUMIFS('SM-EST-Dampers'!J:J,SM_DamperName,DamperTable[[#This Row],[Column1]])</f>
        <v>0</v>
      </c>
      <c r="J19" s="16"/>
      <c r="K19"/>
      <c r="L19" s="120"/>
    </row>
    <row r="20" spans="2:12" x14ac:dyDescent="0.3">
      <c r="B20" s="122" t="str">
        <f>IF(Lists!F13="","",Lists!F13)</f>
        <v/>
      </c>
      <c r="C20" s="138">
        <f>SUMIFS('SM-EST-Dampers'!K:K,SM_DamperName,DamperTable[[#This Row],[Column1]])</f>
        <v>0</v>
      </c>
      <c r="D20" s="143">
        <f>SUMIFS('SM-EST-Dampers'!H:H,SM_DamperName,DamperTable[[#This Row],[Column1]])*24</f>
        <v>0</v>
      </c>
      <c r="E20" s="103" t="str">
        <f t="shared" si="0"/>
        <v/>
      </c>
      <c r="F20" s="143">
        <f>SUMIFS('SM-EST-Dampers'!I:I,SM_DamperName,DamperTable[[#This Row],[Column1]])*24</f>
        <v>0</v>
      </c>
      <c r="G20" s="103" t="str">
        <f t="shared" si="1"/>
        <v/>
      </c>
      <c r="H20" s="147">
        <f>SUMIFS('SM-EST-Dampers'!J:J,SM_DamperName,DamperTable[[#This Row],[Column1]])</f>
        <v>0</v>
      </c>
      <c r="J20" s="16"/>
      <c r="K20"/>
      <c r="L20" s="120"/>
    </row>
    <row r="21" spans="2:12" x14ac:dyDescent="0.3">
      <c r="B21" s="122" t="str">
        <f>IF(Lists!F14="","",Lists!F14)</f>
        <v/>
      </c>
      <c r="C21" s="138">
        <f>SUMIFS('SM-EST-Dampers'!K:K,SM_DamperName,DamperTable[[#This Row],[Column1]])</f>
        <v>0</v>
      </c>
      <c r="D21" s="143">
        <f>SUMIFS('SM-EST-Dampers'!H:H,SM_DamperName,DamperTable[[#This Row],[Column1]])*24</f>
        <v>0</v>
      </c>
      <c r="E21" s="103" t="str">
        <f t="shared" si="0"/>
        <v/>
      </c>
      <c r="F21" s="143">
        <f>SUMIFS('SM-EST-Dampers'!I:I,SM_DamperName,DamperTable[[#This Row],[Column1]])*24</f>
        <v>0</v>
      </c>
      <c r="G21" s="103" t="str">
        <f t="shared" si="1"/>
        <v/>
      </c>
      <c r="H21" s="147">
        <f>SUMIFS('SM-EST-Dampers'!J:J,SM_DamperName,DamperTable[[#This Row],[Column1]])</f>
        <v>0</v>
      </c>
      <c r="J21" s="16"/>
      <c r="K21"/>
      <c r="L21" s="120"/>
    </row>
    <row r="22" spans="2:12" x14ac:dyDescent="0.3">
      <c r="B22" s="122" t="str">
        <f>IF(Lists!F15="","",Lists!F15)</f>
        <v/>
      </c>
      <c r="C22" s="138">
        <f>SUMIFS('SM-EST-Dampers'!K:K,SM_DamperName,DamperTable[[#This Row],[Column1]])</f>
        <v>0</v>
      </c>
      <c r="D22" s="143">
        <f>SUMIFS('SM-EST-Dampers'!H:H,SM_DamperName,DamperTable[[#This Row],[Column1]])*24</f>
        <v>0</v>
      </c>
      <c r="E22" s="103" t="str">
        <f t="shared" si="0"/>
        <v/>
      </c>
      <c r="F22" s="143">
        <f>SUMIFS('SM-EST-Dampers'!I:I,SM_DamperName,DamperTable[[#This Row],[Column1]])*24</f>
        <v>0</v>
      </c>
      <c r="G22" s="103" t="str">
        <f t="shared" si="1"/>
        <v/>
      </c>
      <c r="H22" s="147">
        <f>SUMIFS('SM-EST-Dampers'!J:J,SM_DamperName,DamperTable[[#This Row],[Column1]])</f>
        <v>0</v>
      </c>
      <c r="J22" s="16"/>
      <c r="K22"/>
      <c r="L22" s="120"/>
    </row>
    <row r="23" spans="2:12" x14ac:dyDescent="0.3">
      <c r="B23" s="122" t="str">
        <f>IF(Lists!F16="","",Lists!F16)</f>
        <v/>
      </c>
      <c r="C23" s="138">
        <f>SUMIFS('SM-EST-Dampers'!K:K,SM_DamperName,DamperTable[[#This Row],[Column1]])</f>
        <v>0</v>
      </c>
      <c r="D23" s="143">
        <f>SUMIFS('SM-EST-Dampers'!H:H,SM_DamperName,DamperTable[[#This Row],[Column1]])*24</f>
        <v>0</v>
      </c>
      <c r="E23" s="103" t="str">
        <f t="shared" si="0"/>
        <v/>
      </c>
      <c r="F23" s="143">
        <f>SUMIFS('SM-EST-Dampers'!I:I,SM_DamperName,DamperTable[[#This Row],[Column1]])*24</f>
        <v>0</v>
      </c>
      <c r="G23" s="103" t="str">
        <f t="shared" si="1"/>
        <v/>
      </c>
      <c r="H23" s="147">
        <f>SUMIFS('SM-EST-Dampers'!J:J,SM_DamperName,DamperTable[[#This Row],[Column1]])</f>
        <v>0</v>
      </c>
      <c r="J23" s="16"/>
      <c r="K23"/>
      <c r="L23" s="120"/>
    </row>
    <row r="24" spans="2:12" x14ac:dyDescent="0.3">
      <c r="B24" s="122" t="str">
        <f>IF(Lists!F17="","",Lists!F17)</f>
        <v/>
      </c>
      <c r="C24" s="138">
        <f>SUMIFS('SM-EST-Dampers'!K:K,SM_DamperName,DamperTable[[#This Row],[Column1]])</f>
        <v>0</v>
      </c>
      <c r="D24" s="143">
        <f>SUMIFS('SM-EST-Dampers'!H:H,SM_DamperName,DamperTable[[#This Row],[Column1]])*24</f>
        <v>0</v>
      </c>
      <c r="E24" s="103" t="str">
        <f t="shared" si="0"/>
        <v/>
      </c>
      <c r="F24" s="143">
        <f>SUMIFS('SM-EST-Dampers'!I:I,SM_DamperName,DamperTable[[#This Row],[Column1]])*24</f>
        <v>0</v>
      </c>
      <c r="G24" s="103" t="str">
        <f t="shared" si="1"/>
        <v/>
      </c>
      <c r="H24" s="147">
        <f>SUMIFS('SM-EST-Dampers'!J:J,SM_DamperName,DamperTable[[#This Row],[Column1]])</f>
        <v>0</v>
      </c>
      <c r="J24" s="16"/>
      <c r="K24"/>
      <c r="L24" s="120"/>
    </row>
    <row r="25" spans="2:12" x14ac:dyDescent="0.3">
      <c r="B25" s="122" t="str">
        <f>IF(Lists!F18="","",Lists!F18)</f>
        <v/>
      </c>
      <c r="C25" s="138">
        <f>SUMIFS('SM-EST-Dampers'!K:K,SM_DamperName,DamperTable[[#This Row],[Column1]])</f>
        <v>0</v>
      </c>
      <c r="D25" s="143">
        <f>SUMIFS('SM-EST-Dampers'!H:H,SM_DamperName,DamperTable[[#This Row],[Column1]])*24</f>
        <v>0</v>
      </c>
      <c r="E25" s="103" t="str">
        <f t="shared" si="0"/>
        <v/>
      </c>
      <c r="F25" s="143">
        <f>SUMIFS('SM-EST-Dampers'!I:I,SM_DamperName,DamperTable[[#This Row],[Column1]])*24</f>
        <v>0</v>
      </c>
      <c r="G25" s="103" t="str">
        <f t="shared" si="1"/>
        <v/>
      </c>
      <c r="H25" s="147">
        <f>SUMIFS('SM-EST-Dampers'!J:J,SM_DamperName,DamperTable[[#This Row],[Column1]])</f>
        <v>0</v>
      </c>
      <c r="J25" s="16"/>
      <c r="K25"/>
      <c r="L25" s="120"/>
    </row>
    <row r="26" spans="2:12" x14ac:dyDescent="0.3">
      <c r="B26" s="122" t="str">
        <f>IF(Lists!F19="","",Lists!F19)</f>
        <v/>
      </c>
      <c r="C26" s="138">
        <f>SUMIFS('SM-EST-Dampers'!K:K,SM_DamperName,DamperTable[[#This Row],[Column1]])</f>
        <v>0</v>
      </c>
      <c r="D26" s="143">
        <f>SUMIFS('SM-EST-Dampers'!H:H,SM_DamperName,DamperTable[[#This Row],[Column1]])*24</f>
        <v>0</v>
      </c>
      <c r="E26" s="103" t="str">
        <f t="shared" si="0"/>
        <v/>
      </c>
      <c r="F26" s="143">
        <f>SUMIFS('SM-EST-Dampers'!I:I,SM_DamperName,DamperTable[[#This Row],[Column1]])*24</f>
        <v>0</v>
      </c>
      <c r="G26" s="103" t="str">
        <f t="shared" si="1"/>
        <v/>
      </c>
      <c r="H26" s="147">
        <f>SUMIFS('SM-EST-Dampers'!J:J,SM_DamperName,DamperTable[[#This Row],[Column1]])</f>
        <v>0</v>
      </c>
      <c r="J26" s="16"/>
      <c r="K26"/>
      <c r="L26" s="120"/>
    </row>
    <row r="27" spans="2:12" x14ac:dyDescent="0.3">
      <c r="B27" s="122" t="str">
        <f>IF(Lists!F20="","",Lists!F20)</f>
        <v/>
      </c>
      <c r="C27" s="138">
        <f>SUMIFS('SM-EST-Dampers'!K:K,SM_DamperName,DamperTable[[#This Row],[Column1]])</f>
        <v>0</v>
      </c>
      <c r="D27" s="143">
        <f>SUMIFS('SM-EST-Dampers'!H:H,SM_DamperName,DamperTable[[#This Row],[Column1]])*24</f>
        <v>0</v>
      </c>
      <c r="E27" s="103" t="str">
        <f t="shared" si="0"/>
        <v/>
      </c>
      <c r="F27" s="143">
        <f>SUMIFS('SM-EST-Dampers'!I:I,SM_DamperName,DamperTable[[#This Row],[Column1]])*24</f>
        <v>0</v>
      </c>
      <c r="G27" s="103" t="str">
        <f t="shared" si="1"/>
        <v/>
      </c>
      <c r="H27" s="147">
        <f>SUMIFS('SM-EST-Dampers'!J:J,SM_DamperName,DamperTable[[#This Row],[Column1]])</f>
        <v>0</v>
      </c>
      <c r="J27" s="16"/>
      <c r="K27"/>
      <c r="L27" s="120"/>
    </row>
    <row r="28" spans="2:12" x14ac:dyDescent="0.3">
      <c r="B28" s="122" t="str">
        <f>IF(Lists!F21="","",Lists!F21)</f>
        <v/>
      </c>
      <c r="C28" s="138">
        <f>SUMIFS('SM-EST-Dampers'!K:K,SM_DamperName,DamperTable[[#This Row],[Column1]])</f>
        <v>0</v>
      </c>
      <c r="D28" s="143">
        <f>SUMIFS('SM-EST-Dampers'!H:H,SM_DamperName,DamperTable[[#This Row],[Column1]])*24</f>
        <v>0</v>
      </c>
      <c r="E28" s="103" t="str">
        <f t="shared" si="0"/>
        <v/>
      </c>
      <c r="F28" s="143">
        <f>SUMIFS('SM-EST-Dampers'!I:I,SM_DamperName,DamperTable[[#This Row],[Column1]])*24</f>
        <v>0</v>
      </c>
      <c r="G28" s="103" t="str">
        <f t="shared" si="1"/>
        <v/>
      </c>
      <c r="H28" s="147">
        <f>SUMIFS('SM-EST-Dampers'!J:J,SM_DamperName,DamperTable[[#This Row],[Column1]])</f>
        <v>0</v>
      </c>
      <c r="J28" s="16"/>
      <c r="K28"/>
      <c r="L28" s="120"/>
    </row>
    <row r="29" spans="2:12" x14ac:dyDescent="0.3">
      <c r="B29" s="122" t="str">
        <f>IF(Lists!F22="","",Lists!F22)</f>
        <v/>
      </c>
      <c r="C29" s="138">
        <f>SUMIFS('SM-EST-Dampers'!K:K,SM_DamperName,DamperTable[[#This Row],[Column1]])</f>
        <v>0</v>
      </c>
      <c r="D29" s="143">
        <f>SUMIFS('SM-EST-Dampers'!H:H,SM_DamperName,DamperTable[[#This Row],[Column1]])*24</f>
        <v>0</v>
      </c>
      <c r="E29" s="103" t="str">
        <f t="shared" si="0"/>
        <v/>
      </c>
      <c r="F29" s="143">
        <f>SUMIFS('SM-EST-Dampers'!I:I,SM_DamperName,DamperTable[[#This Row],[Column1]])*24</f>
        <v>0</v>
      </c>
      <c r="G29" s="103" t="str">
        <f t="shared" si="1"/>
        <v/>
      </c>
      <c r="H29" s="147">
        <f>SUMIFS('SM-EST-Dampers'!J:J,SM_DamperName,DamperTable[[#This Row],[Column1]])</f>
        <v>0</v>
      </c>
      <c r="J29" s="16"/>
      <c r="K29"/>
      <c r="L29" s="120"/>
    </row>
    <row r="30" spans="2:12" x14ac:dyDescent="0.3">
      <c r="B30" s="122" t="str">
        <f>IF(Lists!F23="","",Lists!F23)</f>
        <v/>
      </c>
      <c r="C30" s="138">
        <f>SUMIFS('SM-EST-Dampers'!K:K,SM_DamperName,DamperTable[[#This Row],[Column1]])</f>
        <v>0</v>
      </c>
      <c r="D30" s="143">
        <f>SUMIFS('SM-EST-Dampers'!H:H,SM_DamperName,DamperTable[[#This Row],[Column1]])*24</f>
        <v>0</v>
      </c>
      <c r="E30" s="103" t="str">
        <f t="shared" si="0"/>
        <v/>
      </c>
      <c r="F30" s="143">
        <f>SUMIFS('SM-EST-Dampers'!I:I,SM_DamperName,DamperTable[[#This Row],[Column1]])*24</f>
        <v>0</v>
      </c>
      <c r="G30" s="103" t="str">
        <f t="shared" si="1"/>
        <v/>
      </c>
      <c r="H30" s="147">
        <f>SUMIFS('SM-EST-Dampers'!J:J,SM_DamperName,DamperTable[[#This Row],[Column1]])</f>
        <v>0</v>
      </c>
      <c r="J30" s="16"/>
      <c r="K30"/>
      <c r="L30" s="120"/>
    </row>
    <row r="31" spans="2:12" x14ac:dyDescent="0.3">
      <c r="B31" s="122" t="str">
        <f>IF(Lists!F24="","",Lists!F24)</f>
        <v/>
      </c>
      <c r="C31" s="138">
        <f>SUMIFS('SM-EST-Dampers'!K:K,SM_DamperName,DamperTable[[#This Row],[Column1]])</f>
        <v>0</v>
      </c>
      <c r="D31" s="143">
        <f>SUMIFS('SM-EST-Dampers'!H:H,SM_DamperName,DamperTable[[#This Row],[Column1]])*24</f>
        <v>0</v>
      </c>
      <c r="E31" s="103" t="str">
        <f t="shared" si="0"/>
        <v/>
      </c>
      <c r="F31" s="143">
        <f>SUMIFS('SM-EST-Dampers'!I:I,SM_DamperName,DamperTable[[#This Row],[Column1]])*24</f>
        <v>0</v>
      </c>
      <c r="G31" s="103" t="str">
        <f t="shared" si="1"/>
        <v/>
      </c>
      <c r="H31" s="147">
        <f>SUMIFS('SM-EST-Dampers'!J:J,SM_DamperName,DamperTable[[#This Row],[Column1]])</f>
        <v>0</v>
      </c>
      <c r="J31" s="16"/>
      <c r="K31"/>
      <c r="L31" s="120"/>
    </row>
    <row r="32" spans="2:12" x14ac:dyDescent="0.3">
      <c r="B32" s="122" t="str">
        <f>IF(Lists!F25="","",Lists!F25)</f>
        <v/>
      </c>
      <c r="C32" s="138">
        <f>SUMIFS('SM-EST-Dampers'!K:K,SM_DamperName,DamperTable[[#This Row],[Column1]])</f>
        <v>0</v>
      </c>
      <c r="D32" s="143">
        <f>SUMIFS('SM-EST-Dampers'!H:H,SM_DamperName,DamperTable[[#This Row],[Column1]])*24</f>
        <v>0</v>
      </c>
      <c r="E32" s="103" t="str">
        <f t="shared" si="0"/>
        <v/>
      </c>
      <c r="F32" s="143">
        <f>SUMIFS('SM-EST-Dampers'!I:I,SM_DamperName,DamperTable[[#This Row],[Column1]])*24</f>
        <v>0</v>
      </c>
      <c r="G32" s="103" t="str">
        <f t="shared" si="1"/>
        <v/>
      </c>
      <c r="H32" s="147">
        <f>SUMIFS('SM-EST-Dampers'!J:J,SM_DamperName,DamperTable[[#This Row],[Column1]])</f>
        <v>0</v>
      </c>
      <c r="J32" s="16"/>
      <c r="K32"/>
      <c r="L32" s="120"/>
    </row>
    <row r="33" spans="2:12" x14ac:dyDescent="0.3">
      <c r="B33" s="172" t="str">
        <f>IF(SUM(K9:K11)&gt;3,"Total w/Multiplier","Total")</f>
        <v>Total</v>
      </c>
      <c r="C33" s="146">
        <f>SUBTOTAL(109,DamperTable[Column2])</f>
        <v>0</v>
      </c>
      <c r="D33" s="145">
        <f>SUBTOTAL(109,DamperTable[Ftime])*K9</f>
        <v>0</v>
      </c>
      <c r="E33" s="127" t="str">
        <f>IF(D33=0,"","hrs")</f>
        <v/>
      </c>
      <c r="F33" s="145">
        <f>SUBTOTAL(109,DamperTable[Etime])*K10</f>
        <v>0</v>
      </c>
      <c r="G33" s="127" t="str">
        <f>IF(F33=0,"","hrs")</f>
        <v/>
      </c>
      <c r="H33" s="49">
        <f>SUBTOTAL(109,DamperTable[Cost])*K11</f>
        <v>0</v>
      </c>
      <c r="J33" s="21"/>
      <c r="K33"/>
      <c r="L33" s="120"/>
    </row>
  </sheetData>
  <sheetProtection sheet="1" objects="1" scenarios="1" selectLockedCells="1"/>
  <conditionalFormatting sqref="B33">
    <cfRule type="expression" dxfId="199" priority="1">
      <formula>B33="Total w/multiplier"</formula>
    </cfRule>
  </conditionalFormatting>
  <pageMargins left="0.7" right="0.7" top="0.75" bottom="0.75" header="0.3" footer="0.3"/>
  <pageSetup orientation="portrait" horizontalDpi="1200" verticalDpi="1200" r:id="rId1"/>
  <ignoredErrors>
    <ignoredError sqref="H10:H32" unlockedFormula="1"/>
  </ignoredErrors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B1:M33"/>
  <sheetViews>
    <sheetView showGridLines="0" workbookViewId="0">
      <selection activeCell="L9" sqref="L9"/>
    </sheetView>
  </sheetViews>
  <sheetFormatPr defaultRowHeight="14.4" x14ac:dyDescent="0.3"/>
  <cols>
    <col min="1" max="1" width="9.109375" customWidth="1"/>
    <col min="2" max="2" width="33.6640625" customWidth="1"/>
    <col min="3" max="3" width="10.6640625" style="156" customWidth="1"/>
    <col min="4" max="4" width="10" style="17" customWidth="1"/>
    <col min="5" max="6" width="8.6640625" style="17" customWidth="1"/>
    <col min="7" max="7" width="8.6640625" style="20" customWidth="1"/>
    <col min="8" max="8" width="8.6640625" style="17" customWidth="1"/>
    <col min="9" max="9" width="13.5546875" customWidth="1"/>
    <col min="10" max="10" width="5.6640625" customWidth="1"/>
    <col min="11" max="11" width="10.6640625" customWidth="1"/>
    <col min="12" max="12" width="6.6640625" style="120" customWidth="1"/>
    <col min="13" max="13" width="8.6640625" customWidth="1"/>
  </cols>
  <sheetData>
    <row r="1" spans="2:13" ht="6" customHeight="1" x14ac:dyDescent="0.3">
      <c r="M1" s="1"/>
    </row>
    <row r="2" spans="2:13" ht="39" customHeight="1" thickBot="1" x14ac:dyDescent="0.45">
      <c r="B2" s="2" t="s">
        <v>100</v>
      </c>
      <c r="C2" s="157"/>
      <c r="D2" s="72"/>
      <c r="E2" s="72"/>
      <c r="F2" s="72"/>
      <c r="G2" s="55"/>
      <c r="H2" s="72"/>
      <c r="I2" s="2"/>
      <c r="J2" s="2"/>
      <c r="K2" s="2"/>
      <c r="L2" s="2"/>
      <c r="M2" s="19"/>
    </row>
    <row r="3" spans="2:13" ht="9" customHeight="1" thickTop="1" x14ac:dyDescent="0.3">
      <c r="L3"/>
      <c r="M3" s="1"/>
    </row>
    <row r="4" spans="2:13" x14ac:dyDescent="0.3">
      <c r="B4" s="3" t="str">
        <f>IF(ProjectName="","",ProjectName)</f>
        <v/>
      </c>
      <c r="C4" s="158"/>
      <c r="K4" s="5" t="s">
        <v>15</v>
      </c>
      <c r="L4" s="119" t="str">
        <f>IF(EstimatorName="","",EstimatorName)</f>
        <v/>
      </c>
      <c r="M4" s="1"/>
    </row>
    <row r="5" spans="2:13" ht="15" customHeight="1" x14ac:dyDescent="0.3">
      <c r="B5" s="9" t="str">
        <f>IF(ProjectAddress="","",ProjectAddress)</f>
        <v/>
      </c>
      <c r="C5" s="159"/>
      <c r="K5" s="5" t="s">
        <v>16</v>
      </c>
      <c r="L5" s="119" t="str">
        <f>IF(EstimateNo="","",EstimateNo)</f>
        <v/>
      </c>
      <c r="M5" s="1"/>
    </row>
    <row r="6" spans="2:13" ht="15" customHeight="1" x14ac:dyDescent="0.3">
      <c r="B6" s="9"/>
      <c r="C6" s="159"/>
      <c r="K6" s="5"/>
      <c r="L6" s="119"/>
      <c r="M6" s="1"/>
    </row>
    <row r="7" spans="2:13" ht="23.4" x14ac:dyDescent="0.45">
      <c r="B7" s="6" t="s">
        <v>9</v>
      </c>
      <c r="C7" s="160"/>
    </row>
    <row r="8" spans="2:13" ht="18" x14ac:dyDescent="0.35">
      <c r="B8" s="12" t="s">
        <v>50</v>
      </c>
      <c r="C8" s="161" t="s">
        <v>52</v>
      </c>
      <c r="D8" s="142" t="s">
        <v>90</v>
      </c>
      <c r="E8" s="126" t="s">
        <v>39</v>
      </c>
      <c r="F8" s="126"/>
      <c r="G8" s="126" t="s">
        <v>40</v>
      </c>
      <c r="H8" s="126"/>
      <c r="I8" s="46" t="s">
        <v>94</v>
      </c>
      <c r="K8" s="129" t="s">
        <v>92</v>
      </c>
      <c r="L8" s="130"/>
    </row>
    <row r="9" spans="2:13" x14ac:dyDescent="0.3">
      <c r="B9" s="122" t="str">
        <f>IF(Lists!G2="","",Lists!G2)</f>
        <v/>
      </c>
      <c r="C9" s="154"/>
      <c r="D9" s="138">
        <f>SUMIFS('SM-EST-GRDs'!M:M,SM_GRDName,GRD_Table[[#This Row],[Column1]])</f>
        <v>0</v>
      </c>
      <c r="E9" s="143">
        <f>SUMIFS('SM-EST-GRDs'!J:J,SM_GRDName,GRD_Table[[#This Row],[Column1]])*24</f>
        <v>0</v>
      </c>
      <c r="F9" s="103" t="str">
        <f t="shared" ref="F9:F32" si="0">IF(E9=0,"","hrs")</f>
        <v/>
      </c>
      <c r="G9" s="143">
        <f>SUMIFS('SM-EST-GRDs'!K:K,SM_GRDName,GRD_Table[[#This Row],[Column1]])*24</f>
        <v>0</v>
      </c>
      <c r="H9" s="103" t="str">
        <f t="shared" ref="H9:H32" si="1">IF(G9=0,"","hrs")</f>
        <v/>
      </c>
      <c r="I9" s="147">
        <f>SUMIFS('SM-EST-GRDs'!L:L,SM_GRDName,GRD_Table[[#This Row],[Column1]])</f>
        <v>0</v>
      </c>
      <c r="J9" s="147"/>
      <c r="K9" s="131" t="s">
        <v>39</v>
      </c>
      <c r="L9" s="220">
        <v>1</v>
      </c>
    </row>
    <row r="10" spans="2:13" x14ac:dyDescent="0.3">
      <c r="B10" s="122" t="str">
        <f>IF(Lists!G3="","",Lists!G3)</f>
        <v/>
      </c>
      <c r="C10" s="154"/>
      <c r="D10" s="138">
        <f>SUMIFS('SM-EST-GRDs'!M:M,SM_GRDName,GRD_Table[[#This Row],[Column1]])</f>
        <v>0</v>
      </c>
      <c r="E10" s="143">
        <f>SUMIFS('SM-EST-GRDs'!J:J,SM_GRDName,GRD_Table[[#This Row],[Column1]])*24</f>
        <v>0</v>
      </c>
      <c r="F10" s="103" t="str">
        <f t="shared" si="0"/>
        <v/>
      </c>
      <c r="G10" s="143">
        <f>SUMIFS('SM-EST-GRDs'!K:K,SM_GRDName,GRD_Table[[#This Row],[Column1]])*24</f>
        <v>0</v>
      </c>
      <c r="H10" s="103" t="str">
        <f t="shared" si="1"/>
        <v/>
      </c>
      <c r="I10" s="147">
        <f>SUMIFS('SM-EST-GRDs'!L:L,SM_GRDName,GRD_Table[[#This Row],[Column1]])</f>
        <v>0</v>
      </c>
      <c r="J10" s="147"/>
      <c r="K10" s="132" t="s">
        <v>40</v>
      </c>
      <c r="L10" s="221">
        <v>1</v>
      </c>
    </row>
    <row r="11" spans="2:13" x14ac:dyDescent="0.3">
      <c r="B11" s="122" t="str">
        <f>IF(Lists!G4="","",Lists!G4)</f>
        <v/>
      </c>
      <c r="C11" s="154"/>
      <c r="D11" s="138">
        <f>SUMIFS('SM-EST-GRDs'!M:M,SM_GRDName,GRD_Table[[#This Row],[Column1]])</f>
        <v>0</v>
      </c>
      <c r="E11" s="143">
        <f>SUMIFS('SM-EST-GRDs'!J:J,SM_GRDName,GRD_Table[[#This Row],[Column1]])*24</f>
        <v>0</v>
      </c>
      <c r="F11" s="103" t="str">
        <f t="shared" si="0"/>
        <v/>
      </c>
      <c r="G11" s="143">
        <f>SUMIFS('SM-EST-GRDs'!K:K,SM_GRDName,GRD_Table[[#This Row],[Column1]])*24</f>
        <v>0</v>
      </c>
      <c r="H11" s="103" t="str">
        <f t="shared" si="1"/>
        <v/>
      </c>
      <c r="I11" s="147">
        <f>SUMIFS('SM-EST-GRDs'!L:L,SM_GRDName,GRD_Table[[#This Row],[Column1]])</f>
        <v>0</v>
      </c>
      <c r="J11" s="147"/>
      <c r="K11" s="133" t="s">
        <v>48</v>
      </c>
      <c r="L11" s="222">
        <v>1</v>
      </c>
    </row>
    <row r="12" spans="2:13" x14ac:dyDescent="0.3">
      <c r="B12" s="122" t="str">
        <f>IF(Lists!G5="","",Lists!G5)</f>
        <v/>
      </c>
      <c r="C12" s="154"/>
      <c r="D12" s="138">
        <f>SUMIFS('SM-EST-GRDs'!M:M,SM_GRDName,GRD_Table[[#This Row],[Column1]])</f>
        <v>0</v>
      </c>
      <c r="E12" s="143">
        <f>SUMIFS('SM-EST-GRDs'!J:J,SM_GRDName,GRD_Table[[#This Row],[Column1]])*24</f>
        <v>0</v>
      </c>
      <c r="F12" s="103" t="str">
        <f t="shared" si="0"/>
        <v/>
      </c>
      <c r="G12" s="143">
        <f>SUMIFS('SM-EST-GRDs'!K:K,SM_GRDName,GRD_Table[[#This Row],[Column1]])*24</f>
        <v>0</v>
      </c>
      <c r="H12" s="103" t="str">
        <f t="shared" si="1"/>
        <v/>
      </c>
      <c r="I12" s="147">
        <f>SUMIFS('SM-EST-GRDs'!L:L,SM_GRDName,GRD_Table[[#This Row],[Column1]])</f>
        <v>0</v>
      </c>
      <c r="J12" s="147"/>
      <c r="K12" s="16"/>
      <c r="L12"/>
      <c r="M12" s="120"/>
    </row>
    <row r="13" spans="2:13" x14ac:dyDescent="0.3">
      <c r="B13" s="122" t="str">
        <f>IF(Lists!G6="","",Lists!G6)</f>
        <v/>
      </c>
      <c r="C13" s="154"/>
      <c r="D13" s="138">
        <f>SUMIFS('SM-EST-GRDs'!M:M,SM_GRDName,GRD_Table[[#This Row],[Column1]])</f>
        <v>0</v>
      </c>
      <c r="E13" s="143">
        <f>SUMIFS('SM-EST-GRDs'!J:J,SM_GRDName,GRD_Table[[#This Row],[Column1]])*24</f>
        <v>0</v>
      </c>
      <c r="F13" s="103" t="str">
        <f t="shared" si="0"/>
        <v/>
      </c>
      <c r="G13" s="143">
        <f>SUMIFS('SM-EST-GRDs'!K:K,SM_GRDName,GRD_Table[[#This Row],[Column1]])*24</f>
        <v>0</v>
      </c>
      <c r="H13" s="103" t="str">
        <f t="shared" si="1"/>
        <v/>
      </c>
      <c r="I13" s="147">
        <f>SUMIFS('SM-EST-GRDs'!L:L,SM_GRDName,GRD_Table[[#This Row],[Column1]])</f>
        <v>0</v>
      </c>
      <c r="J13" s="147"/>
      <c r="K13" s="16"/>
      <c r="L13"/>
      <c r="M13" s="120"/>
    </row>
    <row r="14" spans="2:13" x14ac:dyDescent="0.3">
      <c r="B14" s="122" t="str">
        <f>IF(Lists!G7="","",Lists!G7)</f>
        <v/>
      </c>
      <c r="C14" s="154"/>
      <c r="D14" s="138">
        <f>SUMIFS('SM-EST-GRDs'!M:M,SM_GRDName,GRD_Table[[#This Row],[Column1]])</f>
        <v>0</v>
      </c>
      <c r="E14" s="143">
        <f>SUMIFS('SM-EST-GRDs'!J:J,SM_GRDName,GRD_Table[[#This Row],[Column1]])*24</f>
        <v>0</v>
      </c>
      <c r="F14" s="103" t="str">
        <f t="shared" si="0"/>
        <v/>
      </c>
      <c r="G14" s="143">
        <f>SUMIFS('SM-EST-GRDs'!K:K,SM_GRDName,GRD_Table[[#This Row],[Column1]])*24</f>
        <v>0</v>
      </c>
      <c r="H14" s="103" t="str">
        <f t="shared" si="1"/>
        <v/>
      </c>
      <c r="I14" s="147">
        <f>SUMIFS('SM-EST-GRDs'!L:L,SM_GRDName,GRD_Table[[#This Row],[Column1]])</f>
        <v>0</v>
      </c>
      <c r="J14" s="147"/>
      <c r="K14" s="16"/>
      <c r="L14"/>
      <c r="M14" s="120"/>
    </row>
    <row r="15" spans="2:13" x14ac:dyDescent="0.3">
      <c r="B15" s="122" t="str">
        <f>IF(Lists!G8="","",Lists!G8)</f>
        <v/>
      </c>
      <c r="C15" s="154"/>
      <c r="D15" s="138">
        <f>SUMIFS('SM-EST-GRDs'!M:M,SM_GRDName,GRD_Table[[#This Row],[Column1]])</f>
        <v>0</v>
      </c>
      <c r="E15" s="143">
        <f>SUMIFS('SM-EST-GRDs'!J:J,SM_GRDName,GRD_Table[[#This Row],[Column1]])*24</f>
        <v>0</v>
      </c>
      <c r="F15" s="103" t="str">
        <f t="shared" si="0"/>
        <v/>
      </c>
      <c r="G15" s="143">
        <f>SUMIFS('SM-EST-GRDs'!K:K,SM_GRDName,GRD_Table[[#This Row],[Column1]])*24</f>
        <v>0</v>
      </c>
      <c r="H15" s="103" t="str">
        <f t="shared" si="1"/>
        <v/>
      </c>
      <c r="I15" s="147">
        <f>SUMIFS('SM-EST-GRDs'!L:L,SM_GRDName,GRD_Table[[#This Row],[Column1]])</f>
        <v>0</v>
      </c>
      <c r="J15" s="147"/>
      <c r="K15" s="16"/>
      <c r="L15"/>
      <c r="M15" s="120"/>
    </row>
    <row r="16" spans="2:13" x14ac:dyDescent="0.3">
      <c r="B16" s="122" t="str">
        <f>IF(Lists!G9="","",Lists!G9)</f>
        <v/>
      </c>
      <c r="C16" s="154"/>
      <c r="D16" s="138">
        <f>SUMIFS('SM-EST-GRDs'!M:M,SM_GRDName,GRD_Table[[#This Row],[Column1]])</f>
        <v>0</v>
      </c>
      <c r="E16" s="143">
        <f>SUMIFS('SM-EST-GRDs'!J:J,SM_GRDName,GRD_Table[[#This Row],[Column1]])*24</f>
        <v>0</v>
      </c>
      <c r="F16" s="103" t="str">
        <f t="shared" si="0"/>
        <v/>
      </c>
      <c r="G16" s="143">
        <f>SUMIFS('SM-EST-GRDs'!K:K,SM_GRDName,GRD_Table[[#This Row],[Column1]])*24</f>
        <v>0</v>
      </c>
      <c r="H16" s="103" t="str">
        <f t="shared" si="1"/>
        <v/>
      </c>
      <c r="I16" s="147">
        <f>SUMIFS('SM-EST-GRDs'!L:L,SM_GRDName,GRD_Table[[#This Row],[Column1]])</f>
        <v>0</v>
      </c>
      <c r="J16" s="147"/>
      <c r="K16" s="16"/>
      <c r="L16"/>
      <c r="M16" s="120"/>
    </row>
    <row r="17" spans="2:13" x14ac:dyDescent="0.3">
      <c r="B17" s="122" t="str">
        <f>IF(Lists!G10="","",Lists!G10)</f>
        <v/>
      </c>
      <c r="C17" s="154"/>
      <c r="D17" s="138">
        <f>SUMIFS('SM-EST-GRDs'!M:M,SM_GRDName,GRD_Table[[#This Row],[Column1]])</f>
        <v>0</v>
      </c>
      <c r="E17" s="143">
        <f>SUMIFS('SM-EST-GRDs'!J:J,SM_GRDName,GRD_Table[[#This Row],[Column1]])*24</f>
        <v>0</v>
      </c>
      <c r="F17" s="103" t="str">
        <f t="shared" si="0"/>
        <v/>
      </c>
      <c r="G17" s="143">
        <f>SUMIFS('SM-EST-GRDs'!K:K,SM_GRDName,GRD_Table[[#This Row],[Column1]])*24</f>
        <v>0</v>
      </c>
      <c r="H17" s="103" t="str">
        <f t="shared" si="1"/>
        <v/>
      </c>
      <c r="I17" s="147">
        <f>SUMIFS('SM-EST-GRDs'!L:L,SM_GRDName,GRD_Table[[#This Row],[Column1]])</f>
        <v>0</v>
      </c>
      <c r="J17" s="147"/>
      <c r="K17" s="16"/>
      <c r="L17"/>
      <c r="M17" s="120"/>
    </row>
    <row r="18" spans="2:13" x14ac:dyDescent="0.3">
      <c r="B18" s="122" t="str">
        <f>IF(Lists!G11="","",Lists!G11)</f>
        <v/>
      </c>
      <c r="C18" s="154"/>
      <c r="D18" s="138">
        <f>SUMIFS('SM-EST-GRDs'!M:M,SM_GRDName,GRD_Table[[#This Row],[Column1]])</f>
        <v>0</v>
      </c>
      <c r="E18" s="143">
        <f>SUMIFS('SM-EST-GRDs'!J:J,SM_GRDName,GRD_Table[[#This Row],[Column1]])*24</f>
        <v>0</v>
      </c>
      <c r="F18" s="103" t="str">
        <f t="shared" si="0"/>
        <v/>
      </c>
      <c r="G18" s="143">
        <f>SUMIFS('SM-EST-GRDs'!K:K,SM_GRDName,GRD_Table[[#This Row],[Column1]])*24</f>
        <v>0</v>
      </c>
      <c r="H18" s="103" t="str">
        <f t="shared" si="1"/>
        <v/>
      </c>
      <c r="I18" s="147">
        <f>SUMIFS('SM-EST-GRDs'!L:L,SM_GRDName,GRD_Table[[#This Row],[Column1]])</f>
        <v>0</v>
      </c>
      <c r="J18" s="147"/>
      <c r="K18" s="16"/>
      <c r="L18"/>
      <c r="M18" s="120"/>
    </row>
    <row r="19" spans="2:13" x14ac:dyDescent="0.3">
      <c r="B19" s="122" t="str">
        <f>IF(Lists!G12="","",Lists!G12)</f>
        <v/>
      </c>
      <c r="C19" s="154"/>
      <c r="D19" s="138">
        <f>SUMIFS('SM-EST-GRDs'!M:M,SM_GRDName,GRD_Table[[#This Row],[Column1]])</f>
        <v>0</v>
      </c>
      <c r="E19" s="143">
        <f>SUMIFS('SM-EST-GRDs'!J:J,SM_GRDName,GRD_Table[[#This Row],[Column1]])*24</f>
        <v>0</v>
      </c>
      <c r="F19" s="103" t="str">
        <f t="shared" si="0"/>
        <v/>
      </c>
      <c r="G19" s="143">
        <f>SUMIFS('SM-EST-GRDs'!K:K,SM_GRDName,GRD_Table[[#This Row],[Column1]])*24</f>
        <v>0</v>
      </c>
      <c r="H19" s="103" t="str">
        <f t="shared" si="1"/>
        <v/>
      </c>
      <c r="I19" s="147">
        <f>SUMIFS('SM-EST-GRDs'!L:L,SM_GRDName,GRD_Table[[#This Row],[Column1]])</f>
        <v>0</v>
      </c>
      <c r="J19" s="147"/>
      <c r="K19" s="16"/>
      <c r="L19"/>
      <c r="M19" s="120"/>
    </row>
    <row r="20" spans="2:13" x14ac:dyDescent="0.3">
      <c r="B20" s="122" t="str">
        <f>IF(Lists!G13="","",Lists!G13)</f>
        <v/>
      </c>
      <c r="C20" s="154"/>
      <c r="D20" s="138">
        <f>SUMIFS('SM-EST-GRDs'!M:M,SM_GRDName,GRD_Table[[#This Row],[Column1]])</f>
        <v>0</v>
      </c>
      <c r="E20" s="143">
        <f>SUMIFS('SM-EST-GRDs'!J:J,SM_GRDName,GRD_Table[[#This Row],[Column1]])*24</f>
        <v>0</v>
      </c>
      <c r="F20" s="103" t="str">
        <f t="shared" si="0"/>
        <v/>
      </c>
      <c r="G20" s="143">
        <f>SUMIFS('SM-EST-GRDs'!K:K,SM_GRDName,GRD_Table[[#This Row],[Column1]])*24</f>
        <v>0</v>
      </c>
      <c r="H20" s="103" t="str">
        <f t="shared" si="1"/>
        <v/>
      </c>
      <c r="I20" s="147">
        <f>SUMIFS('SM-EST-GRDs'!L:L,SM_GRDName,GRD_Table[[#This Row],[Column1]])</f>
        <v>0</v>
      </c>
      <c r="J20" s="147"/>
      <c r="K20" s="16"/>
      <c r="L20"/>
      <c r="M20" s="120"/>
    </row>
    <row r="21" spans="2:13" x14ac:dyDescent="0.3">
      <c r="B21" s="122" t="str">
        <f>IF(Lists!G14="","",Lists!G14)</f>
        <v/>
      </c>
      <c r="C21" s="154"/>
      <c r="D21" s="138">
        <f>SUMIFS('SM-EST-GRDs'!M:M,SM_GRDName,GRD_Table[[#This Row],[Column1]])</f>
        <v>0</v>
      </c>
      <c r="E21" s="143">
        <f>SUMIFS('SM-EST-GRDs'!J:J,SM_GRDName,GRD_Table[[#This Row],[Column1]])*24</f>
        <v>0</v>
      </c>
      <c r="F21" s="103" t="str">
        <f t="shared" si="0"/>
        <v/>
      </c>
      <c r="G21" s="143">
        <f>SUMIFS('SM-EST-GRDs'!K:K,SM_GRDName,GRD_Table[[#This Row],[Column1]])*24</f>
        <v>0</v>
      </c>
      <c r="H21" s="103" t="str">
        <f t="shared" si="1"/>
        <v/>
      </c>
      <c r="I21" s="147">
        <f>SUMIFS('SM-EST-GRDs'!L:L,SM_GRDName,GRD_Table[[#This Row],[Column1]])</f>
        <v>0</v>
      </c>
      <c r="J21" s="147"/>
      <c r="K21" s="16"/>
      <c r="L21"/>
      <c r="M21" s="120"/>
    </row>
    <row r="22" spans="2:13" x14ac:dyDescent="0.3">
      <c r="B22" s="122" t="str">
        <f>IF(Lists!G15="","",Lists!G15)</f>
        <v/>
      </c>
      <c r="C22" s="154"/>
      <c r="D22" s="138">
        <f>SUMIFS('SM-EST-GRDs'!M:M,SM_GRDName,GRD_Table[[#This Row],[Column1]])</f>
        <v>0</v>
      </c>
      <c r="E22" s="143">
        <f>SUMIFS('SM-EST-GRDs'!J:J,SM_GRDName,GRD_Table[[#This Row],[Column1]])*24</f>
        <v>0</v>
      </c>
      <c r="F22" s="103" t="str">
        <f t="shared" si="0"/>
        <v/>
      </c>
      <c r="G22" s="143">
        <f>SUMIFS('SM-EST-GRDs'!K:K,SM_GRDName,GRD_Table[[#This Row],[Column1]])*24</f>
        <v>0</v>
      </c>
      <c r="H22" s="103" t="str">
        <f t="shared" si="1"/>
        <v/>
      </c>
      <c r="I22" s="147">
        <f>SUMIFS('SM-EST-GRDs'!L:L,SM_GRDName,GRD_Table[[#This Row],[Column1]])</f>
        <v>0</v>
      </c>
      <c r="J22" s="147"/>
      <c r="K22" s="16"/>
      <c r="L22"/>
      <c r="M22" s="120"/>
    </row>
    <row r="23" spans="2:13" x14ac:dyDescent="0.3">
      <c r="B23" s="122" t="str">
        <f>IF(Lists!G16="","",Lists!G16)</f>
        <v/>
      </c>
      <c r="C23" s="154"/>
      <c r="D23" s="138">
        <f>SUMIFS('SM-EST-GRDs'!M:M,SM_GRDName,GRD_Table[[#This Row],[Column1]])</f>
        <v>0</v>
      </c>
      <c r="E23" s="143">
        <f>SUMIFS('SM-EST-GRDs'!J:J,SM_GRDName,GRD_Table[[#This Row],[Column1]])*24</f>
        <v>0</v>
      </c>
      <c r="F23" s="103" t="str">
        <f t="shared" si="0"/>
        <v/>
      </c>
      <c r="G23" s="143">
        <f>SUMIFS('SM-EST-GRDs'!K:K,SM_GRDName,GRD_Table[[#This Row],[Column1]])*24</f>
        <v>0</v>
      </c>
      <c r="H23" s="103" t="str">
        <f t="shared" si="1"/>
        <v/>
      </c>
      <c r="I23" s="147">
        <f>SUMIFS('SM-EST-GRDs'!L:L,SM_GRDName,GRD_Table[[#This Row],[Column1]])</f>
        <v>0</v>
      </c>
      <c r="J23" s="147"/>
      <c r="K23" s="16"/>
      <c r="L23"/>
      <c r="M23" s="120"/>
    </row>
    <row r="24" spans="2:13" x14ac:dyDescent="0.3">
      <c r="B24" s="122" t="str">
        <f>IF(Lists!G17="","",Lists!G17)</f>
        <v/>
      </c>
      <c r="C24" s="154"/>
      <c r="D24" s="138">
        <f>SUMIFS('SM-EST-GRDs'!M:M,SM_GRDName,GRD_Table[[#This Row],[Column1]])</f>
        <v>0</v>
      </c>
      <c r="E24" s="143">
        <f>SUMIFS('SM-EST-GRDs'!J:J,SM_GRDName,GRD_Table[[#This Row],[Column1]])*24</f>
        <v>0</v>
      </c>
      <c r="F24" s="103" t="str">
        <f t="shared" si="0"/>
        <v/>
      </c>
      <c r="G24" s="143">
        <f>SUMIFS('SM-EST-GRDs'!K:K,SM_GRDName,GRD_Table[[#This Row],[Column1]])*24</f>
        <v>0</v>
      </c>
      <c r="H24" s="103" t="str">
        <f t="shared" si="1"/>
        <v/>
      </c>
      <c r="I24" s="147">
        <f>SUMIFS('SM-EST-GRDs'!L:L,SM_GRDName,GRD_Table[[#This Row],[Column1]])</f>
        <v>0</v>
      </c>
      <c r="J24" s="147"/>
      <c r="K24" s="16"/>
      <c r="L24"/>
      <c r="M24" s="120"/>
    </row>
    <row r="25" spans="2:13" x14ac:dyDescent="0.3">
      <c r="B25" s="122" t="str">
        <f>IF(Lists!G18="","",Lists!G18)</f>
        <v/>
      </c>
      <c r="C25" s="154"/>
      <c r="D25" s="138">
        <f>SUMIFS('SM-EST-GRDs'!M:M,SM_GRDName,GRD_Table[[#This Row],[Column1]])</f>
        <v>0</v>
      </c>
      <c r="E25" s="143">
        <f>SUMIFS('SM-EST-GRDs'!J:J,SM_GRDName,GRD_Table[[#This Row],[Column1]])*24</f>
        <v>0</v>
      </c>
      <c r="F25" s="103" t="str">
        <f t="shared" si="0"/>
        <v/>
      </c>
      <c r="G25" s="143">
        <f>SUMIFS('SM-EST-GRDs'!K:K,SM_GRDName,GRD_Table[[#This Row],[Column1]])*24</f>
        <v>0</v>
      </c>
      <c r="H25" s="103" t="str">
        <f t="shared" si="1"/>
        <v/>
      </c>
      <c r="I25" s="147">
        <f>SUMIFS('SM-EST-GRDs'!L:L,SM_GRDName,GRD_Table[[#This Row],[Column1]])</f>
        <v>0</v>
      </c>
      <c r="J25" s="147"/>
      <c r="K25" s="16"/>
      <c r="L25"/>
      <c r="M25" s="120"/>
    </row>
    <row r="26" spans="2:13" x14ac:dyDescent="0.3">
      <c r="B26" s="122" t="str">
        <f>IF(Lists!G19="","",Lists!G19)</f>
        <v/>
      </c>
      <c r="C26" s="154"/>
      <c r="D26" s="138">
        <f>SUMIFS('SM-EST-GRDs'!M:M,SM_GRDName,GRD_Table[[#This Row],[Column1]])</f>
        <v>0</v>
      </c>
      <c r="E26" s="143">
        <f>SUMIFS('SM-EST-GRDs'!J:J,SM_GRDName,GRD_Table[[#This Row],[Column1]])*24</f>
        <v>0</v>
      </c>
      <c r="F26" s="103" t="str">
        <f t="shared" si="0"/>
        <v/>
      </c>
      <c r="G26" s="143">
        <f>SUMIFS('SM-EST-GRDs'!K:K,SM_GRDName,GRD_Table[[#This Row],[Column1]])*24</f>
        <v>0</v>
      </c>
      <c r="H26" s="103" t="str">
        <f t="shared" si="1"/>
        <v/>
      </c>
      <c r="I26" s="147">
        <f>SUMIFS('SM-EST-GRDs'!L:L,SM_GRDName,GRD_Table[[#This Row],[Column1]])</f>
        <v>0</v>
      </c>
      <c r="J26" s="147"/>
      <c r="K26" s="16"/>
      <c r="L26"/>
      <c r="M26" s="120"/>
    </row>
    <row r="27" spans="2:13" x14ac:dyDescent="0.3">
      <c r="B27" s="122" t="str">
        <f>IF(Lists!G20="","",Lists!G20)</f>
        <v/>
      </c>
      <c r="C27" s="154"/>
      <c r="D27" s="138">
        <f>SUMIFS('SM-EST-GRDs'!M:M,SM_GRDName,GRD_Table[[#This Row],[Column1]])</f>
        <v>0</v>
      </c>
      <c r="E27" s="143">
        <f>SUMIFS('SM-EST-GRDs'!J:J,SM_GRDName,GRD_Table[[#This Row],[Column1]])*24</f>
        <v>0</v>
      </c>
      <c r="F27" s="103" t="str">
        <f t="shared" si="0"/>
        <v/>
      </c>
      <c r="G27" s="143">
        <f>SUMIFS('SM-EST-GRDs'!K:K,SM_GRDName,GRD_Table[[#This Row],[Column1]])*24</f>
        <v>0</v>
      </c>
      <c r="H27" s="103" t="str">
        <f t="shared" si="1"/>
        <v/>
      </c>
      <c r="I27" s="147">
        <f>SUMIFS('SM-EST-GRDs'!L:L,SM_GRDName,GRD_Table[[#This Row],[Column1]])</f>
        <v>0</v>
      </c>
      <c r="J27" s="147"/>
      <c r="K27" s="16"/>
      <c r="L27"/>
      <c r="M27" s="120"/>
    </row>
    <row r="28" spans="2:13" x14ac:dyDescent="0.3">
      <c r="B28" s="122" t="str">
        <f>IF(Lists!G21="","",Lists!G21)</f>
        <v/>
      </c>
      <c r="C28" s="154"/>
      <c r="D28" s="138">
        <f>SUMIFS('SM-EST-GRDs'!M:M,SM_GRDName,GRD_Table[[#This Row],[Column1]])</f>
        <v>0</v>
      </c>
      <c r="E28" s="143">
        <f>SUMIFS('SM-EST-GRDs'!J:J,SM_GRDName,GRD_Table[[#This Row],[Column1]])*24</f>
        <v>0</v>
      </c>
      <c r="F28" s="103" t="str">
        <f t="shared" si="0"/>
        <v/>
      </c>
      <c r="G28" s="143">
        <f>SUMIFS('SM-EST-GRDs'!K:K,SM_GRDName,GRD_Table[[#This Row],[Column1]])*24</f>
        <v>0</v>
      </c>
      <c r="H28" s="103" t="str">
        <f t="shared" si="1"/>
        <v/>
      </c>
      <c r="I28" s="147">
        <f>SUMIFS('SM-EST-GRDs'!L:L,SM_GRDName,GRD_Table[[#This Row],[Column1]])</f>
        <v>0</v>
      </c>
      <c r="J28" s="147"/>
      <c r="K28" s="16"/>
      <c r="L28"/>
      <c r="M28" s="120"/>
    </row>
    <row r="29" spans="2:13" x14ac:dyDescent="0.3">
      <c r="B29" s="122" t="str">
        <f>IF(Lists!G22="","",Lists!G22)</f>
        <v/>
      </c>
      <c r="C29" s="154"/>
      <c r="D29" s="138">
        <f>SUMIFS('SM-EST-GRDs'!M:M,SM_GRDName,GRD_Table[[#This Row],[Column1]])</f>
        <v>0</v>
      </c>
      <c r="E29" s="143">
        <f>SUMIFS('SM-EST-GRDs'!J:J,SM_GRDName,GRD_Table[[#This Row],[Column1]])*24</f>
        <v>0</v>
      </c>
      <c r="F29" s="103" t="str">
        <f t="shared" si="0"/>
        <v/>
      </c>
      <c r="G29" s="143">
        <f>SUMIFS('SM-EST-GRDs'!K:K,SM_GRDName,GRD_Table[[#This Row],[Column1]])*24</f>
        <v>0</v>
      </c>
      <c r="H29" s="103" t="str">
        <f t="shared" si="1"/>
        <v/>
      </c>
      <c r="I29" s="147">
        <f>SUMIFS('SM-EST-GRDs'!L:L,SM_GRDName,GRD_Table[[#This Row],[Column1]])</f>
        <v>0</v>
      </c>
      <c r="J29" s="147"/>
      <c r="K29" s="16"/>
      <c r="L29"/>
      <c r="M29" s="120"/>
    </row>
    <row r="30" spans="2:13" x14ac:dyDescent="0.3">
      <c r="B30" s="122" t="str">
        <f>IF(Lists!G23="","",Lists!G23)</f>
        <v/>
      </c>
      <c r="C30" s="154"/>
      <c r="D30" s="138">
        <f>SUMIFS('SM-EST-GRDs'!M:M,SM_GRDName,GRD_Table[[#This Row],[Column1]])</f>
        <v>0</v>
      </c>
      <c r="E30" s="143">
        <f>SUMIFS('SM-EST-GRDs'!J:J,SM_GRDName,GRD_Table[[#This Row],[Column1]])*24</f>
        <v>0</v>
      </c>
      <c r="F30" s="103" t="str">
        <f t="shared" si="0"/>
        <v/>
      </c>
      <c r="G30" s="143">
        <f>SUMIFS('SM-EST-GRDs'!K:K,SM_GRDName,GRD_Table[[#This Row],[Column1]])*24</f>
        <v>0</v>
      </c>
      <c r="H30" s="103" t="str">
        <f t="shared" si="1"/>
        <v/>
      </c>
      <c r="I30" s="147">
        <f>SUMIFS('SM-EST-GRDs'!L:L,SM_GRDName,GRD_Table[[#This Row],[Column1]])</f>
        <v>0</v>
      </c>
      <c r="J30" s="147"/>
      <c r="K30" s="16"/>
      <c r="L30"/>
      <c r="M30" s="120"/>
    </row>
    <row r="31" spans="2:13" x14ac:dyDescent="0.3">
      <c r="B31" s="122" t="str">
        <f>IF(Lists!G24="","",Lists!G24)</f>
        <v/>
      </c>
      <c r="C31" s="154"/>
      <c r="D31" s="138">
        <f>SUMIFS('SM-EST-GRDs'!M:M,SM_GRDName,GRD_Table[[#This Row],[Column1]])</f>
        <v>0</v>
      </c>
      <c r="E31" s="143">
        <f>SUMIFS('SM-EST-GRDs'!J:J,SM_GRDName,GRD_Table[[#This Row],[Column1]])*24</f>
        <v>0</v>
      </c>
      <c r="F31" s="103" t="str">
        <f t="shared" si="0"/>
        <v/>
      </c>
      <c r="G31" s="143">
        <f>SUMIFS('SM-EST-GRDs'!K:K,SM_GRDName,GRD_Table[[#This Row],[Column1]])*24</f>
        <v>0</v>
      </c>
      <c r="H31" s="103" t="str">
        <f t="shared" si="1"/>
        <v/>
      </c>
      <c r="I31" s="147">
        <f>SUMIFS('SM-EST-GRDs'!L:L,SM_GRDName,GRD_Table[[#This Row],[Column1]])</f>
        <v>0</v>
      </c>
      <c r="J31" s="147"/>
      <c r="K31" s="16"/>
      <c r="L31"/>
      <c r="M31" s="120"/>
    </row>
    <row r="32" spans="2:13" x14ac:dyDescent="0.3">
      <c r="B32" s="122" t="str">
        <f>IF(Lists!G25="","",Lists!G25)</f>
        <v/>
      </c>
      <c r="C32" s="154"/>
      <c r="D32" s="138">
        <f>SUMIFS('SM-EST-GRDs'!M:M,SM_GRDName,GRD_Table[[#This Row],[Column1]])</f>
        <v>0</v>
      </c>
      <c r="E32" s="143">
        <f>SUMIFS('SM-EST-GRDs'!J:J,SM_GRDName,GRD_Table[[#This Row],[Column1]])*24</f>
        <v>0</v>
      </c>
      <c r="F32" s="103" t="str">
        <f t="shared" si="0"/>
        <v/>
      </c>
      <c r="G32" s="143">
        <f>SUMIFS('SM-EST-GRDs'!K:K,SM_GRDName,GRD_Table[[#This Row],[Column1]])*24</f>
        <v>0</v>
      </c>
      <c r="H32" s="103" t="str">
        <f t="shared" si="1"/>
        <v/>
      </c>
      <c r="I32" s="147">
        <f>SUMIFS('SM-EST-GRDs'!L:L,SM_GRDName,GRD_Table[[#This Row],[Column1]])</f>
        <v>0</v>
      </c>
      <c r="J32" s="147"/>
      <c r="K32" s="16"/>
      <c r="L32"/>
      <c r="M32" s="120"/>
    </row>
    <row r="33" spans="2:13" x14ac:dyDescent="0.3">
      <c r="B33" s="172" t="str">
        <f>IF(SUM(L9:L11)&gt;3,"Total w/Multiplier","Total")</f>
        <v>Total</v>
      </c>
      <c r="D33" s="146">
        <f>SUBTOTAL(109,GRD_Table[Column2])</f>
        <v>0</v>
      </c>
      <c r="E33" s="145">
        <f>SUBTOTAL(109,GRD_Table[Ftime])*L9</f>
        <v>0</v>
      </c>
      <c r="F33" s="127" t="str">
        <f>IF(E33=0,"","hrs")</f>
        <v/>
      </c>
      <c r="G33" s="145">
        <f>SUBTOTAL(109,GRD_Table[Etime])*L10</f>
        <v>0</v>
      </c>
      <c r="H33" s="127" t="str">
        <f>IF(G33=0,"","hrs")</f>
        <v/>
      </c>
      <c r="I33" s="49">
        <f>SUBTOTAL(109,GRD_Table[Cost])*L11</f>
        <v>0</v>
      </c>
      <c r="J33" s="128"/>
      <c r="K33" s="21"/>
      <c r="L33"/>
      <c r="M33" s="120"/>
    </row>
  </sheetData>
  <sheetProtection sheet="1" objects="1" scenarios="1" selectLockedCells="1"/>
  <conditionalFormatting sqref="B33">
    <cfRule type="expression" dxfId="176" priority="1">
      <formula>B33="Total w/multiplier"</formula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P33"/>
  <sheetViews>
    <sheetView showGridLines="0" workbookViewId="0">
      <selection activeCell="B9" sqref="B9"/>
    </sheetView>
  </sheetViews>
  <sheetFormatPr defaultRowHeight="14.4" x14ac:dyDescent="0.3"/>
  <cols>
    <col min="1" max="1" width="9.109375" customWidth="1"/>
    <col min="2" max="2" width="40.6640625" customWidth="1"/>
    <col min="3" max="3" width="10.6640625" customWidth="1"/>
    <col min="4" max="6" width="7.6640625" style="17" customWidth="1"/>
    <col min="7" max="7" width="7.6640625" style="20" customWidth="1"/>
    <col min="8" max="8" width="7.6640625" style="17" customWidth="1"/>
    <col min="9" max="9" width="13.6640625" style="17" customWidth="1"/>
    <col min="10" max="10" width="13.6640625" customWidth="1"/>
    <col min="11" max="11" width="5.6640625" customWidth="1"/>
    <col min="12" max="12" width="10.6640625" customWidth="1"/>
    <col min="13" max="13" width="6.6640625" style="120" customWidth="1"/>
    <col min="14" max="14" width="8.6640625" customWidth="1"/>
    <col min="18" max="18" width="13.33203125" customWidth="1"/>
  </cols>
  <sheetData>
    <row r="1" spans="2:16" ht="6" customHeight="1" x14ac:dyDescent="0.3">
      <c r="N1" s="1"/>
      <c r="O1" s="18"/>
      <c r="P1" s="1"/>
    </row>
    <row r="2" spans="2:16" ht="39" customHeight="1" thickBot="1" x14ac:dyDescent="0.45">
      <c r="B2" s="2" t="s">
        <v>98</v>
      </c>
      <c r="C2" s="2"/>
      <c r="D2" s="72"/>
      <c r="E2" s="72"/>
      <c r="F2" s="72"/>
      <c r="G2" s="55"/>
      <c r="H2" s="72"/>
      <c r="I2" s="72"/>
      <c r="J2" s="2"/>
      <c r="K2" s="2"/>
      <c r="L2" s="2"/>
      <c r="M2" s="2"/>
      <c r="N2" s="19"/>
    </row>
    <row r="3" spans="2:16" ht="9" customHeight="1" thickTop="1" x14ac:dyDescent="0.3">
      <c r="M3"/>
      <c r="N3" s="1"/>
      <c r="O3" s="18"/>
      <c r="P3" s="1"/>
    </row>
    <row r="4" spans="2:16" x14ac:dyDescent="0.3">
      <c r="B4" s="3" t="str">
        <f>IF(ProjectName="","",ProjectName)</f>
        <v/>
      </c>
      <c r="L4" s="5" t="s">
        <v>15</v>
      </c>
      <c r="M4" s="4" t="str">
        <f>IF(EstimatorName="","",EstimatorName)</f>
        <v/>
      </c>
      <c r="N4" s="1"/>
      <c r="O4" s="18"/>
      <c r="P4" s="1"/>
    </row>
    <row r="5" spans="2:16" ht="15" customHeight="1" x14ac:dyDescent="0.3">
      <c r="B5" s="9" t="str">
        <f>IF(ProjectAddress="","",ProjectAddress)</f>
        <v/>
      </c>
      <c r="L5" s="5" t="s">
        <v>16</v>
      </c>
      <c r="M5" s="4" t="str">
        <f>IF(EstimateNo="","",EstimateNo)</f>
        <v/>
      </c>
      <c r="N5" s="1"/>
      <c r="O5" s="18"/>
      <c r="P5" s="1"/>
    </row>
    <row r="6" spans="2:16" ht="15" customHeight="1" x14ac:dyDescent="0.3">
      <c r="B6" s="9"/>
      <c r="L6" s="5"/>
      <c r="M6" s="119"/>
      <c r="N6" s="1"/>
      <c r="O6" s="18"/>
      <c r="P6" s="1"/>
    </row>
    <row r="7" spans="2:16" ht="23.4" x14ac:dyDescent="0.45">
      <c r="B7" s="6" t="s">
        <v>6</v>
      </c>
    </row>
    <row r="8" spans="2:16" ht="18" x14ac:dyDescent="0.35">
      <c r="B8" s="12" t="s">
        <v>50</v>
      </c>
      <c r="C8" s="53" t="s">
        <v>52</v>
      </c>
      <c r="D8" s="121" t="s">
        <v>90</v>
      </c>
      <c r="E8" s="126" t="s">
        <v>39</v>
      </c>
      <c r="F8" s="126"/>
      <c r="G8" s="126" t="s">
        <v>40</v>
      </c>
      <c r="H8" s="126"/>
      <c r="I8" s="14" t="s">
        <v>93</v>
      </c>
      <c r="J8" s="14" t="s">
        <v>94</v>
      </c>
      <c r="L8" s="129" t="s">
        <v>92</v>
      </c>
      <c r="M8" s="130"/>
    </row>
    <row r="9" spans="2:16" x14ac:dyDescent="0.3">
      <c r="B9" s="112" t="str">
        <f>IF('SM-EST-Equipment'!F2="","",'SM-EST-Equipment'!F2)</f>
        <v/>
      </c>
      <c r="C9" s="154" t="str">
        <f>IF('SM-EST-Equipment'!E2="","",'SM-EST-Equipment'!E2)</f>
        <v/>
      </c>
      <c r="D9" s="123" t="str">
        <f>IF('SM-EST-Equipment'!J2=0,"",'SM-EST-Equipment'!J2)</f>
        <v/>
      </c>
      <c r="E9" s="143" t="str">
        <f>IF('SM-EST-Equipment'!H2=0,"",'SM-EST-Equipment'!H2*24)</f>
        <v/>
      </c>
      <c r="F9" s="103" t="str">
        <f t="shared" ref="F9:H32" si="0">IF(E9="","","hrs")</f>
        <v/>
      </c>
      <c r="G9" s="143" t="str">
        <f>IF('SM-EST-Equipment'!I2=0,"",'SM-EST-Equipment'!I2*24)</f>
        <v/>
      </c>
      <c r="H9" s="103" t="str">
        <f t="shared" si="0"/>
        <v/>
      </c>
      <c r="I9" s="150"/>
      <c r="J9" s="147" t="str">
        <f>IFERROR(EquipmentTable[[#This Row],[Column2]]*EquipmentTable[[#This Row],[Column5]],"")</f>
        <v/>
      </c>
      <c r="K9" s="16"/>
      <c r="L9" s="131" t="s">
        <v>39</v>
      </c>
      <c r="M9" s="220">
        <v>1</v>
      </c>
    </row>
    <row r="10" spans="2:16" x14ac:dyDescent="0.3">
      <c r="B10" s="122" t="str">
        <f>IF('SM-EST-Equipment'!F3="","",'SM-EST-Equipment'!F3)</f>
        <v/>
      </c>
      <c r="C10" s="154" t="str">
        <f>IF('SM-EST-Equipment'!E3="","",'SM-EST-Equipment'!E3)</f>
        <v/>
      </c>
      <c r="D10" s="123" t="str">
        <f>IF('SM-EST-Equipment'!J3=0,"",'SM-EST-Equipment'!J3)</f>
        <v/>
      </c>
      <c r="E10" s="143" t="str">
        <f>IF('SM-EST-Equipment'!H3=0,"",'SM-EST-Equipment'!H3*24)</f>
        <v/>
      </c>
      <c r="F10" s="103" t="str">
        <f t="shared" si="0"/>
        <v/>
      </c>
      <c r="G10" s="143" t="str">
        <f>IF('SM-EST-Equipment'!I3=0,"",'SM-EST-Equipment'!I3*24)</f>
        <v/>
      </c>
      <c r="H10" s="103" t="str">
        <f t="shared" si="0"/>
        <v/>
      </c>
      <c r="I10" s="150"/>
      <c r="J10" s="151" t="str">
        <f>IFERROR(EquipmentTable[[#This Row],[Column2]]*EquipmentTable[[#This Row],[Column5]],"")</f>
        <v/>
      </c>
      <c r="K10" s="16"/>
      <c r="L10" s="132" t="s">
        <v>40</v>
      </c>
      <c r="M10" s="221">
        <v>1</v>
      </c>
    </row>
    <row r="11" spans="2:16" x14ac:dyDescent="0.3">
      <c r="B11" s="112" t="str">
        <f>IF('SM-EST-Equipment'!F4="","",'SM-EST-Equipment'!F4)</f>
        <v/>
      </c>
      <c r="C11" s="154" t="str">
        <f>IF('SM-EST-Equipment'!E4="","",'SM-EST-Equipment'!E4)</f>
        <v/>
      </c>
      <c r="D11" s="123" t="str">
        <f>IF('SM-EST-Equipment'!J4=0,"",'SM-EST-Equipment'!J4)</f>
        <v/>
      </c>
      <c r="E11" s="143" t="str">
        <f>IF('SM-EST-Equipment'!H4=0,"",'SM-EST-Equipment'!H4*24)</f>
        <v/>
      </c>
      <c r="F11" s="103" t="str">
        <f t="shared" si="0"/>
        <v/>
      </c>
      <c r="G11" s="143" t="str">
        <f>IF('SM-EST-Equipment'!I4=0,"",'SM-EST-Equipment'!I4*24)</f>
        <v/>
      </c>
      <c r="H11" s="103" t="str">
        <f t="shared" si="0"/>
        <v/>
      </c>
      <c r="I11" s="150"/>
      <c r="J11" s="151" t="str">
        <f>IFERROR(EquipmentTable[[#This Row],[Column2]]*EquipmentTable[[#This Row],[Column5]],"")</f>
        <v/>
      </c>
      <c r="K11" s="16"/>
      <c r="L11" s="133" t="s">
        <v>48</v>
      </c>
      <c r="M11" s="222">
        <v>1</v>
      </c>
    </row>
    <row r="12" spans="2:16" x14ac:dyDescent="0.3">
      <c r="B12" s="112" t="str">
        <f>IF('SM-EST-Equipment'!F5="","",'SM-EST-Equipment'!F5)</f>
        <v/>
      </c>
      <c r="C12" s="154" t="str">
        <f>IF('SM-EST-Equipment'!E5="","",'SM-EST-Equipment'!E5)</f>
        <v/>
      </c>
      <c r="D12" s="123" t="str">
        <f>IF('SM-EST-Equipment'!J5=0,"",'SM-EST-Equipment'!J5)</f>
        <v/>
      </c>
      <c r="E12" s="143" t="str">
        <f>IF('SM-EST-Equipment'!H5=0,"",'SM-EST-Equipment'!H5*24)</f>
        <v/>
      </c>
      <c r="F12" s="103" t="str">
        <f t="shared" si="0"/>
        <v/>
      </c>
      <c r="G12" s="143" t="str">
        <f>IF('SM-EST-Equipment'!I5=0,"",'SM-EST-Equipment'!I5*24)</f>
        <v/>
      </c>
      <c r="H12" s="103" t="str">
        <f t="shared" si="0"/>
        <v/>
      </c>
      <c r="I12" s="150"/>
      <c r="J12" s="151" t="str">
        <f>IFERROR(EquipmentTable[[#This Row],[Column2]]*EquipmentTable[[#This Row],[Column5]],"")</f>
        <v/>
      </c>
      <c r="K12" s="16"/>
    </row>
    <row r="13" spans="2:16" x14ac:dyDescent="0.3">
      <c r="B13" s="112" t="str">
        <f>IF('SM-EST-Equipment'!F6="","",'SM-EST-Equipment'!F6)</f>
        <v/>
      </c>
      <c r="C13" s="154" t="str">
        <f>IF('SM-EST-Equipment'!E6="","",'SM-EST-Equipment'!E6)</f>
        <v/>
      </c>
      <c r="D13" s="123" t="str">
        <f>IF('SM-EST-Equipment'!J6=0,"",'SM-EST-Equipment'!J6)</f>
        <v/>
      </c>
      <c r="E13" s="143" t="str">
        <f>IF('SM-EST-Equipment'!H6=0,"",'SM-EST-Equipment'!H6*24)</f>
        <v/>
      </c>
      <c r="F13" s="103" t="str">
        <f t="shared" si="0"/>
        <v/>
      </c>
      <c r="G13" s="143" t="str">
        <f>IF('SM-EST-Equipment'!I6=0,"",'SM-EST-Equipment'!I6*24)</f>
        <v/>
      </c>
      <c r="H13" s="103" t="str">
        <f t="shared" si="0"/>
        <v/>
      </c>
      <c r="I13" s="150"/>
      <c r="J13" s="151" t="str">
        <f>IFERROR(EquipmentTable[[#This Row],[Column2]]*EquipmentTable[[#This Row],[Column5]],"")</f>
        <v/>
      </c>
      <c r="K13" s="16"/>
    </row>
    <row r="14" spans="2:16" x14ac:dyDescent="0.3">
      <c r="B14" s="112" t="str">
        <f>IF('SM-EST-Equipment'!F7="","",'SM-EST-Equipment'!F7)</f>
        <v/>
      </c>
      <c r="C14" s="154" t="str">
        <f>IF('SM-EST-Equipment'!E7="","",'SM-EST-Equipment'!E7)</f>
        <v/>
      </c>
      <c r="D14" s="123" t="str">
        <f>IF('SM-EST-Equipment'!J7=0,"",'SM-EST-Equipment'!J7)</f>
        <v/>
      </c>
      <c r="E14" s="143" t="str">
        <f>IF('SM-EST-Equipment'!H7=0,"",'SM-EST-Equipment'!H7*24)</f>
        <v/>
      </c>
      <c r="F14" s="103" t="str">
        <f t="shared" si="0"/>
        <v/>
      </c>
      <c r="G14" s="143" t="str">
        <f>IF('SM-EST-Equipment'!I7=0,"",'SM-EST-Equipment'!I7*24)</f>
        <v/>
      </c>
      <c r="H14" s="103" t="str">
        <f t="shared" si="0"/>
        <v/>
      </c>
      <c r="I14" s="150"/>
      <c r="J14" s="151" t="str">
        <f>IFERROR(EquipmentTable[[#This Row],[Column2]]*EquipmentTable[[#This Row],[Column5]],"")</f>
        <v/>
      </c>
      <c r="K14" s="16"/>
    </row>
    <row r="15" spans="2:16" x14ac:dyDescent="0.3">
      <c r="B15" s="112" t="str">
        <f>IF('SM-EST-Equipment'!F8="","",'SM-EST-Equipment'!F8)</f>
        <v/>
      </c>
      <c r="C15" s="154" t="str">
        <f>IF('SM-EST-Equipment'!E8="","",'SM-EST-Equipment'!E8)</f>
        <v/>
      </c>
      <c r="D15" s="123" t="str">
        <f>IF('SM-EST-Equipment'!J8=0,"",'SM-EST-Equipment'!J8)</f>
        <v/>
      </c>
      <c r="E15" s="143" t="str">
        <f>IF('SM-EST-Equipment'!H8=0,"",'SM-EST-Equipment'!H8*24)</f>
        <v/>
      </c>
      <c r="F15" s="103" t="str">
        <f t="shared" si="0"/>
        <v/>
      </c>
      <c r="G15" s="143" t="str">
        <f>IF('SM-EST-Equipment'!I8=0,"",'SM-EST-Equipment'!I8*24)</f>
        <v/>
      </c>
      <c r="H15" s="103" t="str">
        <f t="shared" si="0"/>
        <v/>
      </c>
      <c r="I15" s="150"/>
      <c r="J15" s="151" t="str">
        <f>IFERROR(EquipmentTable[[#This Row],[Column2]]*EquipmentTable[[#This Row],[Column5]],"")</f>
        <v/>
      </c>
      <c r="K15" s="16"/>
    </row>
    <row r="16" spans="2:16" x14ac:dyDescent="0.3">
      <c r="B16" s="112" t="str">
        <f>IF('SM-EST-Equipment'!F9="","",'SM-EST-Equipment'!F9)</f>
        <v/>
      </c>
      <c r="C16" s="154" t="str">
        <f>IF('SM-EST-Equipment'!E9="","",'SM-EST-Equipment'!E9)</f>
        <v/>
      </c>
      <c r="D16" s="123" t="str">
        <f>IF('SM-EST-Equipment'!J9=0,"",'SM-EST-Equipment'!J9)</f>
        <v/>
      </c>
      <c r="E16" s="143" t="str">
        <f>IF('SM-EST-Equipment'!H9=0,"",'SM-EST-Equipment'!H9*24)</f>
        <v/>
      </c>
      <c r="F16" s="103" t="str">
        <f t="shared" si="0"/>
        <v/>
      </c>
      <c r="G16" s="143" t="str">
        <f>IF('SM-EST-Equipment'!I9=0,"",'SM-EST-Equipment'!I9*24)</f>
        <v/>
      </c>
      <c r="H16" s="103" t="str">
        <f t="shared" si="0"/>
        <v/>
      </c>
      <c r="I16" s="150"/>
      <c r="J16" s="151" t="str">
        <f>IFERROR(EquipmentTable[[#This Row],[Column2]]*EquipmentTable[[#This Row],[Column5]],"")</f>
        <v/>
      </c>
      <c r="K16" s="16"/>
    </row>
    <row r="17" spans="2:11" x14ac:dyDescent="0.3">
      <c r="B17" s="112" t="str">
        <f>IF('SM-EST-Equipment'!F10="","",'SM-EST-Equipment'!F10)</f>
        <v/>
      </c>
      <c r="C17" s="154" t="str">
        <f>IF('SM-EST-Equipment'!E10="","",'SM-EST-Equipment'!E10)</f>
        <v/>
      </c>
      <c r="D17" s="123" t="str">
        <f>IF('SM-EST-Equipment'!J10=0,"",'SM-EST-Equipment'!J10)</f>
        <v/>
      </c>
      <c r="E17" s="143" t="str">
        <f>IF('SM-EST-Equipment'!H10=0,"",'SM-EST-Equipment'!H10*24)</f>
        <v/>
      </c>
      <c r="F17" s="103" t="str">
        <f t="shared" si="0"/>
        <v/>
      </c>
      <c r="G17" s="143" t="str">
        <f>IF('SM-EST-Equipment'!I10=0,"",'SM-EST-Equipment'!I10*24)</f>
        <v/>
      </c>
      <c r="H17" s="103" t="str">
        <f t="shared" si="0"/>
        <v/>
      </c>
      <c r="I17" s="150"/>
      <c r="J17" s="151" t="str">
        <f>IFERROR(EquipmentTable[[#This Row],[Column2]]*EquipmentTable[[#This Row],[Column5]],"")</f>
        <v/>
      </c>
      <c r="K17" s="16"/>
    </row>
    <row r="18" spans="2:11" x14ac:dyDescent="0.3">
      <c r="B18" s="112" t="str">
        <f>IF('SM-EST-Equipment'!F11="","",'SM-EST-Equipment'!F11)</f>
        <v/>
      </c>
      <c r="C18" s="154" t="str">
        <f>IF('SM-EST-Equipment'!E11="","",'SM-EST-Equipment'!E11)</f>
        <v/>
      </c>
      <c r="D18" s="123" t="str">
        <f>IF('SM-EST-Equipment'!J11=0,"",'SM-EST-Equipment'!J11)</f>
        <v/>
      </c>
      <c r="E18" s="143" t="str">
        <f>IF('SM-EST-Equipment'!H11=0,"",'SM-EST-Equipment'!H11*24)</f>
        <v/>
      </c>
      <c r="F18" s="103" t="str">
        <f t="shared" si="0"/>
        <v/>
      </c>
      <c r="G18" s="143" t="str">
        <f>IF('SM-EST-Equipment'!I11=0,"",'SM-EST-Equipment'!I11*24)</f>
        <v/>
      </c>
      <c r="H18" s="103" t="str">
        <f t="shared" si="0"/>
        <v/>
      </c>
      <c r="I18" s="150"/>
      <c r="J18" s="151" t="str">
        <f>IFERROR(EquipmentTable[[#This Row],[Column2]]*EquipmentTable[[#This Row],[Column5]],"")</f>
        <v/>
      </c>
      <c r="K18" s="16"/>
    </row>
    <row r="19" spans="2:11" x14ac:dyDescent="0.3">
      <c r="B19" s="112" t="str">
        <f>IF('SM-EST-Equipment'!F12="","",'SM-EST-Equipment'!F12)</f>
        <v/>
      </c>
      <c r="C19" s="154" t="str">
        <f>IF('SM-EST-Equipment'!E12="","",'SM-EST-Equipment'!E12)</f>
        <v/>
      </c>
      <c r="D19" s="123" t="str">
        <f>IF('SM-EST-Equipment'!J12=0,"",'SM-EST-Equipment'!J12)</f>
        <v/>
      </c>
      <c r="E19" s="143" t="str">
        <f>IF('SM-EST-Equipment'!H12=0,"",'SM-EST-Equipment'!H12*24)</f>
        <v/>
      </c>
      <c r="F19" s="103" t="str">
        <f t="shared" si="0"/>
        <v/>
      </c>
      <c r="G19" s="143" t="str">
        <f>IF('SM-EST-Equipment'!I12=0,"",'SM-EST-Equipment'!I12*24)</f>
        <v/>
      </c>
      <c r="H19" s="103" t="str">
        <f t="shared" si="0"/>
        <v/>
      </c>
      <c r="I19" s="150"/>
      <c r="J19" s="151" t="str">
        <f>IFERROR(EquipmentTable[[#This Row],[Column2]]*EquipmentTable[[#This Row],[Column5]],"")</f>
        <v/>
      </c>
      <c r="K19" s="16"/>
    </row>
    <row r="20" spans="2:11" x14ac:dyDescent="0.3">
      <c r="B20" s="112" t="str">
        <f>IF('SM-EST-Equipment'!F13="","",'SM-EST-Equipment'!F13)</f>
        <v/>
      </c>
      <c r="C20" s="154" t="str">
        <f>IF('SM-EST-Equipment'!E13="","",'SM-EST-Equipment'!E13)</f>
        <v/>
      </c>
      <c r="D20" s="123" t="str">
        <f>IF('SM-EST-Equipment'!J13=0,"",'SM-EST-Equipment'!J13)</f>
        <v/>
      </c>
      <c r="E20" s="143" t="str">
        <f>IF('SM-EST-Equipment'!H13=0,"",'SM-EST-Equipment'!H13*24)</f>
        <v/>
      </c>
      <c r="F20" s="103" t="str">
        <f t="shared" si="0"/>
        <v/>
      </c>
      <c r="G20" s="143" t="str">
        <f>IF('SM-EST-Equipment'!I13=0,"",'SM-EST-Equipment'!I13*24)</f>
        <v/>
      </c>
      <c r="H20" s="103" t="str">
        <f t="shared" si="0"/>
        <v/>
      </c>
      <c r="I20" s="150"/>
      <c r="J20" s="151" t="str">
        <f>IFERROR(EquipmentTable[[#This Row],[Column2]]*EquipmentTable[[#This Row],[Column5]],"")</f>
        <v/>
      </c>
      <c r="K20" s="16"/>
    </row>
    <row r="21" spans="2:11" x14ac:dyDescent="0.3">
      <c r="B21" s="112" t="str">
        <f>IF('SM-EST-Equipment'!F14="","",'SM-EST-Equipment'!F14)</f>
        <v/>
      </c>
      <c r="C21" s="154" t="str">
        <f>IF('SM-EST-Equipment'!E14="","",'SM-EST-Equipment'!E14)</f>
        <v/>
      </c>
      <c r="D21" s="123" t="str">
        <f>IF('SM-EST-Equipment'!J14=0,"",'SM-EST-Equipment'!J14)</f>
        <v/>
      </c>
      <c r="E21" s="143" t="str">
        <f>IF('SM-EST-Equipment'!H14=0,"",'SM-EST-Equipment'!H14*24)</f>
        <v/>
      </c>
      <c r="F21" s="103" t="str">
        <f t="shared" si="0"/>
        <v/>
      </c>
      <c r="G21" s="143" t="str">
        <f>IF('SM-EST-Equipment'!I14=0,"",'SM-EST-Equipment'!I14*24)</f>
        <v/>
      </c>
      <c r="H21" s="103" t="str">
        <f t="shared" si="0"/>
        <v/>
      </c>
      <c r="I21" s="150"/>
      <c r="J21" s="151" t="str">
        <f>IFERROR(EquipmentTable[[#This Row],[Column2]]*EquipmentTable[[#This Row],[Column5]],"")</f>
        <v/>
      </c>
      <c r="K21" s="16"/>
    </row>
    <row r="22" spans="2:11" x14ac:dyDescent="0.3">
      <c r="B22" s="112" t="str">
        <f>IF('SM-EST-Equipment'!F15="","",'SM-EST-Equipment'!F15)</f>
        <v/>
      </c>
      <c r="C22" s="154" t="str">
        <f>IF('SM-EST-Equipment'!E15="","",'SM-EST-Equipment'!E15)</f>
        <v/>
      </c>
      <c r="D22" s="123" t="str">
        <f>IF('SM-EST-Equipment'!J15=0,"",'SM-EST-Equipment'!J15)</f>
        <v/>
      </c>
      <c r="E22" s="143" t="str">
        <f>IF('SM-EST-Equipment'!H15=0,"",'SM-EST-Equipment'!H15*24)</f>
        <v/>
      </c>
      <c r="F22" s="103" t="str">
        <f t="shared" si="0"/>
        <v/>
      </c>
      <c r="G22" s="143" t="str">
        <f>IF('SM-EST-Equipment'!I15=0,"",'SM-EST-Equipment'!I15*24)</f>
        <v/>
      </c>
      <c r="H22" s="103" t="str">
        <f t="shared" si="0"/>
        <v/>
      </c>
      <c r="I22" s="150"/>
      <c r="J22" s="151" t="str">
        <f>IFERROR(EquipmentTable[[#This Row],[Column2]]*EquipmentTable[[#This Row],[Column5]],"")</f>
        <v/>
      </c>
      <c r="K22" s="16"/>
    </row>
    <row r="23" spans="2:11" x14ac:dyDescent="0.3">
      <c r="B23" s="112" t="str">
        <f>IF('SM-EST-Equipment'!F16="","",'SM-EST-Equipment'!F16)</f>
        <v/>
      </c>
      <c r="C23" s="154" t="str">
        <f>IF('SM-EST-Equipment'!E16="","",'SM-EST-Equipment'!E16)</f>
        <v/>
      </c>
      <c r="D23" s="123" t="str">
        <f>IF('SM-EST-Equipment'!J16=0,"",'SM-EST-Equipment'!J16)</f>
        <v/>
      </c>
      <c r="E23" s="143" t="str">
        <f>IF('SM-EST-Equipment'!H16=0,"",'SM-EST-Equipment'!H16*24)</f>
        <v/>
      </c>
      <c r="F23" s="103" t="str">
        <f t="shared" si="0"/>
        <v/>
      </c>
      <c r="G23" s="143" t="str">
        <f>IF('SM-EST-Equipment'!I16=0,"",'SM-EST-Equipment'!I16*24)</f>
        <v/>
      </c>
      <c r="H23" s="103" t="str">
        <f t="shared" si="0"/>
        <v/>
      </c>
      <c r="I23" s="150"/>
      <c r="J23" s="151" t="str">
        <f>IFERROR(EquipmentTable[[#This Row],[Column2]]*EquipmentTable[[#This Row],[Column5]],"")</f>
        <v/>
      </c>
      <c r="K23" s="16"/>
    </row>
    <row r="24" spans="2:11" x14ac:dyDescent="0.3">
      <c r="B24" s="112" t="str">
        <f>IF('SM-EST-Equipment'!F17="","",'SM-EST-Equipment'!F17)</f>
        <v/>
      </c>
      <c r="C24" s="154" t="str">
        <f>IF('SM-EST-Equipment'!E17="","",'SM-EST-Equipment'!E17)</f>
        <v/>
      </c>
      <c r="D24" s="123" t="str">
        <f>IF('SM-EST-Equipment'!J17=0,"",'SM-EST-Equipment'!J17)</f>
        <v/>
      </c>
      <c r="E24" s="143" t="str">
        <f>IF('SM-EST-Equipment'!H17=0,"",'SM-EST-Equipment'!H17*24)</f>
        <v/>
      </c>
      <c r="F24" s="103" t="str">
        <f t="shared" si="0"/>
        <v/>
      </c>
      <c r="G24" s="143" t="str">
        <f>IF('SM-EST-Equipment'!I17=0,"",'SM-EST-Equipment'!I17*24)</f>
        <v/>
      </c>
      <c r="H24" s="103" t="str">
        <f t="shared" si="0"/>
        <v/>
      </c>
      <c r="I24" s="150"/>
      <c r="J24" s="151" t="str">
        <f>IFERROR(EquipmentTable[[#This Row],[Column2]]*EquipmentTable[[#This Row],[Column5]],"")</f>
        <v/>
      </c>
      <c r="K24" s="16"/>
    </row>
    <row r="25" spans="2:11" x14ac:dyDescent="0.3">
      <c r="B25" s="112" t="str">
        <f>IF('SM-EST-Equipment'!F18="","",'SM-EST-Equipment'!F18)</f>
        <v/>
      </c>
      <c r="C25" s="154" t="str">
        <f>IF('SM-EST-Equipment'!E18="","",'SM-EST-Equipment'!E18)</f>
        <v/>
      </c>
      <c r="D25" s="123" t="str">
        <f>IF('SM-EST-Equipment'!J18=0,"",'SM-EST-Equipment'!J18)</f>
        <v/>
      </c>
      <c r="E25" s="143" t="str">
        <f>IF('SM-EST-Equipment'!H18=0,"",'SM-EST-Equipment'!H18*24)</f>
        <v/>
      </c>
      <c r="F25" s="103" t="str">
        <f t="shared" si="0"/>
        <v/>
      </c>
      <c r="G25" s="143" t="str">
        <f>IF('SM-EST-Equipment'!I18=0,"",'SM-EST-Equipment'!I18*24)</f>
        <v/>
      </c>
      <c r="H25" s="103" t="str">
        <f t="shared" si="0"/>
        <v/>
      </c>
      <c r="I25" s="150"/>
      <c r="J25" s="151" t="str">
        <f>IFERROR(EquipmentTable[[#This Row],[Column2]]*EquipmentTable[[#This Row],[Column5]],"")</f>
        <v/>
      </c>
      <c r="K25" s="16"/>
    </row>
    <row r="26" spans="2:11" x14ac:dyDescent="0.3">
      <c r="B26" s="112" t="str">
        <f>IF('SM-EST-Equipment'!F19="","",'SM-EST-Equipment'!F19)</f>
        <v/>
      </c>
      <c r="C26" s="154" t="str">
        <f>IF('SM-EST-Equipment'!E19="","",'SM-EST-Equipment'!E19)</f>
        <v/>
      </c>
      <c r="D26" s="123" t="str">
        <f>IF('SM-EST-Equipment'!J19=0,"",'SM-EST-Equipment'!J19)</f>
        <v/>
      </c>
      <c r="E26" s="143" t="str">
        <f>IF('SM-EST-Equipment'!H19=0,"",'SM-EST-Equipment'!H19*24)</f>
        <v/>
      </c>
      <c r="F26" s="103" t="str">
        <f t="shared" si="0"/>
        <v/>
      </c>
      <c r="G26" s="143" t="str">
        <f>IF('SM-EST-Equipment'!I19=0,"",'SM-EST-Equipment'!I19*24)</f>
        <v/>
      </c>
      <c r="H26" s="103" t="str">
        <f t="shared" si="0"/>
        <v/>
      </c>
      <c r="I26" s="150"/>
      <c r="J26" s="151" t="str">
        <f>IFERROR(EquipmentTable[[#This Row],[Column2]]*EquipmentTable[[#This Row],[Column5]],"")</f>
        <v/>
      </c>
      <c r="K26" s="16"/>
    </row>
    <row r="27" spans="2:11" x14ac:dyDescent="0.3">
      <c r="B27" s="112" t="str">
        <f>IF('SM-EST-Equipment'!F20="","",'SM-EST-Equipment'!F20)</f>
        <v/>
      </c>
      <c r="C27" s="154" t="str">
        <f>IF('SM-EST-Equipment'!E20="","",'SM-EST-Equipment'!E20)</f>
        <v/>
      </c>
      <c r="D27" s="123" t="str">
        <f>IF('SM-EST-Equipment'!J20=0,"",'SM-EST-Equipment'!J20)</f>
        <v/>
      </c>
      <c r="E27" s="143" t="str">
        <f>IF('SM-EST-Equipment'!H20=0,"",'SM-EST-Equipment'!H20*24)</f>
        <v/>
      </c>
      <c r="F27" s="103" t="str">
        <f t="shared" si="0"/>
        <v/>
      </c>
      <c r="G27" s="143" t="str">
        <f>IF('SM-EST-Equipment'!I20=0,"",'SM-EST-Equipment'!I20*24)</f>
        <v/>
      </c>
      <c r="H27" s="103" t="str">
        <f t="shared" si="0"/>
        <v/>
      </c>
      <c r="I27" s="150"/>
      <c r="J27" s="151" t="str">
        <f>IFERROR(EquipmentTable[[#This Row],[Column2]]*EquipmentTable[[#This Row],[Column5]],"")</f>
        <v/>
      </c>
      <c r="K27" s="16"/>
    </row>
    <row r="28" spans="2:11" x14ac:dyDescent="0.3">
      <c r="B28" s="112" t="str">
        <f>IF('SM-EST-Equipment'!F21="","",'SM-EST-Equipment'!F21)</f>
        <v/>
      </c>
      <c r="C28" s="154" t="str">
        <f>IF('SM-EST-Equipment'!E21="","",'SM-EST-Equipment'!E21)</f>
        <v/>
      </c>
      <c r="D28" s="123" t="str">
        <f>IF('SM-EST-Equipment'!J21=0,"",'SM-EST-Equipment'!J21)</f>
        <v/>
      </c>
      <c r="E28" s="143" t="str">
        <f>IF('SM-EST-Equipment'!H21=0,"",'SM-EST-Equipment'!H21*24)</f>
        <v/>
      </c>
      <c r="F28" s="103" t="str">
        <f t="shared" si="0"/>
        <v/>
      </c>
      <c r="G28" s="143" t="str">
        <f>IF('SM-EST-Equipment'!I21=0,"",'SM-EST-Equipment'!I21*24)</f>
        <v/>
      </c>
      <c r="H28" s="103" t="str">
        <f t="shared" si="0"/>
        <v/>
      </c>
      <c r="I28" s="150"/>
      <c r="J28" s="151" t="str">
        <f>IFERROR(EquipmentTable[[#This Row],[Column2]]*EquipmentTable[[#This Row],[Column5]],"")</f>
        <v/>
      </c>
      <c r="K28" s="16"/>
    </row>
    <row r="29" spans="2:11" x14ac:dyDescent="0.3">
      <c r="B29" s="112" t="str">
        <f>IF('SM-EST-Equipment'!F22="","",'SM-EST-Equipment'!F22)</f>
        <v/>
      </c>
      <c r="C29" s="154" t="str">
        <f>IF('SM-EST-Equipment'!E22="","",'SM-EST-Equipment'!E22)</f>
        <v/>
      </c>
      <c r="D29" s="123" t="str">
        <f>IF('SM-EST-Equipment'!J22=0,"",'SM-EST-Equipment'!J22)</f>
        <v/>
      </c>
      <c r="E29" s="143" t="str">
        <f>IF('SM-EST-Equipment'!H22=0,"",'SM-EST-Equipment'!H22*24)</f>
        <v/>
      </c>
      <c r="F29" s="103" t="str">
        <f t="shared" si="0"/>
        <v/>
      </c>
      <c r="G29" s="143" t="str">
        <f>IF('SM-EST-Equipment'!I22=0,"",'SM-EST-Equipment'!I22*24)</f>
        <v/>
      </c>
      <c r="H29" s="103" t="str">
        <f t="shared" si="0"/>
        <v/>
      </c>
      <c r="I29" s="150"/>
      <c r="J29" s="151" t="str">
        <f>IFERROR(EquipmentTable[[#This Row],[Column2]]*EquipmentTable[[#This Row],[Column5]],"")</f>
        <v/>
      </c>
      <c r="K29" s="16"/>
    </row>
    <row r="30" spans="2:11" x14ac:dyDescent="0.3">
      <c r="B30" s="112" t="str">
        <f>IF('SM-EST-Equipment'!F23="","",'SM-EST-Equipment'!F23)</f>
        <v/>
      </c>
      <c r="C30" s="154" t="str">
        <f>IF('SM-EST-Equipment'!E23="","",'SM-EST-Equipment'!E23)</f>
        <v/>
      </c>
      <c r="D30" s="123" t="str">
        <f>IF('SM-EST-Equipment'!J23=0,"",'SM-EST-Equipment'!J23)</f>
        <v/>
      </c>
      <c r="E30" s="143" t="str">
        <f>IF('SM-EST-Equipment'!H23=0,"",'SM-EST-Equipment'!H23*24)</f>
        <v/>
      </c>
      <c r="F30" s="103" t="str">
        <f t="shared" si="0"/>
        <v/>
      </c>
      <c r="G30" s="143" t="str">
        <f>IF('SM-EST-Equipment'!I23=0,"",'SM-EST-Equipment'!I23*24)</f>
        <v/>
      </c>
      <c r="H30" s="103" t="str">
        <f t="shared" si="0"/>
        <v/>
      </c>
      <c r="I30" s="150"/>
      <c r="J30" s="151" t="str">
        <f>IFERROR(EquipmentTable[[#This Row],[Column2]]*EquipmentTable[[#This Row],[Column5]],"")</f>
        <v/>
      </c>
      <c r="K30" s="16"/>
    </row>
    <row r="31" spans="2:11" x14ac:dyDescent="0.3">
      <c r="B31" s="112" t="str">
        <f>IF('SM-EST-Equipment'!F24="","",'SM-EST-Equipment'!F24)</f>
        <v/>
      </c>
      <c r="C31" s="154" t="str">
        <f>IF('SM-EST-Equipment'!E24="","",'SM-EST-Equipment'!E24)</f>
        <v/>
      </c>
      <c r="D31" s="123" t="str">
        <f>IF('SM-EST-Equipment'!J24=0,"",'SM-EST-Equipment'!J24)</f>
        <v/>
      </c>
      <c r="E31" s="143" t="str">
        <f>IF('SM-EST-Equipment'!H24=0,"",'SM-EST-Equipment'!H24*24)</f>
        <v/>
      </c>
      <c r="F31" s="103" t="str">
        <f t="shared" si="0"/>
        <v/>
      </c>
      <c r="G31" s="143" t="str">
        <f>IF('SM-EST-Equipment'!I24=0,"",'SM-EST-Equipment'!I24*24)</f>
        <v/>
      </c>
      <c r="H31" s="103" t="str">
        <f t="shared" si="0"/>
        <v/>
      </c>
      <c r="I31" s="150"/>
      <c r="J31" s="151" t="str">
        <f>IFERROR(EquipmentTable[[#This Row],[Column2]]*EquipmentTable[[#This Row],[Column5]],"")</f>
        <v/>
      </c>
      <c r="K31" s="16"/>
    </row>
    <row r="32" spans="2:11" x14ac:dyDescent="0.3">
      <c r="B32" s="112" t="str">
        <f>IF('SM-EST-Equipment'!F25="","",'SM-EST-Equipment'!F25)</f>
        <v/>
      </c>
      <c r="C32" s="154" t="str">
        <f>IF('SM-EST-Equipment'!E25="","",'SM-EST-Equipment'!E25)</f>
        <v/>
      </c>
      <c r="D32" s="123" t="str">
        <f>IF('SM-EST-Equipment'!J25=0,"",'SM-EST-Equipment'!J25)</f>
        <v/>
      </c>
      <c r="E32" s="143" t="str">
        <f>IF('SM-EST-Equipment'!H25=0,"",'SM-EST-Equipment'!H25*24)</f>
        <v/>
      </c>
      <c r="F32" s="125" t="str">
        <f t="shared" si="0"/>
        <v/>
      </c>
      <c r="G32" s="143" t="str">
        <f>IF('SM-EST-Equipment'!I25=0,"",'SM-EST-Equipment'!I25*24)</f>
        <v/>
      </c>
      <c r="H32" s="125" t="str">
        <f t="shared" si="0"/>
        <v/>
      </c>
      <c r="I32" s="152"/>
      <c r="J32" s="151" t="str">
        <f>IFERROR(EquipmentTable[[#This Row],[Column2]]*EquipmentTable[[#This Row],[Column5]],"")</f>
        <v/>
      </c>
      <c r="K32" s="16"/>
    </row>
    <row r="33" spans="2:11" x14ac:dyDescent="0.3">
      <c r="B33" s="172" t="str">
        <f>IF(SUM(M9:M11)&gt;3,"Total w/Multiplier","Total")</f>
        <v>Total</v>
      </c>
      <c r="D33" s="17">
        <f>SUBTOTAL(109,EquipmentTable[Column2])</f>
        <v>0</v>
      </c>
      <c r="E33" s="145">
        <f>SUBTOTAL(109,EquipmentTable[Ftime])*M9</f>
        <v>0</v>
      </c>
      <c r="F33" s="127" t="str">
        <f>IF(E33=0,"","hrs")</f>
        <v/>
      </c>
      <c r="G33" s="145">
        <f>SUBTOTAL(109,EquipmentTable[Etime])*M10</f>
        <v>0</v>
      </c>
      <c r="H33" s="127" t="str">
        <f>IF(G33=0,"","hrs")</f>
        <v/>
      </c>
      <c r="I33" s="153"/>
      <c r="J33" s="49">
        <f>SUBTOTAL(109,EquipmentTable[Cost])*M11</f>
        <v>0</v>
      </c>
      <c r="K33" s="21"/>
    </row>
  </sheetData>
  <sheetProtection sheet="1" objects="1" scenarios="1" selectLockedCells="1"/>
  <conditionalFormatting sqref="B33">
    <cfRule type="expression" dxfId="151" priority="1">
      <formula>B33="Total w/multiplier"</formula>
    </cfRule>
  </conditionalFormatting>
  <pageMargins left="0.7" right="0.7" top="0.75" bottom="0.75" header="0.3" footer="0.3"/>
  <pageSetup orientation="portrait" horizontalDpi="1200" verticalDpi="1200" r:id="rId1"/>
  <ignoredErrors>
    <ignoredError sqref="B11:B32 B9" unlockedFormula="1"/>
  </ignoredErrors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J214"/>
  <sheetViews>
    <sheetView showGridLines="0" workbookViewId="0"/>
  </sheetViews>
  <sheetFormatPr defaultRowHeight="14.4" x14ac:dyDescent="0.3"/>
  <cols>
    <col min="1" max="1" width="9.109375" customWidth="1"/>
    <col min="2" max="2" width="57.88671875" customWidth="1"/>
    <col min="4" max="4" width="16.6640625" customWidth="1"/>
    <col min="7" max="7" width="5.6640625" customWidth="1"/>
    <col min="8" max="8" width="10" style="47" customWidth="1"/>
    <col min="9" max="9" width="6.6640625" style="36" customWidth="1"/>
    <col min="10" max="10" width="8.6640625" style="22" customWidth="1"/>
    <col min="12" max="12" width="18.33203125" customWidth="1"/>
  </cols>
  <sheetData>
    <row r="1" spans="2:10" ht="6" customHeight="1" x14ac:dyDescent="0.3">
      <c r="G1" s="47"/>
      <c r="H1" s="36"/>
      <c r="I1" s="22"/>
      <c r="J1"/>
    </row>
    <row r="2" spans="2:10" ht="39" customHeight="1" thickBot="1" x14ac:dyDescent="0.45">
      <c r="B2" s="2" t="s">
        <v>97</v>
      </c>
      <c r="C2" s="2"/>
      <c r="D2" s="2"/>
      <c r="E2" s="2"/>
      <c r="F2" s="2"/>
      <c r="G2" s="37"/>
      <c r="H2" s="45"/>
      <c r="I2" s="45"/>
      <c r="J2"/>
    </row>
    <row r="3" spans="2:10" ht="9" customHeight="1" thickTop="1" x14ac:dyDescent="0.3">
      <c r="G3" s="36"/>
      <c r="H3" s="22"/>
      <c r="I3" s="22"/>
      <c r="J3"/>
    </row>
    <row r="4" spans="2:10" x14ac:dyDescent="0.3">
      <c r="B4" s="3" t="str">
        <f>IF(ProjectName="","",ProjectName)</f>
        <v/>
      </c>
      <c r="G4" s="5" t="s">
        <v>15</v>
      </c>
      <c r="H4" s="4" t="str">
        <f>IF(EstimatorName="","",EstimatorName)</f>
        <v/>
      </c>
      <c r="I4" s="22"/>
      <c r="J4"/>
    </row>
    <row r="5" spans="2:10" ht="15" customHeight="1" x14ac:dyDescent="0.3">
      <c r="B5" s="9" t="str">
        <f>IF(ProjectAddress="","",ProjectAddress)</f>
        <v/>
      </c>
      <c r="G5" s="5" t="s">
        <v>16</v>
      </c>
      <c r="H5" s="4" t="str">
        <f>IF(EstimateNo="","",EstimateNo)</f>
        <v/>
      </c>
      <c r="I5" s="22"/>
      <c r="J5"/>
    </row>
    <row r="6" spans="2:10" x14ac:dyDescent="0.3">
      <c r="G6" s="47"/>
      <c r="H6" s="36"/>
      <c r="I6" s="22"/>
      <c r="J6"/>
    </row>
    <row r="7" spans="2:10" ht="23.4" x14ac:dyDescent="0.45">
      <c r="B7" s="6" t="s">
        <v>4</v>
      </c>
      <c r="C7" s="36"/>
      <c r="D7" s="47"/>
      <c r="E7" s="22"/>
      <c r="G7" s="47"/>
      <c r="H7" s="36"/>
      <c r="I7"/>
      <c r="J7"/>
    </row>
    <row r="8" spans="2:10" ht="18" x14ac:dyDescent="0.35">
      <c r="B8" s="12" t="s">
        <v>50</v>
      </c>
      <c r="C8" s="38" t="s">
        <v>49</v>
      </c>
      <c r="D8" s="48" t="s">
        <v>48</v>
      </c>
      <c r="E8" s="46" t="s">
        <v>47</v>
      </c>
      <c r="H8"/>
      <c r="I8"/>
      <c r="J8"/>
    </row>
    <row r="9" spans="2:10" x14ac:dyDescent="0.3">
      <c r="B9" t="str">
        <f>IF(Lists!C2="","",Lists!C2)</f>
        <v/>
      </c>
      <c r="C9" s="52" t="str">
        <f>IF(B9="","",SUMIFS('SM-EST-Ancillaries'!G:G,SM_AncillaryName,Ancillaries!B9))</f>
        <v/>
      </c>
      <c r="D9" s="47" t="str">
        <f>IFERROR((VLOOKUP(B9,'SM-EST-Ancillaries'!F:J,5,FALSE))/C9,"")</f>
        <v/>
      </c>
      <c r="E9" s="22" t="str">
        <f t="shared" ref="E9:E46" si="0">IF(B9="","",D9*C9)</f>
        <v/>
      </c>
      <c r="H9"/>
      <c r="I9"/>
      <c r="J9"/>
    </row>
    <row r="10" spans="2:10" x14ac:dyDescent="0.3">
      <c r="B10" t="str">
        <f>IF(Lists!C3="","",Lists!C3)</f>
        <v/>
      </c>
      <c r="C10" s="52" t="str">
        <f>IF(B10="","",SUMIFS('SM-EST-Ancillaries'!G:G,SM_AncillaryName,Ancillaries!B10))</f>
        <v/>
      </c>
      <c r="D10" s="47" t="str">
        <f>IFERROR((VLOOKUP(B10,'SM-EST-Ancillaries'!F:J,5,FALSE))/C10,"")</f>
        <v/>
      </c>
      <c r="E10" s="22" t="str">
        <f t="shared" si="0"/>
        <v/>
      </c>
      <c r="H10"/>
      <c r="I10"/>
      <c r="J10"/>
    </row>
    <row r="11" spans="2:10" x14ac:dyDescent="0.3">
      <c r="B11" t="str">
        <f>IF(Lists!C4="","",Lists!C4)</f>
        <v/>
      </c>
      <c r="C11" s="52" t="str">
        <f>IF(B11="","",SUMIFS('SM-EST-Ancillaries'!G:G,SM_AncillaryName,Ancillaries!B11))</f>
        <v/>
      </c>
      <c r="D11" s="47" t="str">
        <f>IFERROR((VLOOKUP(B11,'SM-EST-Ancillaries'!F:J,5,FALSE))/C11,"")</f>
        <v/>
      </c>
      <c r="E11" s="22" t="str">
        <f t="shared" si="0"/>
        <v/>
      </c>
      <c r="H11"/>
      <c r="I11"/>
      <c r="J11"/>
    </row>
    <row r="12" spans="2:10" x14ac:dyDescent="0.3">
      <c r="B12" t="str">
        <f>IF(Lists!C5="","",Lists!C5)</f>
        <v/>
      </c>
      <c r="C12" s="52" t="str">
        <f>IF(B12="","",SUMIFS('SM-EST-Ancillaries'!G:G,SM_AncillaryName,Ancillaries!B12))</f>
        <v/>
      </c>
      <c r="D12" s="47" t="str">
        <f>IFERROR((VLOOKUP(B12,'SM-EST-Ancillaries'!F:J,5,FALSE))/C12,"")</f>
        <v/>
      </c>
      <c r="E12" s="22" t="str">
        <f t="shared" si="0"/>
        <v/>
      </c>
      <c r="H12"/>
      <c r="I12"/>
      <c r="J12"/>
    </row>
    <row r="13" spans="2:10" x14ac:dyDescent="0.3">
      <c r="B13" t="str">
        <f>IF(Lists!C6="","",Lists!C6)</f>
        <v/>
      </c>
      <c r="C13" s="52" t="str">
        <f>IF(B13="","",SUMIFS('SM-EST-Ancillaries'!G:G,SM_AncillaryName,Ancillaries!B13))</f>
        <v/>
      </c>
      <c r="D13" s="47" t="str">
        <f>IFERROR((VLOOKUP(B13,'SM-EST-Ancillaries'!F:J,5,FALSE))/C13,"")</f>
        <v/>
      </c>
      <c r="E13" s="22" t="str">
        <f t="shared" si="0"/>
        <v/>
      </c>
      <c r="H13"/>
      <c r="I13"/>
      <c r="J13"/>
    </row>
    <row r="14" spans="2:10" x14ac:dyDescent="0.3">
      <c r="B14" t="str">
        <f>IF(Lists!C7="","",Lists!C7)</f>
        <v/>
      </c>
      <c r="C14" s="52" t="str">
        <f>IF(B14="","",SUMIFS('SM-EST-Ancillaries'!G:G,SM_AncillaryName,Ancillaries!B14))</f>
        <v/>
      </c>
      <c r="D14" s="47" t="str">
        <f>IFERROR((VLOOKUP(B14,'SM-EST-Ancillaries'!F:J,5,FALSE))/C14,"")</f>
        <v/>
      </c>
      <c r="E14" s="22" t="str">
        <f t="shared" si="0"/>
        <v/>
      </c>
      <c r="H14"/>
      <c r="I14"/>
      <c r="J14"/>
    </row>
    <row r="15" spans="2:10" x14ac:dyDescent="0.3">
      <c r="B15" t="str">
        <f>IF(Lists!C8="","",Lists!C8)</f>
        <v/>
      </c>
      <c r="C15" s="52" t="str">
        <f>IF(B15="","",SUMIFS('SM-EST-Ancillaries'!G:G,SM_AncillaryName,Ancillaries!B15))</f>
        <v/>
      </c>
      <c r="D15" s="47" t="str">
        <f>IFERROR((VLOOKUP(B15,'SM-EST-Ancillaries'!F:J,5,FALSE))/C15,"")</f>
        <v/>
      </c>
      <c r="E15" s="22" t="str">
        <f t="shared" si="0"/>
        <v/>
      </c>
      <c r="H15"/>
      <c r="I15"/>
      <c r="J15"/>
    </row>
    <row r="16" spans="2:10" x14ac:dyDescent="0.3">
      <c r="B16" t="str">
        <f>IF(Lists!C9="","",Lists!C9)</f>
        <v/>
      </c>
      <c r="C16" s="52" t="str">
        <f>IF(B16="","",SUMIFS('SM-EST-Ancillaries'!G:G,SM_AncillaryName,Ancillaries!B16))</f>
        <v/>
      </c>
      <c r="D16" s="47" t="str">
        <f>IFERROR((VLOOKUP(B16,'SM-EST-Ancillaries'!F:J,5,FALSE))/C16,"")</f>
        <v/>
      </c>
      <c r="E16" s="22" t="str">
        <f t="shared" si="0"/>
        <v/>
      </c>
      <c r="H16"/>
      <c r="I16"/>
      <c r="J16"/>
    </row>
    <row r="17" spans="2:10" x14ac:dyDescent="0.3">
      <c r="B17" t="str">
        <f>IF(Lists!C10="","",Lists!C10)</f>
        <v/>
      </c>
      <c r="C17" s="52" t="str">
        <f>IF(B17="","",SUMIFS('SM-EST-Ancillaries'!G:G,SM_AncillaryName,Ancillaries!B17))</f>
        <v/>
      </c>
      <c r="D17" s="47" t="str">
        <f>IFERROR((VLOOKUP(B17,'SM-EST-Ancillaries'!F:J,5,FALSE))/C17,"")</f>
        <v/>
      </c>
      <c r="E17" s="22" t="str">
        <f t="shared" si="0"/>
        <v/>
      </c>
      <c r="H17"/>
      <c r="I17"/>
      <c r="J17"/>
    </row>
    <row r="18" spans="2:10" x14ac:dyDescent="0.3">
      <c r="B18" t="str">
        <f>IF(Lists!C11="","",Lists!C11)</f>
        <v/>
      </c>
      <c r="C18" s="52" t="str">
        <f>IF(B18="","",SUMIFS('SM-EST-Ancillaries'!G:G,SM_AncillaryName,Ancillaries!B18))</f>
        <v/>
      </c>
      <c r="D18" s="47" t="str">
        <f>IFERROR((VLOOKUP(B18,'SM-EST-Ancillaries'!F:J,5,FALSE))/C18,"")</f>
        <v/>
      </c>
      <c r="E18" s="22" t="str">
        <f t="shared" si="0"/>
        <v/>
      </c>
      <c r="H18"/>
      <c r="I18"/>
      <c r="J18"/>
    </row>
    <row r="19" spans="2:10" x14ac:dyDescent="0.3">
      <c r="B19" t="str">
        <f>IF(Lists!C12="","",Lists!C12)</f>
        <v/>
      </c>
      <c r="C19" s="52" t="str">
        <f>IF(B19="","",SUMIFS('SM-EST-Ancillaries'!G:G,SM_AncillaryName,Ancillaries!B19))</f>
        <v/>
      </c>
      <c r="D19" s="47" t="str">
        <f>IFERROR((VLOOKUP(B19,'SM-EST-Ancillaries'!F:J,5,FALSE))/C19,"")</f>
        <v/>
      </c>
      <c r="E19" s="22" t="str">
        <f t="shared" si="0"/>
        <v/>
      </c>
      <c r="H19"/>
      <c r="I19"/>
      <c r="J19"/>
    </row>
    <row r="20" spans="2:10" x14ac:dyDescent="0.3">
      <c r="B20" t="str">
        <f>IF(Lists!C13="","",Lists!C13)</f>
        <v/>
      </c>
      <c r="C20" s="52" t="str">
        <f>IF(B20="","",SUMIFS('SM-EST-Ancillaries'!G:G,SM_AncillaryName,Ancillaries!B20))</f>
        <v/>
      </c>
      <c r="D20" s="47" t="str">
        <f>IFERROR((VLOOKUP(B20,'SM-EST-Ancillaries'!F:J,5,FALSE))/C20,"")</f>
        <v/>
      </c>
      <c r="E20" s="22" t="str">
        <f t="shared" si="0"/>
        <v/>
      </c>
      <c r="H20"/>
      <c r="I20"/>
      <c r="J20"/>
    </row>
    <row r="21" spans="2:10" x14ac:dyDescent="0.3">
      <c r="B21" t="str">
        <f>IF(Lists!C14="","",Lists!C14)</f>
        <v/>
      </c>
      <c r="C21" s="52" t="str">
        <f>IF(B21="","",SUMIFS('SM-EST-Ancillaries'!G:G,SM_AncillaryName,Ancillaries!B21))</f>
        <v/>
      </c>
      <c r="D21" s="47" t="str">
        <f>IFERROR((VLOOKUP(B21,'SM-EST-Ancillaries'!F:J,5,FALSE))/C21,"")</f>
        <v/>
      </c>
      <c r="E21" s="22" t="str">
        <f t="shared" si="0"/>
        <v/>
      </c>
      <c r="H21"/>
      <c r="I21"/>
      <c r="J21"/>
    </row>
    <row r="22" spans="2:10" x14ac:dyDescent="0.3">
      <c r="B22" t="str">
        <f>IF(Lists!C15="","",Lists!C15)</f>
        <v/>
      </c>
      <c r="C22" s="52" t="str">
        <f>IF(B22="","",SUMIFS('SM-EST-Ancillaries'!G:G,SM_AncillaryName,Ancillaries!B22))</f>
        <v/>
      </c>
      <c r="D22" s="47" t="str">
        <f>IFERROR((VLOOKUP(B22,'SM-EST-Ancillaries'!F:J,5,FALSE))/C22,"")</f>
        <v/>
      </c>
      <c r="E22" s="22" t="str">
        <f t="shared" si="0"/>
        <v/>
      </c>
      <c r="H22"/>
      <c r="I22"/>
      <c r="J22"/>
    </row>
    <row r="23" spans="2:10" x14ac:dyDescent="0.3">
      <c r="B23" t="str">
        <f>IF(Lists!C16="","",Lists!C16)</f>
        <v/>
      </c>
      <c r="C23" s="52" t="str">
        <f>IF(B23="","",SUMIFS('SM-EST-Ancillaries'!G:G,SM_AncillaryName,Ancillaries!B23))</f>
        <v/>
      </c>
      <c r="D23" s="47" t="str">
        <f>IFERROR((VLOOKUP(B23,'SM-EST-Ancillaries'!F:J,5,FALSE))/C23,"")</f>
        <v/>
      </c>
      <c r="E23" s="22" t="str">
        <f t="shared" si="0"/>
        <v/>
      </c>
      <c r="H23"/>
      <c r="I23"/>
      <c r="J23"/>
    </row>
    <row r="24" spans="2:10" x14ac:dyDescent="0.3">
      <c r="B24" t="str">
        <f>IF(Lists!C17="","",Lists!C17)</f>
        <v/>
      </c>
      <c r="C24" s="52" t="str">
        <f>IF(B24="","",SUMIFS('SM-EST-Ancillaries'!G:G,SM_AncillaryName,Ancillaries!B24))</f>
        <v/>
      </c>
      <c r="D24" s="47" t="str">
        <f>IFERROR((VLOOKUP(B24,'SM-EST-Ancillaries'!F:J,5,FALSE))/C24,"")</f>
        <v/>
      </c>
      <c r="E24" s="22" t="str">
        <f t="shared" si="0"/>
        <v/>
      </c>
      <c r="H24"/>
      <c r="I24"/>
      <c r="J24"/>
    </row>
    <row r="25" spans="2:10" x14ac:dyDescent="0.3">
      <c r="B25" t="str">
        <f>IF(Lists!C18="","",Lists!C18)</f>
        <v/>
      </c>
      <c r="C25" s="52" t="str">
        <f>IF(B25="","",SUMIFS('SM-EST-Ancillaries'!G:G,SM_AncillaryName,Ancillaries!B25))</f>
        <v/>
      </c>
      <c r="D25" s="47" t="str">
        <f>IFERROR((VLOOKUP(B25,'SM-EST-Ancillaries'!F:J,5,FALSE))/C25,"")</f>
        <v/>
      </c>
      <c r="E25" s="22" t="str">
        <f t="shared" si="0"/>
        <v/>
      </c>
      <c r="H25"/>
      <c r="I25"/>
      <c r="J25"/>
    </row>
    <row r="26" spans="2:10" x14ac:dyDescent="0.3">
      <c r="B26" t="str">
        <f>IF(Lists!C19="","",Lists!C19)</f>
        <v/>
      </c>
      <c r="C26" s="52" t="str">
        <f>IF(B26="","",SUMIFS('SM-EST-Ancillaries'!G:G,SM_AncillaryName,Ancillaries!B26))</f>
        <v/>
      </c>
      <c r="D26" s="47" t="str">
        <f>IFERROR((VLOOKUP(B26,'SM-EST-Ancillaries'!F:J,5,FALSE))/C26,"")</f>
        <v/>
      </c>
      <c r="E26" s="22" t="str">
        <f t="shared" si="0"/>
        <v/>
      </c>
      <c r="H26"/>
      <c r="I26"/>
      <c r="J26"/>
    </row>
    <row r="27" spans="2:10" x14ac:dyDescent="0.3">
      <c r="B27" t="str">
        <f>IF(Lists!C20="","",Lists!C20)</f>
        <v/>
      </c>
      <c r="C27" s="52" t="str">
        <f>IF(B27="","",SUMIFS('SM-EST-Ancillaries'!G:G,SM_AncillaryName,Ancillaries!B27))</f>
        <v/>
      </c>
      <c r="D27" s="47" t="str">
        <f>IFERROR((VLOOKUP(B27,'SM-EST-Ancillaries'!F:J,5,FALSE))/C27,"")</f>
        <v/>
      </c>
      <c r="E27" s="22" t="str">
        <f t="shared" si="0"/>
        <v/>
      </c>
      <c r="H27"/>
      <c r="I27"/>
      <c r="J27"/>
    </row>
    <row r="28" spans="2:10" x14ac:dyDescent="0.3">
      <c r="B28" t="str">
        <f>IF(Lists!C21="","",Lists!C21)</f>
        <v/>
      </c>
      <c r="C28" s="52" t="str">
        <f>IF(B28="","",SUMIFS('SM-EST-Ancillaries'!G:G,SM_AncillaryName,Ancillaries!B28))</f>
        <v/>
      </c>
      <c r="D28" s="47" t="str">
        <f>IFERROR((VLOOKUP(B28,'SM-EST-Ancillaries'!F:J,5,FALSE))/C28,"")</f>
        <v/>
      </c>
      <c r="E28" s="22" t="str">
        <f t="shared" si="0"/>
        <v/>
      </c>
      <c r="H28"/>
      <c r="I28"/>
      <c r="J28"/>
    </row>
    <row r="29" spans="2:10" x14ac:dyDescent="0.3">
      <c r="B29" t="str">
        <f>IF(Lists!C22="","",Lists!C22)</f>
        <v/>
      </c>
      <c r="C29" s="52" t="str">
        <f>IF(B29="","",SUMIFS('SM-EST-Ancillaries'!G:G,SM_AncillaryName,Ancillaries!B29))</f>
        <v/>
      </c>
      <c r="D29" s="47" t="str">
        <f>IFERROR((VLOOKUP(B29,'SM-EST-Ancillaries'!F:J,5,FALSE))/C29,"")</f>
        <v/>
      </c>
      <c r="E29" s="22" t="str">
        <f t="shared" si="0"/>
        <v/>
      </c>
      <c r="H29"/>
      <c r="I29"/>
      <c r="J29"/>
    </row>
    <row r="30" spans="2:10" x14ac:dyDescent="0.3">
      <c r="B30" t="str">
        <f>IF(Lists!C23="","",Lists!C23)</f>
        <v/>
      </c>
      <c r="C30" s="52" t="str">
        <f>IF(B30="","",SUMIFS('SM-EST-Ancillaries'!G:G,SM_AncillaryName,Ancillaries!B30))</f>
        <v/>
      </c>
      <c r="D30" s="47" t="str">
        <f>IFERROR((VLOOKUP(B30,'SM-EST-Ancillaries'!F:J,5,FALSE))/C30,"")</f>
        <v/>
      </c>
      <c r="E30" s="22" t="str">
        <f t="shared" si="0"/>
        <v/>
      </c>
      <c r="H30"/>
      <c r="I30"/>
      <c r="J30"/>
    </row>
    <row r="31" spans="2:10" x14ac:dyDescent="0.3">
      <c r="B31" t="str">
        <f>IF(Lists!C24="","",Lists!C24)</f>
        <v/>
      </c>
      <c r="C31" s="52" t="str">
        <f>IF(B31="","",SUMIFS('SM-EST-Ancillaries'!G:G,SM_AncillaryName,Ancillaries!B31))</f>
        <v/>
      </c>
      <c r="D31" s="47" t="str">
        <f>IFERROR((VLOOKUP(B31,'SM-EST-Ancillaries'!F:J,5,FALSE))/C31,"")</f>
        <v/>
      </c>
      <c r="E31" s="22" t="str">
        <f t="shared" si="0"/>
        <v/>
      </c>
      <c r="H31"/>
      <c r="I31"/>
      <c r="J31"/>
    </row>
    <row r="32" spans="2:10" x14ac:dyDescent="0.3">
      <c r="B32" t="str">
        <f>IF(Lists!C25="","",Lists!C25)</f>
        <v/>
      </c>
      <c r="C32" s="52" t="str">
        <f>IF(B32="","",SUMIFS('SM-EST-Ancillaries'!G:G,SM_AncillaryName,Ancillaries!B32))</f>
        <v/>
      </c>
      <c r="D32" s="47" t="str">
        <f>IFERROR((VLOOKUP(B32,'SM-EST-Ancillaries'!F:J,5,FALSE))/C32,"")</f>
        <v/>
      </c>
      <c r="E32" s="22" t="str">
        <f t="shared" si="0"/>
        <v/>
      </c>
      <c r="H32"/>
      <c r="I32"/>
      <c r="J32"/>
    </row>
    <row r="33" spans="2:10" x14ac:dyDescent="0.3">
      <c r="B33" t="str">
        <f>IF(Lists!C26="","",Lists!C26)</f>
        <v/>
      </c>
      <c r="C33" s="52" t="str">
        <f>IF(B33="","",SUMIFS('SM-EST-Ancillaries'!G:G,SM_AncillaryName,Ancillaries!B33))</f>
        <v/>
      </c>
      <c r="D33" s="47" t="str">
        <f>IFERROR((VLOOKUP(B33,'SM-EST-Ancillaries'!F:J,5,FALSE))/C33,"")</f>
        <v/>
      </c>
      <c r="E33" s="22" t="str">
        <f t="shared" si="0"/>
        <v/>
      </c>
      <c r="H33"/>
      <c r="I33"/>
      <c r="J33"/>
    </row>
    <row r="34" spans="2:10" x14ac:dyDescent="0.3">
      <c r="B34" t="str">
        <f>IF(Lists!C27="","",Lists!C27)</f>
        <v/>
      </c>
      <c r="C34" s="52" t="str">
        <f>IF(B34="","",SUMIFS('SM-EST-Ancillaries'!G:G,SM_AncillaryName,Ancillaries!B34))</f>
        <v/>
      </c>
      <c r="D34" s="47" t="str">
        <f>IFERROR((VLOOKUP(B34,'SM-EST-Ancillaries'!F:J,5,FALSE))/C34,"")</f>
        <v/>
      </c>
      <c r="E34" s="22" t="str">
        <f t="shared" si="0"/>
        <v/>
      </c>
      <c r="H34"/>
      <c r="I34"/>
      <c r="J34"/>
    </row>
    <row r="35" spans="2:10" x14ac:dyDescent="0.3">
      <c r="B35" t="str">
        <f>IF(Lists!C28="","",Lists!C28)</f>
        <v/>
      </c>
      <c r="C35" s="52" t="str">
        <f>IF(B35="","",SUMIFS('SM-EST-Ancillaries'!G:G,SM_AncillaryName,Ancillaries!B35))</f>
        <v/>
      </c>
      <c r="D35" s="47" t="str">
        <f>IFERROR((VLOOKUP(B35,'SM-EST-Ancillaries'!F:J,5,FALSE))/C35,"")</f>
        <v/>
      </c>
      <c r="E35" s="22" t="str">
        <f t="shared" si="0"/>
        <v/>
      </c>
      <c r="H35"/>
      <c r="I35"/>
      <c r="J35"/>
    </row>
    <row r="36" spans="2:10" x14ac:dyDescent="0.3">
      <c r="B36" t="str">
        <f>IF(Lists!C29="","",Lists!C29)</f>
        <v/>
      </c>
      <c r="C36" s="52" t="str">
        <f>IF(B36="","",SUMIFS('SM-EST-Ancillaries'!G:G,SM_AncillaryName,Ancillaries!B36))</f>
        <v/>
      </c>
      <c r="D36" s="47" t="str">
        <f>IFERROR((VLOOKUP(B36,'SM-EST-Ancillaries'!F:J,5,FALSE))/C36,"")</f>
        <v/>
      </c>
      <c r="E36" s="22" t="str">
        <f t="shared" si="0"/>
        <v/>
      </c>
      <c r="H36"/>
      <c r="I36"/>
      <c r="J36"/>
    </row>
    <row r="37" spans="2:10" x14ac:dyDescent="0.3">
      <c r="B37" t="str">
        <f>IF(Lists!C30="","",Lists!C30)</f>
        <v/>
      </c>
      <c r="C37" s="52" t="str">
        <f>IF(B37="","",SUMIFS('SM-EST-Ancillaries'!G:G,SM_AncillaryName,Ancillaries!B37))</f>
        <v/>
      </c>
      <c r="D37" s="47" t="str">
        <f>IFERROR((VLOOKUP(B37,'SM-EST-Ancillaries'!F:J,5,FALSE))/C37,"")</f>
        <v/>
      </c>
      <c r="E37" s="22" t="str">
        <f t="shared" si="0"/>
        <v/>
      </c>
      <c r="H37"/>
      <c r="I37"/>
      <c r="J37"/>
    </row>
    <row r="38" spans="2:10" x14ac:dyDescent="0.3">
      <c r="B38" t="str">
        <f>IF(Lists!C31="","",Lists!C31)</f>
        <v/>
      </c>
      <c r="C38" s="52" t="str">
        <f>IF(B38="","",SUMIFS('SM-EST-Ancillaries'!G:G,SM_AncillaryName,Ancillaries!B38))</f>
        <v/>
      </c>
      <c r="D38" s="47" t="str">
        <f>IFERROR((VLOOKUP(B38,'SM-EST-Ancillaries'!F:J,5,FALSE))/C38,"")</f>
        <v/>
      </c>
      <c r="E38" s="22" t="str">
        <f t="shared" si="0"/>
        <v/>
      </c>
      <c r="H38"/>
      <c r="I38"/>
      <c r="J38"/>
    </row>
    <row r="39" spans="2:10" x14ac:dyDescent="0.3">
      <c r="B39" t="str">
        <f>IF(Lists!C32="","",Lists!C32)</f>
        <v/>
      </c>
      <c r="C39" s="52" t="str">
        <f>IF(B39="","",SUMIFS('SM-EST-Ancillaries'!G:G,SM_AncillaryName,Ancillaries!B39))</f>
        <v/>
      </c>
      <c r="D39" s="47" t="str">
        <f>IFERROR((VLOOKUP(B39,'SM-EST-Ancillaries'!F:J,5,FALSE))/C39,"")</f>
        <v/>
      </c>
      <c r="E39" s="22" t="str">
        <f t="shared" si="0"/>
        <v/>
      </c>
      <c r="H39"/>
      <c r="I39"/>
      <c r="J39"/>
    </row>
    <row r="40" spans="2:10" x14ac:dyDescent="0.3">
      <c r="B40" t="str">
        <f>IF(Lists!C33="","",Lists!C33)</f>
        <v/>
      </c>
      <c r="C40" s="52" t="str">
        <f>IF(B40="","",SUMIFS('SM-EST-Ancillaries'!G:G,SM_AncillaryName,Ancillaries!B40))</f>
        <v/>
      </c>
      <c r="D40" s="47" t="str">
        <f>IFERROR((VLOOKUP(B40,'SM-EST-Ancillaries'!F:J,5,FALSE))/C40,"")</f>
        <v/>
      </c>
      <c r="E40" s="22" t="str">
        <f t="shared" si="0"/>
        <v/>
      </c>
      <c r="H40"/>
      <c r="I40"/>
      <c r="J40"/>
    </row>
    <row r="41" spans="2:10" x14ac:dyDescent="0.3">
      <c r="B41" t="str">
        <f>IF(Lists!C34="","",Lists!C34)</f>
        <v/>
      </c>
      <c r="C41" s="52" t="str">
        <f>IF(B41="","",SUMIFS('SM-EST-Ancillaries'!G:G,SM_AncillaryName,Ancillaries!B41))</f>
        <v/>
      </c>
      <c r="D41" s="47" t="str">
        <f>IFERROR((VLOOKUP(B41,'SM-EST-Ancillaries'!F:J,5,FALSE))/C41,"")</f>
        <v/>
      </c>
      <c r="E41" s="22" t="str">
        <f t="shared" si="0"/>
        <v/>
      </c>
      <c r="H41"/>
      <c r="I41"/>
      <c r="J41"/>
    </row>
    <row r="42" spans="2:10" x14ac:dyDescent="0.3">
      <c r="B42" t="str">
        <f>IF(Lists!C35="","",Lists!C35)</f>
        <v/>
      </c>
      <c r="C42" s="52" t="str">
        <f>IF(B42="","",SUMIFS('SM-EST-Ancillaries'!G:G,SM_AncillaryName,Ancillaries!B42))</f>
        <v/>
      </c>
      <c r="D42" s="47" t="str">
        <f>IFERROR((VLOOKUP(B42,'SM-EST-Ancillaries'!F:J,5,FALSE))/C42,"")</f>
        <v/>
      </c>
      <c r="E42" s="22" t="str">
        <f t="shared" si="0"/>
        <v/>
      </c>
      <c r="H42"/>
      <c r="I42"/>
      <c r="J42"/>
    </row>
    <row r="43" spans="2:10" x14ac:dyDescent="0.3">
      <c r="B43" t="str">
        <f>IF(Lists!C36="","",Lists!C36)</f>
        <v/>
      </c>
      <c r="C43" s="52" t="str">
        <f>IF(B43="","",SUMIFS('SM-EST-Ancillaries'!G:G,SM_AncillaryName,Ancillaries!B43))</f>
        <v/>
      </c>
      <c r="D43" s="47" t="str">
        <f>IFERROR((VLOOKUP(B43,'SM-EST-Ancillaries'!F:J,5,FALSE))/C43,"")</f>
        <v/>
      </c>
      <c r="E43" s="22" t="str">
        <f t="shared" si="0"/>
        <v/>
      </c>
      <c r="H43"/>
      <c r="I43"/>
      <c r="J43"/>
    </row>
    <row r="44" spans="2:10" x14ac:dyDescent="0.3">
      <c r="B44" t="str">
        <f>IF(Lists!C37="","",Lists!C37)</f>
        <v/>
      </c>
      <c r="C44" s="52" t="str">
        <f>IF(B44="","",SUMIFS('SM-EST-Ancillaries'!G:G,SM_AncillaryName,Ancillaries!B44))</f>
        <v/>
      </c>
      <c r="D44" s="47" t="str">
        <f>IFERROR((VLOOKUP(B44,'SM-EST-Ancillaries'!F:J,5,FALSE))/C44,"")</f>
        <v/>
      </c>
      <c r="E44" s="22" t="str">
        <f t="shared" si="0"/>
        <v/>
      </c>
      <c r="H44"/>
      <c r="I44"/>
      <c r="J44"/>
    </row>
    <row r="45" spans="2:10" x14ac:dyDescent="0.3">
      <c r="B45" t="str">
        <f>IF(Lists!C38="","",Lists!C38)</f>
        <v/>
      </c>
      <c r="C45" s="52" t="str">
        <f>IF(B45="","",SUMIFS('SM-EST-Ancillaries'!G:G,SM_AncillaryName,Ancillaries!B45))</f>
        <v/>
      </c>
      <c r="D45" s="47" t="str">
        <f>IFERROR((VLOOKUP(B45,'SM-EST-Ancillaries'!F:J,5,FALSE))/C45,"")</f>
        <v/>
      </c>
      <c r="E45" s="22" t="str">
        <f t="shared" si="0"/>
        <v/>
      </c>
      <c r="H45"/>
      <c r="I45"/>
      <c r="J45"/>
    </row>
    <row r="46" spans="2:10" x14ac:dyDescent="0.3">
      <c r="B46" t="str">
        <f>IF(Lists!C39="","",Lists!C39)</f>
        <v/>
      </c>
      <c r="C46" s="52" t="str">
        <f>IF(B46="","",SUMIFS('SM-EST-Ancillaries'!G:G,SM_AncillaryName,Ancillaries!B46))</f>
        <v/>
      </c>
      <c r="D46" s="47" t="str">
        <f>IFERROR((VLOOKUP(B46,'SM-EST-Ancillaries'!F:J,5,FALSE))/C46,"")</f>
        <v/>
      </c>
      <c r="E46" s="22" t="str">
        <f t="shared" si="0"/>
        <v/>
      </c>
      <c r="H46"/>
      <c r="I46"/>
      <c r="J46"/>
    </row>
    <row r="47" spans="2:10" x14ac:dyDescent="0.3">
      <c r="B47" t="s">
        <v>47</v>
      </c>
      <c r="C47" s="1"/>
      <c r="D47" s="1"/>
      <c r="E47" s="49">
        <f>SUBTOTAL(109,Ancillaries[Column4])</f>
        <v>0</v>
      </c>
      <c r="H47"/>
      <c r="I47"/>
      <c r="J47"/>
    </row>
    <row r="48" spans="2:10" x14ac:dyDescent="0.3">
      <c r="D48" s="36"/>
      <c r="E48" s="47"/>
      <c r="F48" s="22"/>
      <c r="H48"/>
      <c r="I48"/>
      <c r="J48"/>
    </row>
    <row r="49" spans="4:10" x14ac:dyDescent="0.3">
      <c r="D49" s="36"/>
      <c r="E49" s="47"/>
      <c r="F49" s="22"/>
      <c r="H49"/>
      <c r="I49"/>
      <c r="J49"/>
    </row>
    <row r="50" spans="4:10" x14ac:dyDescent="0.3">
      <c r="D50" s="36"/>
      <c r="E50" s="47"/>
      <c r="F50" s="22"/>
      <c r="H50"/>
      <c r="I50"/>
      <c r="J50"/>
    </row>
    <row r="51" spans="4:10" x14ac:dyDescent="0.3">
      <c r="D51" s="36"/>
      <c r="E51" s="47"/>
      <c r="F51" s="22"/>
      <c r="H51"/>
      <c r="I51"/>
      <c r="J51"/>
    </row>
    <row r="52" spans="4:10" x14ac:dyDescent="0.3">
      <c r="D52" s="36"/>
      <c r="E52" s="47"/>
      <c r="F52" s="22"/>
      <c r="H52"/>
      <c r="I52"/>
      <c r="J52"/>
    </row>
    <row r="53" spans="4:10" x14ac:dyDescent="0.3">
      <c r="D53" s="36"/>
      <c r="E53" s="47"/>
      <c r="F53" s="22"/>
      <c r="H53"/>
      <c r="I53"/>
      <c r="J53"/>
    </row>
    <row r="54" spans="4:10" x14ac:dyDescent="0.3">
      <c r="D54" s="36"/>
      <c r="E54" s="47"/>
      <c r="F54" s="22"/>
      <c r="H54"/>
      <c r="I54"/>
      <c r="J54"/>
    </row>
    <row r="55" spans="4:10" x14ac:dyDescent="0.3">
      <c r="D55" s="36"/>
      <c r="E55" s="47"/>
      <c r="F55" s="22"/>
      <c r="H55"/>
      <c r="I55"/>
      <c r="J55"/>
    </row>
    <row r="56" spans="4:10" x14ac:dyDescent="0.3">
      <c r="D56" s="36"/>
      <c r="E56" s="47"/>
      <c r="F56" s="22"/>
      <c r="H56"/>
      <c r="I56"/>
      <c r="J56"/>
    </row>
    <row r="57" spans="4:10" x14ac:dyDescent="0.3">
      <c r="D57" s="36"/>
      <c r="E57" s="47"/>
      <c r="F57" s="22"/>
      <c r="H57"/>
      <c r="I57"/>
      <c r="J57"/>
    </row>
    <row r="58" spans="4:10" x14ac:dyDescent="0.3">
      <c r="D58" s="36"/>
      <c r="E58" s="47"/>
      <c r="F58" s="22"/>
      <c r="H58"/>
      <c r="I58"/>
      <c r="J58"/>
    </row>
    <row r="59" spans="4:10" x14ac:dyDescent="0.3">
      <c r="D59" s="36"/>
      <c r="E59" s="47"/>
      <c r="F59" s="22"/>
      <c r="H59"/>
      <c r="I59"/>
      <c r="J59"/>
    </row>
    <row r="60" spans="4:10" x14ac:dyDescent="0.3">
      <c r="D60" s="36"/>
      <c r="E60" s="47"/>
      <c r="F60" s="22"/>
      <c r="H60"/>
      <c r="I60"/>
      <c r="J60"/>
    </row>
    <row r="61" spans="4:10" x14ac:dyDescent="0.3">
      <c r="D61" s="36"/>
      <c r="E61" s="47"/>
      <c r="F61" s="22"/>
      <c r="H61"/>
      <c r="I61"/>
      <c r="J61"/>
    </row>
    <row r="62" spans="4:10" x14ac:dyDescent="0.3">
      <c r="D62" s="36"/>
      <c r="E62" s="47"/>
      <c r="F62" s="22"/>
      <c r="H62"/>
      <c r="I62"/>
      <c r="J62"/>
    </row>
    <row r="63" spans="4:10" x14ac:dyDescent="0.3">
      <c r="D63" s="36"/>
      <c r="E63" s="47"/>
      <c r="F63" s="22"/>
      <c r="H63"/>
      <c r="I63"/>
      <c r="J63"/>
    </row>
    <row r="64" spans="4:10" x14ac:dyDescent="0.3">
      <c r="D64" s="36"/>
      <c r="E64" s="47"/>
      <c r="F64" s="22"/>
      <c r="H64"/>
      <c r="I64"/>
      <c r="J64"/>
    </row>
    <row r="65" spans="4:10" x14ac:dyDescent="0.3">
      <c r="D65" s="36"/>
      <c r="E65" s="47"/>
      <c r="F65" s="22"/>
      <c r="H65"/>
      <c r="I65"/>
      <c r="J65"/>
    </row>
    <row r="66" spans="4:10" x14ac:dyDescent="0.3">
      <c r="D66" s="36"/>
      <c r="E66" s="47"/>
      <c r="F66" s="22"/>
      <c r="H66"/>
      <c r="I66"/>
      <c r="J66"/>
    </row>
    <row r="67" spans="4:10" x14ac:dyDescent="0.3">
      <c r="D67" s="36"/>
      <c r="E67" s="47"/>
      <c r="F67" s="22"/>
      <c r="H67"/>
      <c r="I67"/>
      <c r="J67"/>
    </row>
    <row r="68" spans="4:10" x14ac:dyDescent="0.3">
      <c r="D68" s="47"/>
      <c r="F68" s="36"/>
      <c r="G68" s="22"/>
      <c r="H68"/>
      <c r="I68"/>
      <c r="J68"/>
    </row>
    <row r="69" spans="4:10" x14ac:dyDescent="0.3">
      <c r="D69" s="47"/>
      <c r="F69" s="36"/>
      <c r="G69" s="22"/>
      <c r="H69"/>
      <c r="I69"/>
      <c r="J69"/>
    </row>
    <row r="70" spans="4:10" x14ac:dyDescent="0.3">
      <c r="D70" s="47"/>
      <c r="F70" s="36"/>
      <c r="G70" s="22"/>
      <c r="H70"/>
      <c r="I70"/>
      <c r="J70"/>
    </row>
    <row r="71" spans="4:10" x14ac:dyDescent="0.3">
      <c r="D71" s="47"/>
      <c r="F71" s="36"/>
      <c r="G71" s="22"/>
      <c r="H71"/>
      <c r="I71"/>
      <c r="J71"/>
    </row>
    <row r="72" spans="4:10" x14ac:dyDescent="0.3">
      <c r="D72" s="47"/>
      <c r="F72" s="36"/>
      <c r="G72" s="22"/>
      <c r="H72"/>
      <c r="I72"/>
      <c r="J72"/>
    </row>
    <row r="73" spans="4:10" x14ac:dyDescent="0.3">
      <c r="D73" s="47"/>
      <c r="F73" s="36"/>
      <c r="G73" s="22"/>
      <c r="H73"/>
      <c r="I73"/>
      <c r="J73"/>
    </row>
    <row r="74" spans="4:10" x14ac:dyDescent="0.3">
      <c r="D74" s="47"/>
      <c r="F74" s="36"/>
      <c r="G74" s="22"/>
      <c r="H74"/>
      <c r="I74"/>
      <c r="J74"/>
    </row>
    <row r="75" spans="4:10" x14ac:dyDescent="0.3">
      <c r="D75" s="47"/>
      <c r="F75" s="36"/>
      <c r="G75" s="22"/>
      <c r="H75"/>
      <c r="I75"/>
      <c r="J75"/>
    </row>
    <row r="76" spans="4:10" x14ac:dyDescent="0.3">
      <c r="D76" s="47"/>
      <c r="F76" s="36"/>
      <c r="G76" s="22"/>
      <c r="H76"/>
      <c r="I76"/>
      <c r="J76"/>
    </row>
    <row r="77" spans="4:10" x14ac:dyDescent="0.3">
      <c r="D77" s="47"/>
      <c r="F77" s="36"/>
      <c r="G77" s="22"/>
      <c r="H77"/>
      <c r="I77"/>
      <c r="J77"/>
    </row>
    <row r="78" spans="4:10" x14ac:dyDescent="0.3">
      <c r="D78" s="47"/>
      <c r="F78" s="36"/>
      <c r="G78" s="22"/>
      <c r="H78"/>
      <c r="I78"/>
      <c r="J78"/>
    </row>
    <row r="79" spans="4:10" x14ac:dyDescent="0.3">
      <c r="D79" s="47"/>
      <c r="F79" s="36"/>
      <c r="G79" s="22"/>
      <c r="H79"/>
      <c r="I79"/>
      <c r="J79"/>
    </row>
    <row r="80" spans="4:10" x14ac:dyDescent="0.3">
      <c r="D80" s="47"/>
      <c r="F80" s="36"/>
      <c r="G80" s="22"/>
      <c r="H80"/>
      <c r="I80"/>
      <c r="J80"/>
    </row>
    <row r="81" spans="4:10" x14ac:dyDescent="0.3">
      <c r="D81" s="47"/>
      <c r="F81" s="36"/>
      <c r="G81" s="22"/>
      <c r="H81"/>
      <c r="I81"/>
      <c r="J81"/>
    </row>
    <row r="82" spans="4:10" x14ac:dyDescent="0.3">
      <c r="D82" s="47"/>
      <c r="F82" s="36"/>
      <c r="G82" s="22"/>
      <c r="H82"/>
      <c r="I82"/>
      <c r="J82"/>
    </row>
    <row r="83" spans="4:10" x14ac:dyDescent="0.3">
      <c r="D83" s="47"/>
      <c r="F83" s="36"/>
      <c r="G83" s="22"/>
      <c r="H83"/>
      <c r="I83"/>
      <c r="J83"/>
    </row>
    <row r="84" spans="4:10" x14ac:dyDescent="0.3">
      <c r="D84" s="47"/>
      <c r="F84" s="36"/>
      <c r="G84" s="22"/>
      <c r="H84"/>
      <c r="I84"/>
      <c r="J84"/>
    </row>
    <row r="85" spans="4:10" x14ac:dyDescent="0.3">
      <c r="D85" s="47"/>
      <c r="F85" s="36"/>
      <c r="G85" s="22"/>
      <c r="H85"/>
      <c r="I85"/>
      <c r="J85"/>
    </row>
    <row r="86" spans="4:10" x14ac:dyDescent="0.3">
      <c r="D86" s="47"/>
      <c r="F86" s="36"/>
      <c r="G86" s="22"/>
      <c r="H86"/>
      <c r="I86"/>
      <c r="J86"/>
    </row>
    <row r="87" spans="4:10" x14ac:dyDescent="0.3">
      <c r="D87" s="47"/>
      <c r="F87" s="36"/>
      <c r="G87" s="22"/>
      <c r="H87"/>
      <c r="I87"/>
      <c r="J87"/>
    </row>
    <row r="88" spans="4:10" x14ac:dyDescent="0.3">
      <c r="D88" s="47"/>
      <c r="F88" s="36"/>
      <c r="G88" s="22"/>
      <c r="H88"/>
      <c r="I88"/>
      <c r="J88"/>
    </row>
    <row r="89" spans="4:10" x14ac:dyDescent="0.3">
      <c r="D89" s="47"/>
      <c r="F89" s="36"/>
      <c r="G89" s="22"/>
      <c r="H89"/>
      <c r="I89"/>
      <c r="J89"/>
    </row>
    <row r="90" spans="4:10" x14ac:dyDescent="0.3">
      <c r="D90" s="47"/>
      <c r="F90" s="36"/>
      <c r="G90" s="22"/>
      <c r="H90"/>
      <c r="I90"/>
      <c r="J90"/>
    </row>
    <row r="91" spans="4:10" x14ac:dyDescent="0.3">
      <c r="D91" s="47"/>
      <c r="F91" s="36"/>
      <c r="G91" s="22"/>
      <c r="H91"/>
      <c r="I91"/>
      <c r="J91"/>
    </row>
    <row r="92" spans="4:10" x14ac:dyDescent="0.3">
      <c r="D92" s="47"/>
      <c r="F92" s="36"/>
      <c r="G92" s="22"/>
      <c r="H92"/>
      <c r="I92"/>
      <c r="J92"/>
    </row>
    <row r="93" spans="4:10" x14ac:dyDescent="0.3">
      <c r="D93" s="47"/>
      <c r="F93" s="36"/>
      <c r="G93" s="22"/>
      <c r="H93"/>
      <c r="I93"/>
      <c r="J93"/>
    </row>
    <row r="94" spans="4:10" x14ac:dyDescent="0.3">
      <c r="D94" s="47"/>
      <c r="F94" s="36"/>
      <c r="G94" s="22"/>
      <c r="H94"/>
      <c r="I94"/>
      <c r="J94"/>
    </row>
    <row r="95" spans="4:10" x14ac:dyDescent="0.3">
      <c r="D95" s="47"/>
      <c r="F95" s="36"/>
      <c r="G95" s="22"/>
      <c r="H95"/>
      <c r="I95"/>
      <c r="J95"/>
    </row>
    <row r="96" spans="4:10" x14ac:dyDescent="0.3">
      <c r="D96" s="47"/>
      <c r="F96" s="36"/>
      <c r="G96" s="22"/>
      <c r="H96"/>
      <c r="I96"/>
      <c r="J96"/>
    </row>
    <row r="97" spans="4:10" x14ac:dyDescent="0.3">
      <c r="D97" s="47"/>
      <c r="F97" s="36"/>
      <c r="G97" s="22"/>
      <c r="H97"/>
      <c r="I97"/>
      <c r="J97"/>
    </row>
    <row r="98" spans="4:10" x14ac:dyDescent="0.3">
      <c r="D98" s="47"/>
      <c r="F98" s="36"/>
      <c r="G98" s="22"/>
      <c r="H98"/>
      <c r="I98"/>
      <c r="J98"/>
    </row>
    <row r="99" spans="4:10" x14ac:dyDescent="0.3">
      <c r="D99" s="47"/>
      <c r="F99" s="36"/>
      <c r="G99" s="22"/>
      <c r="H99"/>
      <c r="I99"/>
      <c r="J99"/>
    </row>
    <row r="100" spans="4:10" x14ac:dyDescent="0.3">
      <c r="D100" s="47"/>
      <c r="F100" s="36"/>
      <c r="G100" s="22"/>
      <c r="H100"/>
      <c r="I100"/>
      <c r="J100"/>
    </row>
    <row r="101" spans="4:10" x14ac:dyDescent="0.3">
      <c r="D101" s="47"/>
      <c r="F101" s="36"/>
      <c r="G101" s="22"/>
      <c r="H101"/>
      <c r="I101"/>
      <c r="J101"/>
    </row>
    <row r="102" spans="4:10" x14ac:dyDescent="0.3">
      <c r="D102" s="47"/>
      <c r="F102" s="36"/>
      <c r="G102" s="22"/>
      <c r="H102"/>
      <c r="I102"/>
      <c r="J102"/>
    </row>
    <row r="103" spans="4:10" x14ac:dyDescent="0.3">
      <c r="D103" s="47"/>
      <c r="F103" s="36"/>
      <c r="G103" s="22"/>
      <c r="H103"/>
      <c r="I103"/>
      <c r="J103"/>
    </row>
    <row r="104" spans="4:10" x14ac:dyDescent="0.3">
      <c r="D104" s="47"/>
      <c r="F104" s="36"/>
      <c r="G104" s="22"/>
      <c r="H104"/>
      <c r="I104"/>
      <c r="J104"/>
    </row>
    <row r="105" spans="4:10" x14ac:dyDescent="0.3">
      <c r="D105" s="47"/>
      <c r="F105" s="36"/>
      <c r="G105" s="22"/>
      <c r="H105"/>
      <c r="I105"/>
      <c r="J105"/>
    </row>
    <row r="106" spans="4:10" x14ac:dyDescent="0.3">
      <c r="D106" s="47"/>
      <c r="F106" s="36"/>
      <c r="G106" s="22"/>
      <c r="H106"/>
      <c r="I106"/>
      <c r="J106"/>
    </row>
    <row r="107" spans="4:10" x14ac:dyDescent="0.3">
      <c r="D107" s="47"/>
      <c r="F107" s="36"/>
      <c r="G107" s="22"/>
      <c r="H107"/>
      <c r="I107"/>
      <c r="J107"/>
    </row>
    <row r="108" spans="4:10" x14ac:dyDescent="0.3">
      <c r="D108" s="47"/>
      <c r="F108" s="36"/>
      <c r="G108" s="22"/>
      <c r="H108"/>
      <c r="I108"/>
      <c r="J108"/>
    </row>
    <row r="109" spans="4:10" x14ac:dyDescent="0.3">
      <c r="D109" s="47"/>
      <c r="F109" s="36"/>
      <c r="G109" s="22"/>
      <c r="H109"/>
      <c r="I109"/>
      <c r="J109"/>
    </row>
    <row r="110" spans="4:10" x14ac:dyDescent="0.3">
      <c r="D110" s="47"/>
      <c r="F110" s="36"/>
      <c r="G110" s="22"/>
      <c r="H110"/>
      <c r="I110"/>
      <c r="J110"/>
    </row>
    <row r="111" spans="4:10" x14ac:dyDescent="0.3">
      <c r="D111" s="47"/>
      <c r="F111" s="36"/>
      <c r="G111" s="22"/>
      <c r="H111"/>
      <c r="I111"/>
      <c r="J111"/>
    </row>
    <row r="112" spans="4:10" x14ac:dyDescent="0.3">
      <c r="D112" s="47"/>
      <c r="F112" s="36"/>
      <c r="G112" s="22"/>
      <c r="H112"/>
      <c r="I112"/>
      <c r="J112"/>
    </row>
    <row r="113" spans="4:10" x14ac:dyDescent="0.3">
      <c r="D113" s="47"/>
      <c r="F113" s="36"/>
      <c r="G113" s="22"/>
      <c r="H113"/>
      <c r="I113"/>
      <c r="J113"/>
    </row>
    <row r="114" spans="4:10" x14ac:dyDescent="0.3">
      <c r="D114" s="47"/>
      <c r="F114" s="36"/>
      <c r="G114" s="22"/>
      <c r="H114"/>
      <c r="I114"/>
      <c r="J114"/>
    </row>
    <row r="115" spans="4:10" x14ac:dyDescent="0.3">
      <c r="D115" s="47"/>
      <c r="F115" s="36"/>
      <c r="G115" s="22"/>
      <c r="H115"/>
      <c r="I115"/>
      <c r="J115"/>
    </row>
    <row r="116" spans="4:10" x14ac:dyDescent="0.3">
      <c r="D116" s="47"/>
      <c r="F116" s="36"/>
      <c r="G116" s="22"/>
      <c r="H116"/>
      <c r="I116"/>
      <c r="J116"/>
    </row>
    <row r="117" spans="4:10" x14ac:dyDescent="0.3">
      <c r="D117" s="47"/>
      <c r="F117" s="36"/>
      <c r="G117" s="22"/>
      <c r="H117"/>
      <c r="I117"/>
      <c r="J117"/>
    </row>
    <row r="118" spans="4:10" x14ac:dyDescent="0.3">
      <c r="D118" s="47"/>
      <c r="F118" s="36"/>
      <c r="G118" s="22"/>
      <c r="H118"/>
      <c r="I118"/>
      <c r="J118"/>
    </row>
    <row r="119" spans="4:10" x14ac:dyDescent="0.3">
      <c r="D119" s="47"/>
      <c r="F119" s="36"/>
      <c r="G119" s="22"/>
      <c r="H119"/>
      <c r="I119"/>
      <c r="J119"/>
    </row>
    <row r="120" spans="4:10" x14ac:dyDescent="0.3">
      <c r="D120" s="47"/>
      <c r="F120" s="36"/>
      <c r="G120" s="22"/>
      <c r="H120"/>
      <c r="I120"/>
      <c r="J120"/>
    </row>
    <row r="121" spans="4:10" x14ac:dyDescent="0.3">
      <c r="D121" s="47"/>
      <c r="F121" s="36"/>
      <c r="G121" s="22"/>
      <c r="H121"/>
      <c r="I121"/>
      <c r="J121"/>
    </row>
    <row r="122" spans="4:10" x14ac:dyDescent="0.3">
      <c r="D122" s="47"/>
      <c r="F122" s="36"/>
      <c r="G122" s="22"/>
      <c r="H122"/>
      <c r="I122"/>
      <c r="J122"/>
    </row>
    <row r="123" spans="4:10" x14ac:dyDescent="0.3">
      <c r="D123" s="47"/>
      <c r="F123" s="36"/>
      <c r="G123" s="22"/>
      <c r="H123"/>
      <c r="I123"/>
      <c r="J123"/>
    </row>
    <row r="124" spans="4:10" x14ac:dyDescent="0.3">
      <c r="D124" s="47"/>
      <c r="F124" s="36"/>
      <c r="G124" s="22"/>
      <c r="H124"/>
      <c r="I124"/>
      <c r="J124"/>
    </row>
    <row r="125" spans="4:10" x14ac:dyDescent="0.3">
      <c r="D125" s="47"/>
      <c r="F125" s="36"/>
      <c r="G125" s="22"/>
      <c r="H125"/>
      <c r="I125"/>
      <c r="J125"/>
    </row>
    <row r="126" spans="4:10" x14ac:dyDescent="0.3">
      <c r="D126" s="47"/>
      <c r="F126" s="36"/>
      <c r="G126" s="22"/>
      <c r="H126"/>
      <c r="I126"/>
      <c r="J126"/>
    </row>
    <row r="127" spans="4:10" x14ac:dyDescent="0.3">
      <c r="D127" s="47"/>
      <c r="F127" s="36"/>
      <c r="G127" s="22"/>
      <c r="H127"/>
      <c r="I127"/>
      <c r="J127"/>
    </row>
    <row r="128" spans="4:10" x14ac:dyDescent="0.3">
      <c r="D128" s="47"/>
      <c r="F128" s="36"/>
      <c r="G128" s="22"/>
      <c r="H128"/>
      <c r="I128"/>
      <c r="J128"/>
    </row>
    <row r="129" spans="4:10" x14ac:dyDescent="0.3">
      <c r="D129" s="47"/>
      <c r="F129" s="36"/>
      <c r="G129" s="22"/>
      <c r="H129"/>
      <c r="I129"/>
      <c r="J129"/>
    </row>
    <row r="130" spans="4:10" x14ac:dyDescent="0.3">
      <c r="D130" s="47"/>
      <c r="F130" s="36"/>
      <c r="G130" s="22"/>
      <c r="H130"/>
      <c r="I130"/>
      <c r="J130"/>
    </row>
    <row r="131" spans="4:10" x14ac:dyDescent="0.3">
      <c r="D131" s="47"/>
      <c r="F131" s="36"/>
      <c r="G131" s="22"/>
      <c r="H131"/>
      <c r="I131"/>
      <c r="J131"/>
    </row>
    <row r="132" spans="4:10" x14ac:dyDescent="0.3">
      <c r="D132" s="47"/>
      <c r="F132" s="36"/>
      <c r="G132" s="22"/>
      <c r="H132"/>
      <c r="I132"/>
      <c r="J132"/>
    </row>
    <row r="133" spans="4:10" x14ac:dyDescent="0.3">
      <c r="D133" s="47"/>
      <c r="F133" s="36"/>
      <c r="G133" s="22"/>
      <c r="H133"/>
      <c r="I133"/>
      <c r="J133"/>
    </row>
    <row r="134" spans="4:10" x14ac:dyDescent="0.3">
      <c r="D134" s="47"/>
      <c r="F134" s="36"/>
      <c r="G134" s="22"/>
      <c r="H134"/>
      <c r="I134"/>
      <c r="J134"/>
    </row>
    <row r="135" spans="4:10" x14ac:dyDescent="0.3">
      <c r="D135" s="47"/>
      <c r="F135" s="36"/>
      <c r="G135" s="22"/>
      <c r="H135"/>
      <c r="I135"/>
      <c r="J135"/>
    </row>
    <row r="136" spans="4:10" x14ac:dyDescent="0.3">
      <c r="D136" s="47"/>
      <c r="F136" s="36"/>
      <c r="G136" s="22"/>
      <c r="H136"/>
      <c r="I136"/>
      <c r="J136"/>
    </row>
    <row r="137" spans="4:10" x14ac:dyDescent="0.3">
      <c r="D137" s="47"/>
      <c r="F137" s="36"/>
      <c r="G137" s="22"/>
      <c r="H137"/>
      <c r="I137"/>
      <c r="J137"/>
    </row>
    <row r="138" spans="4:10" x14ac:dyDescent="0.3">
      <c r="D138" s="47"/>
      <c r="F138" s="36"/>
      <c r="G138" s="22"/>
      <c r="H138"/>
      <c r="I138"/>
      <c r="J138"/>
    </row>
    <row r="139" spans="4:10" x14ac:dyDescent="0.3">
      <c r="D139" s="47"/>
      <c r="F139" s="36"/>
      <c r="G139" s="22"/>
      <c r="H139"/>
      <c r="I139"/>
      <c r="J139"/>
    </row>
    <row r="140" spans="4:10" x14ac:dyDescent="0.3">
      <c r="D140" s="47"/>
      <c r="F140" s="36"/>
      <c r="G140" s="22"/>
      <c r="H140"/>
      <c r="I140"/>
      <c r="J140"/>
    </row>
    <row r="141" spans="4:10" x14ac:dyDescent="0.3">
      <c r="D141" s="47"/>
      <c r="F141" s="36"/>
      <c r="G141" s="22"/>
      <c r="H141"/>
      <c r="I141"/>
      <c r="J141"/>
    </row>
    <row r="142" spans="4:10" x14ac:dyDescent="0.3">
      <c r="D142" s="47"/>
      <c r="F142" s="36"/>
      <c r="G142" s="22"/>
      <c r="H142"/>
      <c r="I142"/>
      <c r="J142"/>
    </row>
    <row r="143" spans="4:10" x14ac:dyDescent="0.3">
      <c r="D143" s="47"/>
      <c r="F143" s="36"/>
      <c r="G143" s="22"/>
      <c r="H143"/>
      <c r="I143"/>
      <c r="J143"/>
    </row>
    <row r="144" spans="4:10" x14ac:dyDescent="0.3">
      <c r="D144" s="47"/>
      <c r="F144" s="36"/>
      <c r="G144" s="22"/>
      <c r="H144"/>
      <c r="I144"/>
      <c r="J144"/>
    </row>
    <row r="145" spans="4:10" x14ac:dyDescent="0.3">
      <c r="D145" s="47"/>
      <c r="F145" s="36"/>
      <c r="G145" s="22"/>
      <c r="H145"/>
      <c r="I145"/>
      <c r="J145"/>
    </row>
    <row r="146" spans="4:10" x14ac:dyDescent="0.3">
      <c r="D146" s="47"/>
      <c r="F146" s="36"/>
      <c r="G146" s="22"/>
      <c r="H146"/>
      <c r="I146"/>
      <c r="J146"/>
    </row>
    <row r="147" spans="4:10" x14ac:dyDescent="0.3">
      <c r="D147" s="47"/>
      <c r="F147" s="36"/>
      <c r="G147" s="22"/>
      <c r="H147"/>
      <c r="I147"/>
      <c r="J147"/>
    </row>
    <row r="148" spans="4:10" x14ac:dyDescent="0.3">
      <c r="D148" s="47"/>
      <c r="F148" s="36"/>
      <c r="G148" s="22"/>
      <c r="H148"/>
      <c r="I148"/>
      <c r="J148"/>
    </row>
    <row r="149" spans="4:10" x14ac:dyDescent="0.3">
      <c r="D149" s="47"/>
      <c r="F149" s="36"/>
      <c r="G149" s="22"/>
      <c r="H149"/>
      <c r="I149"/>
      <c r="J149"/>
    </row>
    <row r="150" spans="4:10" x14ac:dyDescent="0.3">
      <c r="D150" s="47"/>
      <c r="F150" s="36"/>
      <c r="G150" s="22"/>
      <c r="H150"/>
      <c r="I150"/>
      <c r="J150"/>
    </row>
    <row r="151" spans="4:10" x14ac:dyDescent="0.3">
      <c r="D151" s="47"/>
      <c r="F151" s="36"/>
      <c r="G151" s="22"/>
      <c r="H151"/>
      <c r="I151"/>
      <c r="J151"/>
    </row>
    <row r="152" spans="4:10" x14ac:dyDescent="0.3">
      <c r="D152" s="47"/>
      <c r="F152" s="36"/>
      <c r="G152" s="22"/>
      <c r="H152"/>
      <c r="I152"/>
      <c r="J152"/>
    </row>
    <row r="153" spans="4:10" x14ac:dyDescent="0.3">
      <c r="D153" s="47"/>
      <c r="F153" s="36"/>
      <c r="G153" s="22"/>
      <c r="H153"/>
      <c r="I153"/>
      <c r="J153"/>
    </row>
    <row r="154" spans="4:10" x14ac:dyDescent="0.3">
      <c r="D154" s="47"/>
      <c r="F154" s="36"/>
      <c r="G154" s="22"/>
      <c r="H154"/>
      <c r="I154"/>
      <c r="J154"/>
    </row>
    <row r="155" spans="4:10" x14ac:dyDescent="0.3">
      <c r="D155" s="47"/>
      <c r="F155" s="36"/>
      <c r="G155" s="22"/>
      <c r="H155"/>
      <c r="I155"/>
      <c r="J155"/>
    </row>
    <row r="156" spans="4:10" x14ac:dyDescent="0.3">
      <c r="D156" s="47"/>
      <c r="F156" s="36"/>
      <c r="G156" s="22"/>
      <c r="H156"/>
      <c r="I156"/>
      <c r="J156"/>
    </row>
    <row r="157" spans="4:10" x14ac:dyDescent="0.3">
      <c r="D157" s="47"/>
      <c r="F157" s="36"/>
      <c r="G157" s="22"/>
      <c r="H157"/>
      <c r="I157"/>
      <c r="J157"/>
    </row>
    <row r="158" spans="4:10" x14ac:dyDescent="0.3">
      <c r="D158" s="47"/>
      <c r="F158" s="36"/>
      <c r="G158" s="22"/>
      <c r="H158"/>
      <c r="I158"/>
      <c r="J158"/>
    </row>
    <row r="159" spans="4:10" x14ac:dyDescent="0.3">
      <c r="D159" s="47"/>
      <c r="F159" s="36"/>
      <c r="G159" s="22"/>
      <c r="H159"/>
      <c r="I159"/>
      <c r="J159"/>
    </row>
    <row r="160" spans="4:10" x14ac:dyDescent="0.3">
      <c r="D160" s="47"/>
      <c r="F160" s="36"/>
      <c r="G160" s="22"/>
      <c r="H160"/>
      <c r="I160"/>
      <c r="J160"/>
    </row>
    <row r="161" spans="4:10" x14ac:dyDescent="0.3">
      <c r="D161" s="47"/>
      <c r="F161" s="36"/>
      <c r="G161" s="22"/>
      <c r="H161"/>
      <c r="I161"/>
      <c r="J161"/>
    </row>
    <row r="162" spans="4:10" x14ac:dyDescent="0.3">
      <c r="D162" s="47"/>
      <c r="F162" s="36"/>
      <c r="G162" s="22"/>
      <c r="H162"/>
      <c r="I162"/>
      <c r="J162"/>
    </row>
    <row r="163" spans="4:10" x14ac:dyDescent="0.3">
      <c r="D163" s="47"/>
      <c r="F163" s="36"/>
      <c r="G163" s="22"/>
      <c r="H163"/>
      <c r="I163"/>
      <c r="J163"/>
    </row>
    <row r="164" spans="4:10" x14ac:dyDescent="0.3">
      <c r="D164" s="47"/>
      <c r="F164" s="36"/>
      <c r="G164" s="22"/>
      <c r="H164"/>
      <c r="I164"/>
      <c r="J164"/>
    </row>
    <row r="165" spans="4:10" x14ac:dyDescent="0.3">
      <c r="D165" s="47"/>
      <c r="F165" s="36"/>
      <c r="G165" s="22"/>
      <c r="H165"/>
      <c r="I165"/>
      <c r="J165"/>
    </row>
    <row r="166" spans="4:10" x14ac:dyDescent="0.3">
      <c r="D166" s="47"/>
      <c r="F166" s="36"/>
      <c r="G166" s="22"/>
      <c r="H166"/>
      <c r="I166"/>
      <c r="J166"/>
    </row>
    <row r="167" spans="4:10" x14ac:dyDescent="0.3">
      <c r="D167" s="47"/>
      <c r="F167" s="36"/>
      <c r="G167" s="22"/>
      <c r="H167"/>
      <c r="I167"/>
      <c r="J167"/>
    </row>
    <row r="168" spans="4:10" x14ac:dyDescent="0.3">
      <c r="D168" s="47"/>
      <c r="F168" s="36"/>
      <c r="G168" s="22"/>
      <c r="H168"/>
      <c r="I168"/>
      <c r="J168"/>
    </row>
    <row r="169" spans="4:10" x14ac:dyDescent="0.3">
      <c r="D169" s="47"/>
      <c r="F169" s="36"/>
      <c r="G169" s="22"/>
      <c r="H169"/>
      <c r="I169"/>
      <c r="J169"/>
    </row>
    <row r="170" spans="4:10" x14ac:dyDescent="0.3">
      <c r="D170" s="47"/>
      <c r="F170" s="36"/>
      <c r="G170" s="22"/>
      <c r="H170"/>
      <c r="I170"/>
      <c r="J170"/>
    </row>
    <row r="171" spans="4:10" x14ac:dyDescent="0.3">
      <c r="D171" s="47"/>
      <c r="F171" s="36"/>
      <c r="G171" s="22"/>
      <c r="H171"/>
      <c r="I171"/>
      <c r="J171"/>
    </row>
    <row r="172" spans="4:10" x14ac:dyDescent="0.3">
      <c r="D172" s="47"/>
      <c r="F172" s="36"/>
      <c r="G172" s="22"/>
      <c r="H172"/>
      <c r="I172"/>
      <c r="J172"/>
    </row>
    <row r="173" spans="4:10" x14ac:dyDescent="0.3">
      <c r="D173" s="47"/>
      <c r="F173" s="36"/>
      <c r="G173" s="22"/>
      <c r="H173"/>
      <c r="I173"/>
      <c r="J173"/>
    </row>
    <row r="174" spans="4:10" x14ac:dyDescent="0.3">
      <c r="D174" s="47"/>
      <c r="F174" s="36"/>
      <c r="G174" s="22"/>
      <c r="H174"/>
      <c r="I174"/>
      <c r="J174"/>
    </row>
    <row r="175" spans="4:10" x14ac:dyDescent="0.3">
      <c r="D175" s="47"/>
      <c r="F175" s="36"/>
      <c r="G175" s="22"/>
      <c r="H175"/>
      <c r="I175"/>
      <c r="J175"/>
    </row>
    <row r="176" spans="4:10" x14ac:dyDescent="0.3">
      <c r="D176" s="47"/>
      <c r="F176" s="36"/>
      <c r="G176" s="22"/>
      <c r="H176"/>
      <c r="I176"/>
      <c r="J176"/>
    </row>
    <row r="177" spans="4:10" x14ac:dyDescent="0.3">
      <c r="D177" s="47"/>
      <c r="F177" s="36"/>
      <c r="G177" s="22"/>
      <c r="H177"/>
      <c r="I177"/>
      <c r="J177"/>
    </row>
    <row r="178" spans="4:10" x14ac:dyDescent="0.3">
      <c r="D178" s="47"/>
      <c r="F178" s="36"/>
      <c r="G178" s="22"/>
      <c r="H178"/>
      <c r="I178"/>
      <c r="J178"/>
    </row>
    <row r="179" spans="4:10" x14ac:dyDescent="0.3">
      <c r="D179" s="47"/>
      <c r="F179" s="36"/>
      <c r="G179" s="22"/>
      <c r="H179"/>
      <c r="I179"/>
      <c r="J179"/>
    </row>
    <row r="180" spans="4:10" x14ac:dyDescent="0.3">
      <c r="D180" s="47"/>
      <c r="F180" s="36"/>
      <c r="G180" s="22"/>
      <c r="H180"/>
      <c r="I180"/>
      <c r="J180"/>
    </row>
    <row r="181" spans="4:10" x14ac:dyDescent="0.3">
      <c r="D181" s="47"/>
      <c r="F181" s="36"/>
      <c r="G181" s="22"/>
      <c r="H181"/>
      <c r="I181"/>
      <c r="J181"/>
    </row>
    <row r="182" spans="4:10" x14ac:dyDescent="0.3">
      <c r="D182" s="47"/>
      <c r="F182" s="36"/>
      <c r="G182" s="22"/>
      <c r="H182"/>
      <c r="I182"/>
      <c r="J182"/>
    </row>
    <row r="183" spans="4:10" x14ac:dyDescent="0.3">
      <c r="D183" s="47"/>
      <c r="F183" s="36"/>
      <c r="G183" s="22"/>
      <c r="H183"/>
      <c r="I183"/>
      <c r="J183"/>
    </row>
    <row r="184" spans="4:10" x14ac:dyDescent="0.3">
      <c r="D184" s="47"/>
      <c r="F184" s="36"/>
      <c r="G184" s="22"/>
      <c r="H184"/>
      <c r="I184"/>
      <c r="J184"/>
    </row>
    <row r="185" spans="4:10" x14ac:dyDescent="0.3">
      <c r="D185" s="47"/>
      <c r="F185" s="36"/>
      <c r="G185" s="22"/>
      <c r="H185"/>
      <c r="I185"/>
      <c r="J185"/>
    </row>
    <row r="186" spans="4:10" x14ac:dyDescent="0.3">
      <c r="D186" s="47"/>
      <c r="F186" s="36"/>
      <c r="G186" s="22"/>
      <c r="H186"/>
      <c r="I186"/>
      <c r="J186"/>
    </row>
    <row r="187" spans="4:10" x14ac:dyDescent="0.3">
      <c r="D187" s="47"/>
      <c r="F187" s="36"/>
      <c r="G187" s="22"/>
      <c r="H187"/>
      <c r="I187"/>
      <c r="J187"/>
    </row>
    <row r="188" spans="4:10" x14ac:dyDescent="0.3">
      <c r="D188" s="47"/>
      <c r="F188" s="36"/>
      <c r="G188" s="22"/>
      <c r="H188"/>
      <c r="I188"/>
      <c r="J188"/>
    </row>
    <row r="189" spans="4:10" x14ac:dyDescent="0.3">
      <c r="D189" s="47"/>
      <c r="F189" s="36"/>
      <c r="G189" s="22"/>
      <c r="H189"/>
      <c r="I189"/>
      <c r="J189"/>
    </row>
    <row r="190" spans="4:10" x14ac:dyDescent="0.3">
      <c r="D190" s="47"/>
      <c r="F190" s="36"/>
      <c r="G190" s="22"/>
      <c r="H190"/>
      <c r="I190"/>
      <c r="J190"/>
    </row>
    <row r="191" spans="4:10" x14ac:dyDescent="0.3">
      <c r="D191" s="47"/>
      <c r="F191" s="36"/>
      <c r="G191" s="22"/>
      <c r="H191"/>
      <c r="I191"/>
      <c r="J191"/>
    </row>
    <row r="192" spans="4:10" x14ac:dyDescent="0.3">
      <c r="D192" s="47"/>
      <c r="F192" s="36"/>
      <c r="G192" s="22"/>
      <c r="H192"/>
      <c r="I192"/>
      <c r="J192"/>
    </row>
    <row r="193" spans="4:10" x14ac:dyDescent="0.3">
      <c r="D193" s="47"/>
      <c r="F193" s="36"/>
      <c r="G193" s="22"/>
      <c r="H193"/>
      <c r="I193"/>
      <c r="J193"/>
    </row>
    <row r="194" spans="4:10" x14ac:dyDescent="0.3">
      <c r="D194" s="47"/>
      <c r="F194" s="36"/>
      <c r="G194" s="22"/>
      <c r="H194"/>
      <c r="I194"/>
      <c r="J194"/>
    </row>
    <row r="195" spans="4:10" x14ac:dyDescent="0.3">
      <c r="D195" s="47"/>
      <c r="F195" s="36"/>
      <c r="G195" s="22"/>
      <c r="H195"/>
      <c r="I195"/>
      <c r="J195"/>
    </row>
    <row r="196" spans="4:10" x14ac:dyDescent="0.3">
      <c r="D196" s="47"/>
      <c r="F196" s="36"/>
      <c r="G196" s="22"/>
      <c r="H196"/>
      <c r="I196"/>
      <c r="J196"/>
    </row>
    <row r="197" spans="4:10" x14ac:dyDescent="0.3">
      <c r="D197" s="47"/>
      <c r="F197" s="36"/>
      <c r="G197" s="22"/>
      <c r="H197"/>
      <c r="I197"/>
      <c r="J197"/>
    </row>
    <row r="198" spans="4:10" x14ac:dyDescent="0.3">
      <c r="D198" s="47"/>
      <c r="F198" s="36"/>
      <c r="G198" s="22"/>
      <c r="H198"/>
      <c r="I198"/>
      <c r="J198"/>
    </row>
    <row r="199" spans="4:10" x14ac:dyDescent="0.3">
      <c r="D199" s="47"/>
      <c r="F199" s="36"/>
      <c r="G199" s="22"/>
      <c r="H199"/>
      <c r="I199"/>
      <c r="J199"/>
    </row>
    <row r="200" spans="4:10" x14ac:dyDescent="0.3">
      <c r="D200" s="47"/>
      <c r="F200" s="36"/>
      <c r="G200" s="22"/>
      <c r="H200"/>
      <c r="I200"/>
      <c r="J200"/>
    </row>
    <row r="201" spans="4:10" x14ac:dyDescent="0.3">
      <c r="D201" s="47"/>
      <c r="F201" s="36"/>
      <c r="G201" s="22"/>
      <c r="H201"/>
      <c r="I201"/>
      <c r="J201"/>
    </row>
    <row r="202" spans="4:10" x14ac:dyDescent="0.3">
      <c r="D202" s="47"/>
      <c r="F202" s="36"/>
      <c r="G202" s="22"/>
      <c r="H202"/>
      <c r="I202"/>
      <c r="J202"/>
    </row>
    <row r="203" spans="4:10" x14ac:dyDescent="0.3">
      <c r="D203" s="47"/>
      <c r="F203" s="36"/>
      <c r="G203" s="22"/>
      <c r="H203"/>
      <c r="I203"/>
      <c r="J203"/>
    </row>
    <row r="204" spans="4:10" x14ac:dyDescent="0.3">
      <c r="D204" s="47"/>
      <c r="F204" s="36"/>
      <c r="G204" s="22"/>
      <c r="H204"/>
      <c r="I204"/>
      <c r="J204"/>
    </row>
    <row r="205" spans="4:10" x14ac:dyDescent="0.3">
      <c r="D205" s="47"/>
      <c r="F205" s="36"/>
      <c r="G205" s="22"/>
      <c r="H205"/>
      <c r="I205"/>
      <c r="J205"/>
    </row>
    <row r="206" spans="4:10" x14ac:dyDescent="0.3">
      <c r="D206" s="47"/>
      <c r="F206" s="36"/>
      <c r="G206" s="22"/>
      <c r="H206"/>
      <c r="I206"/>
      <c r="J206"/>
    </row>
    <row r="207" spans="4:10" x14ac:dyDescent="0.3">
      <c r="D207" s="47"/>
      <c r="F207" s="36"/>
      <c r="G207" s="22"/>
      <c r="H207"/>
      <c r="I207"/>
      <c r="J207"/>
    </row>
    <row r="208" spans="4:10" x14ac:dyDescent="0.3">
      <c r="D208" s="47"/>
      <c r="F208" s="36"/>
      <c r="G208" s="22"/>
      <c r="H208"/>
      <c r="I208"/>
      <c r="J208"/>
    </row>
    <row r="209" spans="4:10" x14ac:dyDescent="0.3">
      <c r="D209" s="47"/>
      <c r="F209" s="36"/>
      <c r="G209" s="22"/>
      <c r="H209"/>
      <c r="I209"/>
      <c r="J209"/>
    </row>
    <row r="210" spans="4:10" x14ac:dyDescent="0.3">
      <c r="D210" s="47"/>
      <c r="F210" s="36"/>
      <c r="G210" s="22"/>
      <c r="H210"/>
      <c r="I210"/>
      <c r="J210"/>
    </row>
    <row r="211" spans="4:10" x14ac:dyDescent="0.3">
      <c r="D211" s="47"/>
      <c r="F211" s="36"/>
      <c r="G211" s="22"/>
      <c r="H211"/>
      <c r="I211"/>
      <c r="J211"/>
    </row>
    <row r="212" spans="4:10" x14ac:dyDescent="0.3">
      <c r="D212" s="47"/>
      <c r="F212" s="36"/>
      <c r="G212" s="22"/>
      <c r="H212"/>
      <c r="I212"/>
      <c r="J212"/>
    </row>
    <row r="213" spans="4:10" x14ac:dyDescent="0.3">
      <c r="D213" s="47"/>
      <c r="F213" s="36"/>
      <c r="G213" s="22"/>
      <c r="H213"/>
      <c r="I213"/>
      <c r="J213"/>
    </row>
    <row r="214" spans="4:10" x14ac:dyDescent="0.3">
      <c r="D214" s="47"/>
      <c r="F214" s="36"/>
      <c r="G214" s="22"/>
      <c r="H214"/>
      <c r="I214"/>
      <c r="J214"/>
    </row>
  </sheetData>
  <sheetProtection sheet="1" objects="1" scenarios="1" selectLockedCells="1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B1:L33"/>
  <sheetViews>
    <sheetView showGridLines="0" workbookViewId="0">
      <selection activeCell="K9" sqref="K9"/>
    </sheetView>
  </sheetViews>
  <sheetFormatPr defaultRowHeight="14.4" x14ac:dyDescent="0.3"/>
  <cols>
    <col min="1" max="1" width="9.109375" customWidth="1"/>
    <col min="2" max="2" width="33.6640625" customWidth="1"/>
    <col min="3" max="3" width="10" style="17" customWidth="1"/>
    <col min="4" max="5" width="8.6640625" style="17" customWidth="1"/>
    <col min="6" max="6" width="8.6640625" style="20" customWidth="1"/>
    <col min="7" max="7" width="8.6640625" style="17" customWidth="1"/>
    <col min="8" max="8" width="13.5546875" customWidth="1"/>
    <col min="9" max="9" width="5.6640625" customWidth="1"/>
    <col min="10" max="10" width="10.6640625" customWidth="1"/>
    <col min="11" max="11" width="6.6640625" style="120" customWidth="1"/>
    <col min="12" max="12" width="8.6640625" customWidth="1"/>
  </cols>
  <sheetData>
    <row r="1" spans="2:12" ht="6" customHeight="1" x14ac:dyDescent="0.3">
      <c r="L1" s="1"/>
    </row>
    <row r="2" spans="2:12" ht="39" customHeight="1" thickBot="1" x14ac:dyDescent="0.45">
      <c r="B2" s="2" t="s">
        <v>121</v>
      </c>
      <c r="C2" s="72"/>
      <c r="D2" s="72"/>
      <c r="E2" s="72"/>
      <c r="F2" s="55"/>
      <c r="G2" s="72"/>
      <c r="H2" s="2"/>
      <c r="I2" s="2"/>
      <c r="J2" s="2"/>
      <c r="K2" s="2"/>
      <c r="L2" s="19"/>
    </row>
    <row r="3" spans="2:12" ht="9" customHeight="1" thickTop="1" x14ac:dyDescent="0.3">
      <c r="K3"/>
      <c r="L3" s="1"/>
    </row>
    <row r="4" spans="2:12" x14ac:dyDescent="0.3">
      <c r="B4" s="3" t="str">
        <f>IF(ProjectName="","",ProjectName)</f>
        <v/>
      </c>
      <c r="J4" s="5" t="s">
        <v>15</v>
      </c>
      <c r="K4" s="119" t="str">
        <f>IF(EstimatorName="","",EstimatorName)</f>
        <v/>
      </c>
      <c r="L4" s="1"/>
    </row>
    <row r="5" spans="2:12" ht="15" customHeight="1" x14ac:dyDescent="0.3">
      <c r="B5" s="9" t="str">
        <f>IF(ProjectAddress="","",ProjectAddress)</f>
        <v/>
      </c>
      <c r="J5" s="5" t="s">
        <v>16</v>
      </c>
      <c r="K5" s="119" t="str">
        <f>IF(EstimateNo="","",EstimateNo)</f>
        <v/>
      </c>
      <c r="L5" s="1"/>
    </row>
    <row r="6" spans="2:12" ht="15" customHeight="1" x14ac:dyDescent="0.3">
      <c r="B6" s="9"/>
      <c r="J6" s="5"/>
      <c r="K6" s="119"/>
      <c r="L6" s="1"/>
    </row>
    <row r="7" spans="2:12" ht="23.4" x14ac:dyDescent="0.45">
      <c r="B7" s="6" t="s">
        <v>5</v>
      </c>
    </row>
    <row r="8" spans="2:12" ht="18" x14ac:dyDescent="0.35">
      <c r="B8" s="12" t="s">
        <v>50</v>
      </c>
      <c r="C8" s="142" t="s">
        <v>90</v>
      </c>
      <c r="D8" s="126" t="s">
        <v>39</v>
      </c>
      <c r="E8" s="126"/>
      <c r="F8" s="126" t="s">
        <v>40</v>
      </c>
      <c r="G8" s="126"/>
      <c r="H8" s="46" t="s">
        <v>94</v>
      </c>
      <c r="J8" s="129" t="s">
        <v>92</v>
      </c>
      <c r="K8" s="130"/>
    </row>
    <row r="9" spans="2:12" x14ac:dyDescent="0.3">
      <c r="B9" s="122" t="str">
        <f>IF(Lists!H2="","",Lists!H2)</f>
        <v/>
      </c>
      <c r="C9" s="138">
        <f>SUMIFS('SM-EST-Hangers'!F:F,SM_HangerName,HangerTable[[#This Row],[Column1]])</f>
        <v>0</v>
      </c>
      <c r="D9" s="143">
        <f>SUMIFS('SM-EST-Hangers'!I:I,SM_HangerName,HangerTable[[#This Row],[Column1]])*24</f>
        <v>0</v>
      </c>
      <c r="E9" s="103" t="str">
        <f t="shared" ref="E9:E32" si="0">IF(D9=0,"","hrs")</f>
        <v/>
      </c>
      <c r="F9" s="143">
        <f>SUMIFS('SM-EST-Hangers'!J:J,SM_HangerName,HangerTable[[#This Row],[Column1]])*24</f>
        <v>0</v>
      </c>
      <c r="G9" s="103" t="str">
        <f t="shared" ref="G9:G32" si="1">IF(F9=0,"","hrs")</f>
        <v/>
      </c>
      <c r="H9" s="147">
        <f>SUMIFS('SM-EST-Hangers'!K:K,SM_HangerName,HangerTable[[#This Row],[Column1]])</f>
        <v>0</v>
      </c>
      <c r="I9" s="147"/>
      <c r="J9" s="131" t="s">
        <v>39</v>
      </c>
      <c r="K9" s="220">
        <v>1</v>
      </c>
    </row>
    <row r="10" spans="2:12" x14ac:dyDescent="0.3">
      <c r="B10" s="122" t="str">
        <f>IF(Lists!H3="","",Lists!H3)</f>
        <v/>
      </c>
      <c r="C10" s="138">
        <f>SUMIFS('SM-EST-Hangers'!F:F,SM_HangerName,HangerTable[[#This Row],[Column1]])</f>
        <v>0</v>
      </c>
      <c r="D10" s="143">
        <f>SUMIFS('SM-EST-Hangers'!I:I,SM_HangerName,HangerTable[[#This Row],[Column1]])*24</f>
        <v>0</v>
      </c>
      <c r="E10" s="103" t="str">
        <f t="shared" si="0"/>
        <v/>
      </c>
      <c r="F10" s="143">
        <f>SUMIFS('SM-EST-Hangers'!J:J,SM_HangerName,HangerTable[[#This Row],[Column1]])*24</f>
        <v>0</v>
      </c>
      <c r="G10" s="103" t="str">
        <f t="shared" si="1"/>
        <v/>
      </c>
      <c r="H10" s="147">
        <f>SUMIFS('SM-EST-Hangers'!K:K,SM_HangerName,HangerTable[[#This Row],[Column1]])</f>
        <v>0</v>
      </c>
      <c r="I10" s="147"/>
      <c r="J10" s="132" t="s">
        <v>40</v>
      </c>
      <c r="K10" s="221">
        <v>1</v>
      </c>
    </row>
    <row r="11" spans="2:12" x14ac:dyDescent="0.3">
      <c r="B11" s="122" t="str">
        <f>IF(Lists!H4="","",Lists!H4)</f>
        <v/>
      </c>
      <c r="C11" s="138">
        <f>SUMIFS('SM-EST-Hangers'!F:F,SM_HangerName,HangerTable[[#This Row],[Column1]])</f>
        <v>0</v>
      </c>
      <c r="D11" s="143">
        <f>SUMIFS('SM-EST-Hangers'!I:I,SM_HangerName,HangerTable[[#This Row],[Column1]])*24</f>
        <v>0</v>
      </c>
      <c r="E11" s="103" t="str">
        <f t="shared" si="0"/>
        <v/>
      </c>
      <c r="F11" s="143">
        <f>SUMIFS('SM-EST-Hangers'!J:J,SM_HangerName,HangerTable[[#This Row],[Column1]])*24</f>
        <v>0</v>
      </c>
      <c r="G11" s="103" t="str">
        <f t="shared" si="1"/>
        <v/>
      </c>
      <c r="H11" s="147">
        <f>SUMIFS('SM-EST-Hangers'!K:K,SM_HangerName,HangerTable[[#This Row],[Column1]])</f>
        <v>0</v>
      </c>
      <c r="I11" s="147"/>
      <c r="J11" s="133" t="s">
        <v>48</v>
      </c>
      <c r="K11" s="222">
        <v>1</v>
      </c>
    </row>
    <row r="12" spans="2:12" x14ac:dyDescent="0.3">
      <c r="B12" s="122" t="str">
        <f>IF(Lists!H5="","",Lists!H5)</f>
        <v/>
      </c>
      <c r="C12" s="138">
        <f>SUMIFS('SM-EST-Hangers'!F:F,SM_HangerName,HangerTable[[#This Row],[Column1]])</f>
        <v>0</v>
      </c>
      <c r="D12" s="143">
        <f>SUMIFS('SM-EST-Hangers'!I:I,SM_HangerName,HangerTable[[#This Row],[Column1]])*24</f>
        <v>0</v>
      </c>
      <c r="E12" s="103" t="str">
        <f t="shared" si="0"/>
        <v/>
      </c>
      <c r="F12" s="143">
        <f>SUMIFS('SM-EST-Hangers'!J:J,SM_HangerName,HangerTable[[#This Row],[Column1]])*24</f>
        <v>0</v>
      </c>
      <c r="G12" s="103" t="str">
        <f t="shared" si="1"/>
        <v/>
      </c>
      <c r="H12" s="147">
        <f>SUMIFS('SM-EST-Hangers'!K:K,SM_HangerName,HangerTable[[#This Row],[Column1]])</f>
        <v>0</v>
      </c>
      <c r="I12" s="147"/>
      <c r="J12" s="16"/>
      <c r="K12"/>
      <c r="L12" s="120"/>
    </row>
    <row r="13" spans="2:12" x14ac:dyDescent="0.3">
      <c r="B13" s="122" t="str">
        <f>IF(Lists!H6="","",Lists!H6)</f>
        <v/>
      </c>
      <c r="C13" s="138">
        <f>SUMIFS('SM-EST-Hangers'!F:F,SM_HangerName,HangerTable[[#This Row],[Column1]])</f>
        <v>0</v>
      </c>
      <c r="D13" s="143">
        <f>SUMIFS('SM-EST-Hangers'!I:I,SM_HangerName,HangerTable[[#This Row],[Column1]])*24</f>
        <v>0</v>
      </c>
      <c r="E13" s="103" t="str">
        <f t="shared" si="0"/>
        <v/>
      </c>
      <c r="F13" s="143">
        <f>SUMIFS('SM-EST-Hangers'!J:J,SM_HangerName,HangerTable[[#This Row],[Column1]])*24</f>
        <v>0</v>
      </c>
      <c r="G13" s="103" t="str">
        <f t="shared" si="1"/>
        <v/>
      </c>
      <c r="H13" s="147">
        <f>SUMIFS('SM-EST-Hangers'!K:K,SM_HangerName,HangerTable[[#This Row],[Column1]])</f>
        <v>0</v>
      </c>
      <c r="I13" s="147"/>
      <c r="J13" s="16"/>
      <c r="K13"/>
      <c r="L13" s="120"/>
    </row>
    <row r="14" spans="2:12" x14ac:dyDescent="0.3">
      <c r="B14" s="122" t="str">
        <f>IF(Lists!H7="","",Lists!H7)</f>
        <v/>
      </c>
      <c r="C14" s="138">
        <f>SUMIFS('SM-EST-Hangers'!F:F,SM_HangerName,HangerTable[[#This Row],[Column1]])</f>
        <v>0</v>
      </c>
      <c r="D14" s="143">
        <f>SUMIFS('SM-EST-Hangers'!I:I,SM_HangerName,HangerTable[[#This Row],[Column1]])*24</f>
        <v>0</v>
      </c>
      <c r="E14" s="103" t="str">
        <f t="shared" si="0"/>
        <v/>
      </c>
      <c r="F14" s="143">
        <f>SUMIFS('SM-EST-Hangers'!J:J,SM_HangerName,HangerTable[[#This Row],[Column1]])*24</f>
        <v>0</v>
      </c>
      <c r="G14" s="103" t="str">
        <f t="shared" si="1"/>
        <v/>
      </c>
      <c r="H14" s="147">
        <f>SUMIFS('SM-EST-Hangers'!K:K,SM_HangerName,HangerTable[[#This Row],[Column1]])</f>
        <v>0</v>
      </c>
      <c r="I14" s="147"/>
      <c r="J14" s="16"/>
      <c r="K14"/>
      <c r="L14" s="120"/>
    </row>
    <row r="15" spans="2:12" x14ac:dyDescent="0.3">
      <c r="B15" s="122" t="str">
        <f>IF(Lists!H8="","",Lists!H8)</f>
        <v/>
      </c>
      <c r="C15" s="138">
        <f>SUMIFS('SM-EST-Hangers'!F:F,SM_HangerName,HangerTable[[#This Row],[Column1]])</f>
        <v>0</v>
      </c>
      <c r="D15" s="143">
        <f>SUMIFS('SM-EST-Hangers'!I:I,SM_HangerName,HangerTable[[#This Row],[Column1]])*24</f>
        <v>0</v>
      </c>
      <c r="E15" s="103" t="str">
        <f t="shared" si="0"/>
        <v/>
      </c>
      <c r="F15" s="143">
        <f>SUMIFS('SM-EST-Hangers'!J:J,SM_HangerName,HangerTable[[#This Row],[Column1]])*24</f>
        <v>0</v>
      </c>
      <c r="G15" s="103" t="str">
        <f t="shared" si="1"/>
        <v/>
      </c>
      <c r="H15" s="147">
        <f>SUMIFS('SM-EST-Hangers'!K:K,SM_HangerName,HangerTable[[#This Row],[Column1]])</f>
        <v>0</v>
      </c>
      <c r="I15" s="147"/>
      <c r="J15" s="16"/>
      <c r="K15"/>
      <c r="L15" s="120"/>
    </row>
    <row r="16" spans="2:12" x14ac:dyDescent="0.3">
      <c r="B16" s="122" t="str">
        <f>IF(Lists!H9="","",Lists!H9)</f>
        <v/>
      </c>
      <c r="C16" s="138">
        <f>SUMIFS('SM-EST-Hangers'!F:F,SM_HangerName,HangerTable[[#This Row],[Column1]])</f>
        <v>0</v>
      </c>
      <c r="D16" s="143">
        <f>SUMIFS('SM-EST-Hangers'!I:I,SM_HangerName,HangerTable[[#This Row],[Column1]])*24</f>
        <v>0</v>
      </c>
      <c r="E16" s="103" t="str">
        <f t="shared" si="0"/>
        <v/>
      </c>
      <c r="F16" s="143">
        <f>SUMIFS('SM-EST-Hangers'!J:J,SM_HangerName,HangerTable[[#This Row],[Column1]])*24</f>
        <v>0</v>
      </c>
      <c r="G16" s="103" t="str">
        <f t="shared" si="1"/>
        <v/>
      </c>
      <c r="H16" s="147">
        <f>SUMIFS('SM-EST-Hangers'!K:K,SM_HangerName,HangerTable[[#This Row],[Column1]])</f>
        <v>0</v>
      </c>
      <c r="I16" s="147"/>
      <c r="J16" s="16"/>
      <c r="K16"/>
      <c r="L16" s="120"/>
    </row>
    <row r="17" spans="2:12" x14ac:dyDescent="0.3">
      <c r="B17" s="122" t="str">
        <f>IF(Lists!H10="","",Lists!H10)</f>
        <v/>
      </c>
      <c r="C17" s="138">
        <f>SUMIFS('SM-EST-Hangers'!F:F,SM_HangerName,HangerTable[[#This Row],[Column1]])</f>
        <v>0</v>
      </c>
      <c r="D17" s="143">
        <f>SUMIFS('SM-EST-Hangers'!I:I,SM_HangerName,HangerTable[[#This Row],[Column1]])*24</f>
        <v>0</v>
      </c>
      <c r="E17" s="103" t="str">
        <f t="shared" si="0"/>
        <v/>
      </c>
      <c r="F17" s="143">
        <f>SUMIFS('SM-EST-Hangers'!J:J,SM_HangerName,HangerTable[[#This Row],[Column1]])*24</f>
        <v>0</v>
      </c>
      <c r="G17" s="103" t="str">
        <f t="shared" si="1"/>
        <v/>
      </c>
      <c r="H17" s="147">
        <f>SUMIFS('SM-EST-Hangers'!K:K,SM_HangerName,HangerTable[[#This Row],[Column1]])</f>
        <v>0</v>
      </c>
      <c r="I17" s="147"/>
      <c r="J17" s="16"/>
      <c r="K17"/>
      <c r="L17" s="120"/>
    </row>
    <row r="18" spans="2:12" x14ac:dyDescent="0.3">
      <c r="B18" s="122" t="str">
        <f>IF(Lists!H11="","",Lists!H11)</f>
        <v/>
      </c>
      <c r="C18" s="138">
        <f>SUMIFS('SM-EST-Hangers'!F:F,SM_HangerName,HangerTable[[#This Row],[Column1]])</f>
        <v>0</v>
      </c>
      <c r="D18" s="143">
        <f>SUMIFS('SM-EST-Hangers'!I:I,SM_HangerName,HangerTable[[#This Row],[Column1]])*24</f>
        <v>0</v>
      </c>
      <c r="E18" s="103" t="str">
        <f t="shared" si="0"/>
        <v/>
      </c>
      <c r="F18" s="143">
        <f>SUMIFS('SM-EST-Hangers'!J:J,SM_HangerName,HangerTable[[#This Row],[Column1]])*24</f>
        <v>0</v>
      </c>
      <c r="G18" s="103" t="str">
        <f t="shared" si="1"/>
        <v/>
      </c>
      <c r="H18" s="147">
        <f>SUMIFS('SM-EST-Hangers'!K:K,SM_HangerName,HangerTable[[#This Row],[Column1]])</f>
        <v>0</v>
      </c>
      <c r="I18" s="147"/>
      <c r="J18" s="16"/>
      <c r="K18"/>
      <c r="L18" s="120"/>
    </row>
    <row r="19" spans="2:12" x14ac:dyDescent="0.3">
      <c r="B19" s="122" t="str">
        <f>IF(Lists!H12="","",Lists!H12)</f>
        <v/>
      </c>
      <c r="C19" s="138">
        <f>SUMIFS('SM-EST-Hangers'!F:F,SM_HangerName,HangerTable[[#This Row],[Column1]])</f>
        <v>0</v>
      </c>
      <c r="D19" s="143">
        <f>SUMIFS('SM-EST-Hangers'!I:I,SM_HangerName,HangerTable[[#This Row],[Column1]])*24</f>
        <v>0</v>
      </c>
      <c r="E19" s="103" t="str">
        <f t="shared" si="0"/>
        <v/>
      </c>
      <c r="F19" s="143">
        <f>SUMIFS('SM-EST-Hangers'!J:J,SM_HangerName,HangerTable[[#This Row],[Column1]])*24</f>
        <v>0</v>
      </c>
      <c r="G19" s="103" t="str">
        <f t="shared" si="1"/>
        <v/>
      </c>
      <c r="H19" s="147">
        <f>SUMIFS('SM-EST-Hangers'!K:K,SM_HangerName,HangerTable[[#This Row],[Column1]])</f>
        <v>0</v>
      </c>
      <c r="I19" s="147"/>
      <c r="J19" s="16"/>
      <c r="K19"/>
      <c r="L19" s="120"/>
    </row>
    <row r="20" spans="2:12" x14ac:dyDescent="0.3">
      <c r="B20" s="122" t="str">
        <f>IF(Lists!H13="","",Lists!H13)</f>
        <v/>
      </c>
      <c r="C20" s="138">
        <f>SUMIFS('SM-EST-Hangers'!F:F,SM_HangerName,HangerTable[[#This Row],[Column1]])</f>
        <v>0</v>
      </c>
      <c r="D20" s="143">
        <f>SUMIFS('SM-EST-Hangers'!I:I,SM_HangerName,HangerTable[[#This Row],[Column1]])*24</f>
        <v>0</v>
      </c>
      <c r="E20" s="103" t="str">
        <f t="shared" si="0"/>
        <v/>
      </c>
      <c r="F20" s="143">
        <f>SUMIFS('SM-EST-Hangers'!J:J,SM_HangerName,HangerTable[[#This Row],[Column1]])*24</f>
        <v>0</v>
      </c>
      <c r="G20" s="103" t="str">
        <f t="shared" si="1"/>
        <v/>
      </c>
      <c r="H20" s="147">
        <f>SUMIFS('SM-EST-Hangers'!K:K,SM_HangerName,HangerTable[[#This Row],[Column1]])</f>
        <v>0</v>
      </c>
      <c r="I20" s="147"/>
      <c r="J20" s="16"/>
      <c r="K20"/>
      <c r="L20" s="120"/>
    </row>
    <row r="21" spans="2:12" x14ac:dyDescent="0.3">
      <c r="B21" s="122" t="str">
        <f>IF(Lists!H14="","",Lists!H14)</f>
        <v/>
      </c>
      <c r="C21" s="138">
        <f>SUMIFS('SM-EST-Hangers'!F:F,SM_HangerName,HangerTable[[#This Row],[Column1]])</f>
        <v>0</v>
      </c>
      <c r="D21" s="143">
        <f>SUMIFS('SM-EST-Hangers'!I:I,SM_HangerName,HangerTable[[#This Row],[Column1]])*24</f>
        <v>0</v>
      </c>
      <c r="E21" s="103" t="str">
        <f t="shared" si="0"/>
        <v/>
      </c>
      <c r="F21" s="143">
        <f>SUMIFS('SM-EST-Hangers'!J:J,SM_HangerName,HangerTable[[#This Row],[Column1]])*24</f>
        <v>0</v>
      </c>
      <c r="G21" s="103" t="str">
        <f t="shared" si="1"/>
        <v/>
      </c>
      <c r="H21" s="147">
        <f>SUMIFS('SM-EST-Hangers'!K:K,SM_HangerName,HangerTable[[#This Row],[Column1]])</f>
        <v>0</v>
      </c>
      <c r="I21" s="147"/>
      <c r="J21" s="16"/>
      <c r="K21"/>
      <c r="L21" s="120"/>
    </row>
    <row r="22" spans="2:12" x14ac:dyDescent="0.3">
      <c r="B22" s="122" t="str">
        <f>IF(Lists!H15="","",Lists!H15)</f>
        <v/>
      </c>
      <c r="C22" s="138">
        <f>SUMIFS('SM-EST-Hangers'!F:F,SM_HangerName,HangerTable[[#This Row],[Column1]])</f>
        <v>0</v>
      </c>
      <c r="D22" s="143">
        <f>SUMIFS('SM-EST-Hangers'!I:I,SM_HangerName,HangerTable[[#This Row],[Column1]])*24</f>
        <v>0</v>
      </c>
      <c r="E22" s="103" t="str">
        <f t="shared" si="0"/>
        <v/>
      </c>
      <c r="F22" s="143">
        <f>SUMIFS('SM-EST-Hangers'!J:J,SM_HangerName,HangerTable[[#This Row],[Column1]])*24</f>
        <v>0</v>
      </c>
      <c r="G22" s="103" t="str">
        <f t="shared" si="1"/>
        <v/>
      </c>
      <c r="H22" s="147">
        <f>SUMIFS('SM-EST-Hangers'!K:K,SM_HangerName,HangerTable[[#This Row],[Column1]])</f>
        <v>0</v>
      </c>
      <c r="I22" s="147"/>
      <c r="J22" s="16"/>
      <c r="K22"/>
      <c r="L22" s="120"/>
    </row>
    <row r="23" spans="2:12" x14ac:dyDescent="0.3">
      <c r="B23" s="122" t="str">
        <f>IF(Lists!H16="","",Lists!H16)</f>
        <v/>
      </c>
      <c r="C23" s="138">
        <f>SUMIFS('SM-EST-Hangers'!F:F,SM_HangerName,HangerTable[[#This Row],[Column1]])</f>
        <v>0</v>
      </c>
      <c r="D23" s="143">
        <f>SUMIFS('SM-EST-Hangers'!I:I,SM_HangerName,HangerTable[[#This Row],[Column1]])*24</f>
        <v>0</v>
      </c>
      <c r="E23" s="103" t="str">
        <f t="shared" si="0"/>
        <v/>
      </c>
      <c r="F23" s="143">
        <f>SUMIFS('SM-EST-Hangers'!J:J,SM_HangerName,HangerTable[[#This Row],[Column1]])*24</f>
        <v>0</v>
      </c>
      <c r="G23" s="103" t="str">
        <f t="shared" si="1"/>
        <v/>
      </c>
      <c r="H23" s="147">
        <f>SUMIFS('SM-EST-Hangers'!K:K,SM_HangerName,HangerTable[[#This Row],[Column1]])</f>
        <v>0</v>
      </c>
      <c r="I23" s="147"/>
      <c r="J23" s="16"/>
      <c r="K23"/>
      <c r="L23" s="120"/>
    </row>
    <row r="24" spans="2:12" x14ac:dyDescent="0.3">
      <c r="B24" s="122" t="str">
        <f>IF(Lists!H17="","",Lists!H17)</f>
        <v/>
      </c>
      <c r="C24" s="138">
        <f>SUMIFS('SM-EST-Hangers'!F:F,SM_HangerName,HangerTable[[#This Row],[Column1]])</f>
        <v>0</v>
      </c>
      <c r="D24" s="143">
        <f>SUMIFS('SM-EST-Hangers'!I:I,SM_HangerName,HangerTable[[#This Row],[Column1]])*24</f>
        <v>0</v>
      </c>
      <c r="E24" s="103" t="str">
        <f t="shared" si="0"/>
        <v/>
      </c>
      <c r="F24" s="143">
        <f>SUMIFS('SM-EST-Hangers'!J:J,SM_HangerName,HangerTable[[#This Row],[Column1]])*24</f>
        <v>0</v>
      </c>
      <c r="G24" s="103" t="str">
        <f t="shared" si="1"/>
        <v/>
      </c>
      <c r="H24" s="147">
        <f>SUMIFS('SM-EST-Hangers'!K:K,SM_HangerName,HangerTable[[#This Row],[Column1]])</f>
        <v>0</v>
      </c>
      <c r="I24" s="147"/>
      <c r="J24" s="16"/>
      <c r="K24"/>
      <c r="L24" s="120"/>
    </row>
    <row r="25" spans="2:12" x14ac:dyDescent="0.3">
      <c r="B25" s="122" t="str">
        <f>IF(Lists!H18="","",Lists!H18)</f>
        <v/>
      </c>
      <c r="C25" s="138">
        <f>SUMIFS('SM-EST-Hangers'!F:F,SM_HangerName,HangerTable[[#This Row],[Column1]])</f>
        <v>0</v>
      </c>
      <c r="D25" s="143">
        <f>SUMIFS('SM-EST-Hangers'!I:I,SM_HangerName,HangerTable[[#This Row],[Column1]])*24</f>
        <v>0</v>
      </c>
      <c r="E25" s="103" t="str">
        <f t="shared" si="0"/>
        <v/>
      </c>
      <c r="F25" s="143">
        <f>SUMIFS('SM-EST-Hangers'!J:J,SM_HangerName,HangerTable[[#This Row],[Column1]])*24</f>
        <v>0</v>
      </c>
      <c r="G25" s="103" t="str">
        <f t="shared" si="1"/>
        <v/>
      </c>
      <c r="H25" s="147">
        <f>SUMIFS('SM-EST-Hangers'!K:K,SM_HangerName,HangerTable[[#This Row],[Column1]])</f>
        <v>0</v>
      </c>
      <c r="I25" s="147"/>
      <c r="J25" s="16"/>
      <c r="K25"/>
      <c r="L25" s="120"/>
    </row>
    <row r="26" spans="2:12" x14ac:dyDescent="0.3">
      <c r="B26" s="122" t="str">
        <f>IF(Lists!H19="","",Lists!H19)</f>
        <v/>
      </c>
      <c r="C26" s="138">
        <f>SUMIFS('SM-EST-Hangers'!F:F,SM_HangerName,HangerTable[[#This Row],[Column1]])</f>
        <v>0</v>
      </c>
      <c r="D26" s="143">
        <f>SUMIFS('SM-EST-Hangers'!I:I,SM_HangerName,HangerTable[[#This Row],[Column1]])*24</f>
        <v>0</v>
      </c>
      <c r="E26" s="103" t="str">
        <f t="shared" si="0"/>
        <v/>
      </c>
      <c r="F26" s="143">
        <f>SUMIFS('SM-EST-Hangers'!J:J,SM_HangerName,HangerTable[[#This Row],[Column1]])*24</f>
        <v>0</v>
      </c>
      <c r="G26" s="103" t="str">
        <f t="shared" si="1"/>
        <v/>
      </c>
      <c r="H26" s="147">
        <f>SUMIFS('SM-EST-Hangers'!K:K,SM_HangerName,HangerTable[[#This Row],[Column1]])</f>
        <v>0</v>
      </c>
      <c r="I26" s="147"/>
      <c r="J26" s="16"/>
      <c r="K26"/>
      <c r="L26" s="120"/>
    </row>
    <row r="27" spans="2:12" x14ac:dyDescent="0.3">
      <c r="B27" s="122" t="str">
        <f>IF(Lists!H20="","",Lists!H20)</f>
        <v/>
      </c>
      <c r="C27" s="138">
        <f>SUMIFS('SM-EST-Hangers'!F:F,SM_HangerName,HangerTable[[#This Row],[Column1]])</f>
        <v>0</v>
      </c>
      <c r="D27" s="143">
        <f>SUMIFS('SM-EST-Hangers'!I:I,SM_HangerName,HangerTable[[#This Row],[Column1]])*24</f>
        <v>0</v>
      </c>
      <c r="E27" s="103" t="str">
        <f t="shared" si="0"/>
        <v/>
      </c>
      <c r="F27" s="143">
        <f>SUMIFS('SM-EST-Hangers'!J:J,SM_HangerName,HangerTable[[#This Row],[Column1]])*24</f>
        <v>0</v>
      </c>
      <c r="G27" s="103" t="str">
        <f t="shared" si="1"/>
        <v/>
      </c>
      <c r="H27" s="147">
        <f>SUMIFS('SM-EST-Hangers'!K:K,SM_HangerName,HangerTable[[#This Row],[Column1]])</f>
        <v>0</v>
      </c>
      <c r="I27" s="147"/>
      <c r="J27" s="16"/>
      <c r="K27"/>
      <c r="L27" s="120"/>
    </row>
    <row r="28" spans="2:12" x14ac:dyDescent="0.3">
      <c r="B28" s="122" t="str">
        <f>IF(Lists!H21="","",Lists!H21)</f>
        <v/>
      </c>
      <c r="C28" s="138">
        <f>SUMIFS('SM-EST-Hangers'!F:F,SM_HangerName,HangerTable[[#This Row],[Column1]])</f>
        <v>0</v>
      </c>
      <c r="D28" s="143">
        <f>SUMIFS('SM-EST-Hangers'!I:I,SM_HangerName,HangerTable[[#This Row],[Column1]])*24</f>
        <v>0</v>
      </c>
      <c r="E28" s="103" t="str">
        <f t="shared" si="0"/>
        <v/>
      </c>
      <c r="F28" s="143">
        <f>SUMIFS('SM-EST-Hangers'!J:J,SM_HangerName,HangerTable[[#This Row],[Column1]])*24</f>
        <v>0</v>
      </c>
      <c r="G28" s="103" t="str">
        <f t="shared" si="1"/>
        <v/>
      </c>
      <c r="H28" s="147">
        <f>SUMIFS('SM-EST-Hangers'!K:K,SM_HangerName,HangerTable[[#This Row],[Column1]])</f>
        <v>0</v>
      </c>
      <c r="I28" s="147"/>
      <c r="J28" s="16"/>
      <c r="K28"/>
      <c r="L28" s="120"/>
    </row>
    <row r="29" spans="2:12" x14ac:dyDescent="0.3">
      <c r="B29" s="122" t="str">
        <f>IF(Lists!H22="","",Lists!H22)</f>
        <v/>
      </c>
      <c r="C29" s="138">
        <f>SUMIFS('SM-EST-Hangers'!F:F,SM_HangerName,HangerTable[[#This Row],[Column1]])</f>
        <v>0</v>
      </c>
      <c r="D29" s="143">
        <f>SUMIFS('SM-EST-Hangers'!I:I,SM_HangerName,HangerTable[[#This Row],[Column1]])*24</f>
        <v>0</v>
      </c>
      <c r="E29" s="103" t="str">
        <f t="shared" si="0"/>
        <v/>
      </c>
      <c r="F29" s="143">
        <f>SUMIFS('SM-EST-Hangers'!J:J,SM_HangerName,HangerTable[[#This Row],[Column1]])*24</f>
        <v>0</v>
      </c>
      <c r="G29" s="103" t="str">
        <f t="shared" si="1"/>
        <v/>
      </c>
      <c r="H29" s="147">
        <f>SUMIFS('SM-EST-Hangers'!K:K,SM_HangerName,HangerTable[[#This Row],[Column1]])</f>
        <v>0</v>
      </c>
      <c r="I29" s="147"/>
      <c r="J29" s="16"/>
      <c r="K29"/>
      <c r="L29" s="120"/>
    </row>
    <row r="30" spans="2:12" x14ac:dyDescent="0.3">
      <c r="B30" s="122" t="str">
        <f>IF(Lists!H23="","",Lists!H23)</f>
        <v/>
      </c>
      <c r="C30" s="138">
        <f>SUMIFS('SM-EST-Hangers'!F:F,SM_HangerName,HangerTable[[#This Row],[Column1]])</f>
        <v>0</v>
      </c>
      <c r="D30" s="143">
        <f>SUMIFS('SM-EST-Hangers'!I:I,SM_HangerName,HangerTable[[#This Row],[Column1]])*24</f>
        <v>0</v>
      </c>
      <c r="E30" s="103" t="str">
        <f t="shared" si="0"/>
        <v/>
      </c>
      <c r="F30" s="143">
        <f>SUMIFS('SM-EST-Hangers'!J:J,SM_HangerName,HangerTable[[#This Row],[Column1]])*24</f>
        <v>0</v>
      </c>
      <c r="G30" s="103" t="str">
        <f t="shared" si="1"/>
        <v/>
      </c>
      <c r="H30" s="147">
        <f>SUMIFS('SM-EST-Hangers'!K:K,SM_HangerName,HangerTable[[#This Row],[Column1]])</f>
        <v>0</v>
      </c>
      <c r="I30" s="147"/>
      <c r="J30" s="16"/>
      <c r="K30"/>
      <c r="L30" s="120"/>
    </row>
    <row r="31" spans="2:12" x14ac:dyDescent="0.3">
      <c r="B31" s="122" t="str">
        <f>IF(Lists!H24="","",Lists!H24)</f>
        <v/>
      </c>
      <c r="C31" s="138">
        <f>SUMIFS('SM-EST-Hangers'!F:F,SM_HangerName,HangerTable[[#This Row],[Column1]])</f>
        <v>0</v>
      </c>
      <c r="D31" s="143">
        <f>SUMIFS('SM-EST-Hangers'!I:I,SM_HangerName,HangerTable[[#This Row],[Column1]])*24</f>
        <v>0</v>
      </c>
      <c r="E31" s="103" t="str">
        <f t="shared" si="0"/>
        <v/>
      </c>
      <c r="F31" s="143">
        <f>SUMIFS('SM-EST-Hangers'!J:J,SM_HangerName,HangerTable[[#This Row],[Column1]])*24</f>
        <v>0</v>
      </c>
      <c r="G31" s="103" t="str">
        <f t="shared" si="1"/>
        <v/>
      </c>
      <c r="H31" s="147">
        <f>SUMIFS('SM-EST-Hangers'!K:K,SM_HangerName,HangerTable[[#This Row],[Column1]])</f>
        <v>0</v>
      </c>
      <c r="I31" s="147"/>
      <c r="J31" s="16"/>
      <c r="K31"/>
      <c r="L31" s="120"/>
    </row>
    <row r="32" spans="2:12" x14ac:dyDescent="0.3">
      <c r="B32" s="122" t="str">
        <f>IF(Lists!H25="","",Lists!H25)</f>
        <v/>
      </c>
      <c r="C32" s="138">
        <f>SUMIFS('SM-EST-Hangers'!F:F,SM_HangerName,HangerTable[[#This Row],[Column1]])</f>
        <v>0</v>
      </c>
      <c r="D32" s="143">
        <f>SUMIFS('SM-EST-Hangers'!I:I,SM_HangerName,HangerTable[[#This Row],[Column1]])*24</f>
        <v>0</v>
      </c>
      <c r="E32" s="103" t="str">
        <f t="shared" si="0"/>
        <v/>
      </c>
      <c r="F32" s="143">
        <f>SUMIFS('SM-EST-Hangers'!J:J,SM_HangerName,HangerTable[[#This Row],[Column1]])*24</f>
        <v>0</v>
      </c>
      <c r="G32" s="103" t="str">
        <f t="shared" si="1"/>
        <v/>
      </c>
      <c r="H32" s="147">
        <f>SUMIFS('SM-EST-Hangers'!K:K,SM_HangerName,HangerTable[[#This Row],[Column1]])</f>
        <v>0</v>
      </c>
      <c r="I32" s="147"/>
      <c r="J32" s="16"/>
      <c r="K32"/>
      <c r="L32" s="120"/>
    </row>
    <row r="33" spans="2:12" x14ac:dyDescent="0.3">
      <c r="B33" s="172" t="str">
        <f>IF(SUM(K9:K11)&gt;3,"Total w/Multiplier","Total")</f>
        <v>Total</v>
      </c>
      <c r="C33" s="146">
        <f>SUBTOTAL(109,HangerTable[Column2])</f>
        <v>0</v>
      </c>
      <c r="D33" s="145">
        <f>SUBTOTAL(109,HangerTable[Ftime])*K9</f>
        <v>0</v>
      </c>
      <c r="E33" s="127" t="str">
        <f>IF(D33=0,"","hrs")</f>
        <v/>
      </c>
      <c r="F33" s="145">
        <f>SUBTOTAL(109,HangerTable[Etime])*K10</f>
        <v>0</v>
      </c>
      <c r="G33" s="127" t="str">
        <f>IF(F33=0,"","hrs")</f>
        <v/>
      </c>
      <c r="H33" s="49">
        <f>SUBTOTAL(109,HangerTable[Cost])*K11</f>
        <v>0</v>
      </c>
      <c r="I33" s="128"/>
      <c r="J33" s="21"/>
      <c r="K33"/>
      <c r="L33" s="120"/>
    </row>
  </sheetData>
  <sheetProtection sheet="1" objects="1" scenarios="1" selectLockedCells="1"/>
  <conditionalFormatting sqref="B33">
    <cfRule type="expression" dxfId="116" priority="1">
      <formula>B33="Total w/multiplier"</formula>
    </cfRule>
  </conditionalFormatting>
  <pageMargins left="0.7" right="0.7" top="0.75" bottom="0.75" header="0.3" footer="0.3"/>
  <pageSetup orientation="portrait" horizontalDpi="1200" verticalDpi="1200" r:id="rId1"/>
  <ignoredErrors>
    <ignoredError sqref="C9 E9 C10:C32 E10:E32 G9 G10:G32" calculatedColumn="1"/>
  </ignoredErrors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B1:J35"/>
  <sheetViews>
    <sheetView showGridLines="0" workbookViewId="0">
      <selection activeCell="I9" sqref="I9"/>
    </sheetView>
  </sheetViews>
  <sheetFormatPr defaultRowHeight="14.4" x14ac:dyDescent="0.3"/>
  <cols>
    <col min="1" max="1" width="9.109375" customWidth="1"/>
    <col min="2" max="2" width="33.6640625" customWidth="1"/>
    <col min="3" max="3" width="10" style="17" customWidth="1"/>
    <col min="4" max="4" width="8.6640625" style="20" customWidth="1"/>
    <col min="5" max="5" width="8.6640625" style="17" customWidth="1"/>
    <col min="6" max="6" width="13.5546875" customWidth="1"/>
    <col min="7" max="7" width="5.6640625" customWidth="1"/>
    <col min="8" max="8" width="10.6640625" customWidth="1"/>
    <col min="9" max="9" width="6.6640625" style="120" customWidth="1"/>
    <col min="10" max="10" width="8.6640625" customWidth="1"/>
  </cols>
  <sheetData>
    <row r="1" spans="2:10" ht="6" customHeight="1" x14ac:dyDescent="0.3">
      <c r="J1" s="1"/>
    </row>
    <row r="2" spans="2:10" ht="39" customHeight="1" thickBot="1" x14ac:dyDescent="0.45">
      <c r="B2" s="2" t="s">
        <v>123</v>
      </c>
      <c r="C2" s="72"/>
      <c r="D2" s="55"/>
      <c r="E2" s="72"/>
      <c r="F2" s="2"/>
      <c r="G2" s="2"/>
      <c r="H2" s="2"/>
      <c r="I2" s="2"/>
      <c r="J2" s="19"/>
    </row>
    <row r="3" spans="2:10" ht="9" customHeight="1" thickTop="1" x14ac:dyDescent="0.3">
      <c r="I3"/>
      <c r="J3" s="1"/>
    </row>
    <row r="4" spans="2:10" x14ac:dyDescent="0.3">
      <c r="B4" s="3" t="str">
        <f>IF(ProjectName="","",ProjectName)</f>
        <v/>
      </c>
      <c r="H4" s="5" t="s">
        <v>15</v>
      </c>
      <c r="I4" s="119" t="str">
        <f>IF(EstimatorName="","",EstimatorName)</f>
        <v/>
      </c>
      <c r="J4" s="1"/>
    </row>
    <row r="5" spans="2:10" ht="15" customHeight="1" x14ac:dyDescent="0.3">
      <c r="B5" s="9" t="str">
        <f>IF(ProjectAddress="","",ProjectAddress)</f>
        <v/>
      </c>
      <c r="H5" s="5" t="s">
        <v>16</v>
      </c>
      <c r="I5" s="119" t="str">
        <f>IF(EstimateNo="","",EstimateNo)</f>
        <v/>
      </c>
      <c r="J5" s="1"/>
    </row>
    <row r="6" spans="2:10" ht="15" customHeight="1" x14ac:dyDescent="0.3">
      <c r="B6" s="9"/>
      <c r="H6" s="5"/>
      <c r="I6" s="119"/>
      <c r="J6" s="1"/>
    </row>
    <row r="7" spans="2:10" ht="23.4" x14ac:dyDescent="0.45">
      <c r="B7" s="6" t="s">
        <v>8</v>
      </c>
      <c r="G7" s="147"/>
    </row>
    <row r="8" spans="2:10" ht="18" x14ac:dyDescent="0.35">
      <c r="B8" s="12" t="s">
        <v>50</v>
      </c>
      <c r="C8" s="142" t="s">
        <v>90</v>
      </c>
      <c r="D8" s="126" t="s">
        <v>40</v>
      </c>
      <c r="E8" s="126"/>
      <c r="F8" s="46" t="s">
        <v>94</v>
      </c>
      <c r="G8" s="147"/>
      <c r="H8" s="129" t="s">
        <v>92</v>
      </c>
      <c r="I8" s="130"/>
    </row>
    <row r="9" spans="2:10" x14ac:dyDescent="0.3">
      <c r="B9" s="122" t="str">
        <f>IF(Lists!I2="","",Lists!I2)</f>
        <v/>
      </c>
      <c r="C9" s="138">
        <f>SUMIFS('SM-EST-Flex Duct'!H:H,SM_FlexDuctName,FlexDuctTable[[#This Row],[Column1]])</f>
        <v>0</v>
      </c>
      <c r="D9" s="143">
        <f>SUMIFS('SM-EST-Flex Duct'!I:I,SM_FlexDuctName,FlexDuctTable[[#This Row],[Column1]])*24</f>
        <v>0</v>
      </c>
      <c r="E9" s="103" t="str">
        <f t="shared" ref="E9:E32" si="0">IF(D9=0,"","hrs")</f>
        <v/>
      </c>
      <c r="F9" s="147">
        <f>SUMIFS('SM-EST-Flex Duct'!J:J,SM_FlexDuctName,FlexDuctTable[[#This Row],[Column1]])</f>
        <v>0</v>
      </c>
      <c r="G9" s="147"/>
      <c r="H9" s="132" t="s">
        <v>40</v>
      </c>
      <c r="I9" s="221">
        <v>1</v>
      </c>
    </row>
    <row r="10" spans="2:10" x14ac:dyDescent="0.3">
      <c r="B10" s="122" t="str">
        <f>IF(Lists!I3="","",Lists!I3)</f>
        <v/>
      </c>
      <c r="C10" s="138">
        <f>SUMIFS('SM-EST-Flex Duct'!H:H,SM_FlexDuctName,FlexDuctTable[[#This Row],[Column1]])</f>
        <v>0</v>
      </c>
      <c r="D10" s="143">
        <f>SUMIFS('SM-EST-Flex Duct'!I:I,SM_FlexDuctName,FlexDuctTable[[#This Row],[Column1]])*24</f>
        <v>0</v>
      </c>
      <c r="E10" s="103" t="str">
        <f t="shared" si="0"/>
        <v/>
      </c>
      <c r="F10" s="147">
        <f>SUMIFS('SM-EST-Flex Duct'!J:J,SM_FlexDuctName,FlexDuctTable[[#This Row],[Column1]])</f>
        <v>0</v>
      </c>
      <c r="G10" s="147"/>
      <c r="H10" s="133" t="s">
        <v>48</v>
      </c>
      <c r="I10" s="222">
        <v>1</v>
      </c>
    </row>
    <row r="11" spans="2:10" x14ac:dyDescent="0.3">
      <c r="B11" s="122" t="str">
        <f>IF(Lists!I4="","",Lists!I4)</f>
        <v/>
      </c>
      <c r="C11" s="138">
        <f>SUMIFS('SM-EST-Flex Duct'!H:H,SM_FlexDuctName,FlexDuctTable[[#This Row],[Column1]])</f>
        <v>0</v>
      </c>
      <c r="D11" s="143">
        <f>SUMIFS('SM-EST-Flex Duct'!I:I,SM_FlexDuctName,FlexDuctTable[[#This Row],[Column1]])*24</f>
        <v>0</v>
      </c>
      <c r="E11" s="103" t="str">
        <f t="shared" si="0"/>
        <v/>
      </c>
      <c r="F11" s="147">
        <f>SUMIFS('SM-EST-Flex Duct'!J:J,SM_FlexDuctName,FlexDuctTable[[#This Row],[Column1]])</f>
        <v>0</v>
      </c>
      <c r="G11" s="147"/>
      <c r="H11" s="16"/>
      <c r="I11"/>
    </row>
    <row r="12" spans="2:10" x14ac:dyDescent="0.3">
      <c r="B12" s="122" t="str">
        <f>IF(Lists!I5="","",Lists!I5)</f>
        <v/>
      </c>
      <c r="C12" s="138">
        <f>SUMIFS('SM-EST-Flex Duct'!H:H,SM_FlexDuctName,FlexDuctTable[[#This Row],[Column1]])</f>
        <v>0</v>
      </c>
      <c r="D12" s="143">
        <f>SUMIFS('SM-EST-Flex Duct'!I:I,SM_FlexDuctName,FlexDuctTable[[#This Row],[Column1]])*24</f>
        <v>0</v>
      </c>
      <c r="E12" s="103" t="str">
        <f t="shared" si="0"/>
        <v/>
      </c>
      <c r="F12" s="147">
        <f>SUMIFS('SM-EST-Flex Duct'!J:J,SM_FlexDuctName,FlexDuctTable[[#This Row],[Column1]])</f>
        <v>0</v>
      </c>
      <c r="G12" s="147"/>
      <c r="H12" s="16"/>
      <c r="I12"/>
      <c r="J12" s="120"/>
    </row>
    <row r="13" spans="2:10" x14ac:dyDescent="0.3">
      <c r="B13" s="122" t="str">
        <f>IF(Lists!I6="","",Lists!I6)</f>
        <v/>
      </c>
      <c r="C13" s="138">
        <f>SUMIFS('SM-EST-Flex Duct'!H:H,SM_FlexDuctName,FlexDuctTable[[#This Row],[Column1]])</f>
        <v>0</v>
      </c>
      <c r="D13" s="143">
        <f>SUMIFS('SM-EST-Flex Duct'!I:I,SM_FlexDuctName,FlexDuctTable[[#This Row],[Column1]])*24</f>
        <v>0</v>
      </c>
      <c r="E13" s="103" t="str">
        <f t="shared" si="0"/>
        <v/>
      </c>
      <c r="F13" s="147">
        <f>SUMIFS('SM-EST-Flex Duct'!J:J,SM_FlexDuctName,FlexDuctTable[[#This Row],[Column1]])</f>
        <v>0</v>
      </c>
      <c r="G13" s="147"/>
      <c r="H13" s="16"/>
      <c r="I13"/>
      <c r="J13" s="120"/>
    </row>
    <row r="14" spans="2:10" x14ac:dyDescent="0.3">
      <c r="B14" s="122" t="str">
        <f>IF(Lists!I7="","",Lists!I7)</f>
        <v/>
      </c>
      <c r="C14" s="138">
        <f>SUMIFS('SM-EST-Flex Duct'!H:H,SM_FlexDuctName,FlexDuctTable[[#This Row],[Column1]])</f>
        <v>0</v>
      </c>
      <c r="D14" s="143">
        <f>SUMIFS('SM-EST-Flex Duct'!I:I,SM_FlexDuctName,FlexDuctTable[[#This Row],[Column1]])*24</f>
        <v>0</v>
      </c>
      <c r="E14" s="103" t="str">
        <f t="shared" si="0"/>
        <v/>
      </c>
      <c r="F14" s="147">
        <f>SUMIFS('SM-EST-Flex Duct'!J:J,SM_FlexDuctName,FlexDuctTable[[#This Row],[Column1]])</f>
        <v>0</v>
      </c>
      <c r="G14" s="147"/>
      <c r="H14" s="16"/>
      <c r="I14"/>
      <c r="J14" s="120"/>
    </row>
    <row r="15" spans="2:10" x14ac:dyDescent="0.3">
      <c r="B15" s="122" t="str">
        <f>IF(Lists!I8="","",Lists!I8)</f>
        <v/>
      </c>
      <c r="C15" s="138">
        <f>SUMIFS('SM-EST-Flex Duct'!H:H,SM_FlexDuctName,FlexDuctTable[[#This Row],[Column1]])</f>
        <v>0</v>
      </c>
      <c r="D15" s="143">
        <f>SUMIFS('SM-EST-Flex Duct'!I:I,SM_FlexDuctName,FlexDuctTable[[#This Row],[Column1]])*24</f>
        <v>0</v>
      </c>
      <c r="E15" s="103" t="str">
        <f t="shared" si="0"/>
        <v/>
      </c>
      <c r="F15" s="147">
        <f>SUMIFS('SM-EST-Flex Duct'!J:J,SM_FlexDuctName,FlexDuctTable[[#This Row],[Column1]])</f>
        <v>0</v>
      </c>
      <c r="G15" s="147"/>
      <c r="H15" s="16"/>
      <c r="I15"/>
      <c r="J15" s="120"/>
    </row>
    <row r="16" spans="2:10" x14ac:dyDescent="0.3">
      <c r="B16" s="122" t="str">
        <f>IF(Lists!I9="","",Lists!I9)</f>
        <v/>
      </c>
      <c r="C16" s="138">
        <f>SUMIFS('SM-EST-Flex Duct'!H:H,SM_FlexDuctName,FlexDuctTable[[#This Row],[Column1]])</f>
        <v>0</v>
      </c>
      <c r="D16" s="143">
        <f>SUMIFS('SM-EST-Flex Duct'!I:I,SM_FlexDuctName,FlexDuctTable[[#This Row],[Column1]])*24</f>
        <v>0</v>
      </c>
      <c r="E16" s="103" t="str">
        <f t="shared" si="0"/>
        <v/>
      </c>
      <c r="F16" s="147">
        <f>SUMIFS('SM-EST-Flex Duct'!J:J,SM_FlexDuctName,FlexDuctTable[[#This Row],[Column1]])</f>
        <v>0</v>
      </c>
      <c r="G16" s="147"/>
      <c r="H16" s="16"/>
      <c r="I16"/>
      <c r="J16" s="120"/>
    </row>
    <row r="17" spans="2:10" x14ac:dyDescent="0.3">
      <c r="B17" s="122" t="str">
        <f>IF(Lists!I10="","",Lists!I10)</f>
        <v/>
      </c>
      <c r="C17" s="138">
        <f>SUMIFS('SM-EST-Flex Duct'!H:H,SM_FlexDuctName,FlexDuctTable[[#This Row],[Column1]])</f>
        <v>0</v>
      </c>
      <c r="D17" s="143">
        <f>SUMIFS('SM-EST-Flex Duct'!I:I,SM_FlexDuctName,FlexDuctTable[[#This Row],[Column1]])*24</f>
        <v>0</v>
      </c>
      <c r="E17" s="103" t="str">
        <f t="shared" si="0"/>
        <v/>
      </c>
      <c r="F17" s="147">
        <f>SUMIFS('SM-EST-Flex Duct'!J:J,SM_FlexDuctName,FlexDuctTable[[#This Row],[Column1]])</f>
        <v>0</v>
      </c>
      <c r="G17" s="147"/>
      <c r="H17" s="16"/>
      <c r="I17"/>
      <c r="J17" s="120"/>
    </row>
    <row r="18" spans="2:10" x14ac:dyDescent="0.3">
      <c r="B18" s="122" t="str">
        <f>IF(Lists!I11="","",Lists!I11)</f>
        <v/>
      </c>
      <c r="C18" s="138">
        <f>SUMIFS('SM-EST-Flex Duct'!H:H,SM_FlexDuctName,FlexDuctTable[[#This Row],[Column1]])</f>
        <v>0</v>
      </c>
      <c r="D18" s="143">
        <f>SUMIFS('SM-EST-Flex Duct'!I:I,SM_FlexDuctName,FlexDuctTable[[#This Row],[Column1]])*24</f>
        <v>0</v>
      </c>
      <c r="E18" s="103" t="str">
        <f t="shared" si="0"/>
        <v/>
      </c>
      <c r="F18" s="147">
        <f>SUMIFS('SM-EST-Flex Duct'!J:J,SM_FlexDuctName,FlexDuctTable[[#This Row],[Column1]])</f>
        <v>0</v>
      </c>
      <c r="G18" s="147"/>
      <c r="H18" s="16"/>
      <c r="I18"/>
      <c r="J18" s="120"/>
    </row>
    <row r="19" spans="2:10" x14ac:dyDescent="0.3">
      <c r="B19" s="122" t="str">
        <f>IF(Lists!I12="","",Lists!I12)</f>
        <v/>
      </c>
      <c r="C19" s="138">
        <f>SUMIFS('SM-EST-Flex Duct'!H:H,SM_FlexDuctName,FlexDuctTable[[#This Row],[Column1]])</f>
        <v>0</v>
      </c>
      <c r="D19" s="143">
        <f>SUMIFS('SM-EST-Flex Duct'!I:I,SM_FlexDuctName,FlexDuctTable[[#This Row],[Column1]])*24</f>
        <v>0</v>
      </c>
      <c r="E19" s="103" t="str">
        <f t="shared" si="0"/>
        <v/>
      </c>
      <c r="F19" s="147">
        <f>SUMIFS('SM-EST-Flex Duct'!J:J,SM_FlexDuctName,FlexDuctTable[[#This Row],[Column1]])</f>
        <v>0</v>
      </c>
      <c r="G19" s="147"/>
      <c r="H19" s="16"/>
      <c r="I19"/>
      <c r="J19" s="120"/>
    </row>
    <row r="20" spans="2:10" x14ac:dyDescent="0.3">
      <c r="B20" s="122" t="str">
        <f>IF(Lists!I13="","",Lists!I13)</f>
        <v/>
      </c>
      <c r="C20" s="138">
        <f>SUMIFS('SM-EST-Flex Duct'!H:H,SM_FlexDuctName,FlexDuctTable[[#This Row],[Column1]])</f>
        <v>0</v>
      </c>
      <c r="D20" s="143">
        <f>SUMIFS('SM-EST-Flex Duct'!I:I,SM_FlexDuctName,FlexDuctTable[[#This Row],[Column1]])*24</f>
        <v>0</v>
      </c>
      <c r="E20" s="103" t="str">
        <f t="shared" si="0"/>
        <v/>
      </c>
      <c r="F20" s="147">
        <f>SUMIFS('SM-EST-Flex Duct'!J:J,SM_FlexDuctName,FlexDuctTable[[#This Row],[Column1]])</f>
        <v>0</v>
      </c>
      <c r="G20" s="147"/>
      <c r="H20" s="16"/>
      <c r="I20"/>
      <c r="J20" s="120"/>
    </row>
    <row r="21" spans="2:10" x14ac:dyDescent="0.3">
      <c r="B21" s="122" t="str">
        <f>IF(Lists!I14="","",Lists!I14)</f>
        <v/>
      </c>
      <c r="C21" s="138">
        <f>SUMIFS('SM-EST-Flex Duct'!H:H,SM_FlexDuctName,FlexDuctTable[[#This Row],[Column1]])</f>
        <v>0</v>
      </c>
      <c r="D21" s="143">
        <f>SUMIFS('SM-EST-Flex Duct'!I:I,SM_FlexDuctName,FlexDuctTable[[#This Row],[Column1]])*24</f>
        <v>0</v>
      </c>
      <c r="E21" s="103" t="str">
        <f t="shared" si="0"/>
        <v/>
      </c>
      <c r="F21" s="147">
        <f>SUMIFS('SM-EST-Flex Duct'!J:J,SM_FlexDuctName,FlexDuctTable[[#This Row],[Column1]])</f>
        <v>0</v>
      </c>
      <c r="G21" s="147"/>
      <c r="H21" s="16"/>
      <c r="I21"/>
      <c r="J21" s="120"/>
    </row>
    <row r="22" spans="2:10" x14ac:dyDescent="0.3">
      <c r="B22" s="122" t="str">
        <f>IF(Lists!I15="","",Lists!I15)</f>
        <v/>
      </c>
      <c r="C22" s="138">
        <f>SUMIFS('SM-EST-Flex Duct'!H:H,SM_FlexDuctName,FlexDuctTable[[#This Row],[Column1]])</f>
        <v>0</v>
      </c>
      <c r="D22" s="143">
        <f>SUMIFS('SM-EST-Flex Duct'!I:I,SM_FlexDuctName,FlexDuctTable[[#This Row],[Column1]])*24</f>
        <v>0</v>
      </c>
      <c r="E22" s="103" t="str">
        <f t="shared" si="0"/>
        <v/>
      </c>
      <c r="F22" s="147">
        <f>SUMIFS('SM-EST-Flex Duct'!J:J,SM_FlexDuctName,FlexDuctTable[[#This Row],[Column1]])</f>
        <v>0</v>
      </c>
      <c r="G22" s="147"/>
      <c r="H22" s="16"/>
      <c r="I22"/>
      <c r="J22" s="120"/>
    </row>
    <row r="23" spans="2:10" x14ac:dyDescent="0.3">
      <c r="B23" s="122" t="str">
        <f>IF(Lists!I16="","",Lists!I16)</f>
        <v/>
      </c>
      <c r="C23" s="138">
        <f>SUMIFS('SM-EST-Flex Duct'!H:H,SM_FlexDuctName,FlexDuctTable[[#This Row],[Column1]])</f>
        <v>0</v>
      </c>
      <c r="D23" s="143">
        <f>SUMIFS('SM-EST-Flex Duct'!I:I,SM_FlexDuctName,FlexDuctTable[[#This Row],[Column1]])*24</f>
        <v>0</v>
      </c>
      <c r="E23" s="103" t="str">
        <f t="shared" si="0"/>
        <v/>
      </c>
      <c r="F23" s="147">
        <f>SUMIFS('SM-EST-Flex Duct'!J:J,SM_FlexDuctName,FlexDuctTable[[#This Row],[Column1]])</f>
        <v>0</v>
      </c>
      <c r="G23" s="147"/>
      <c r="H23" s="16"/>
      <c r="I23"/>
      <c r="J23" s="120"/>
    </row>
    <row r="24" spans="2:10" x14ac:dyDescent="0.3">
      <c r="B24" s="122" t="str">
        <f>IF(Lists!I17="","",Lists!I17)</f>
        <v/>
      </c>
      <c r="C24" s="138">
        <f>SUMIFS('SM-EST-Flex Duct'!H:H,SM_FlexDuctName,FlexDuctTable[[#This Row],[Column1]])</f>
        <v>0</v>
      </c>
      <c r="D24" s="143">
        <f>SUMIFS('SM-EST-Flex Duct'!I:I,SM_FlexDuctName,FlexDuctTable[[#This Row],[Column1]])*24</f>
        <v>0</v>
      </c>
      <c r="E24" s="103" t="str">
        <f t="shared" si="0"/>
        <v/>
      </c>
      <c r="F24" s="147">
        <f>SUMIFS('SM-EST-Flex Duct'!J:J,SM_FlexDuctName,FlexDuctTable[[#This Row],[Column1]])</f>
        <v>0</v>
      </c>
      <c r="G24" s="147"/>
      <c r="H24" s="16"/>
      <c r="I24"/>
      <c r="J24" s="120"/>
    </row>
    <row r="25" spans="2:10" x14ac:dyDescent="0.3">
      <c r="B25" s="122" t="str">
        <f>IF(Lists!I18="","",Lists!I18)</f>
        <v/>
      </c>
      <c r="C25" s="138">
        <f>SUMIFS('SM-EST-Flex Duct'!H:H,SM_FlexDuctName,FlexDuctTable[[#This Row],[Column1]])</f>
        <v>0</v>
      </c>
      <c r="D25" s="143">
        <f>SUMIFS('SM-EST-Flex Duct'!I:I,SM_FlexDuctName,FlexDuctTable[[#This Row],[Column1]])*24</f>
        <v>0</v>
      </c>
      <c r="E25" s="103" t="str">
        <f t="shared" si="0"/>
        <v/>
      </c>
      <c r="F25" s="147">
        <f>SUMIFS('SM-EST-Flex Duct'!J:J,SM_FlexDuctName,FlexDuctTable[[#This Row],[Column1]])</f>
        <v>0</v>
      </c>
      <c r="G25" s="147"/>
      <c r="H25" s="16"/>
      <c r="I25"/>
      <c r="J25" s="120"/>
    </row>
    <row r="26" spans="2:10" x14ac:dyDescent="0.3">
      <c r="B26" s="122" t="str">
        <f>IF(Lists!I19="","",Lists!I19)</f>
        <v/>
      </c>
      <c r="C26" s="138">
        <f>SUMIFS('SM-EST-Flex Duct'!H:H,SM_FlexDuctName,FlexDuctTable[[#This Row],[Column1]])</f>
        <v>0</v>
      </c>
      <c r="D26" s="143">
        <f>SUMIFS('SM-EST-Flex Duct'!I:I,SM_FlexDuctName,FlexDuctTable[[#This Row],[Column1]])*24</f>
        <v>0</v>
      </c>
      <c r="E26" s="103" t="str">
        <f t="shared" si="0"/>
        <v/>
      </c>
      <c r="F26" s="147">
        <f>SUMIFS('SM-EST-Flex Duct'!J:J,SM_FlexDuctName,FlexDuctTable[[#This Row],[Column1]])</f>
        <v>0</v>
      </c>
      <c r="G26" s="147"/>
      <c r="H26" s="16"/>
      <c r="I26"/>
      <c r="J26" s="120"/>
    </row>
    <row r="27" spans="2:10" x14ac:dyDescent="0.3">
      <c r="B27" s="122" t="str">
        <f>IF(Lists!I20="","",Lists!I20)</f>
        <v/>
      </c>
      <c r="C27" s="138">
        <f>SUMIFS('SM-EST-Flex Duct'!H:H,SM_FlexDuctName,FlexDuctTable[[#This Row],[Column1]])</f>
        <v>0</v>
      </c>
      <c r="D27" s="143">
        <f>SUMIFS('SM-EST-Flex Duct'!I:I,SM_FlexDuctName,FlexDuctTable[[#This Row],[Column1]])*24</f>
        <v>0</v>
      </c>
      <c r="E27" s="103" t="str">
        <f t="shared" si="0"/>
        <v/>
      </c>
      <c r="F27" s="147">
        <f>SUMIFS('SM-EST-Flex Duct'!J:J,SM_FlexDuctName,FlexDuctTable[[#This Row],[Column1]])</f>
        <v>0</v>
      </c>
      <c r="G27" s="147"/>
      <c r="H27" s="16"/>
      <c r="I27"/>
      <c r="J27" s="120"/>
    </row>
    <row r="28" spans="2:10" x14ac:dyDescent="0.3">
      <c r="B28" s="122" t="str">
        <f>IF(Lists!I21="","",Lists!I21)</f>
        <v/>
      </c>
      <c r="C28" s="138">
        <f>SUMIFS('SM-EST-Flex Duct'!H:H,SM_FlexDuctName,FlexDuctTable[[#This Row],[Column1]])</f>
        <v>0</v>
      </c>
      <c r="D28" s="143">
        <f>SUMIFS('SM-EST-Flex Duct'!I:I,SM_FlexDuctName,FlexDuctTable[[#This Row],[Column1]])*24</f>
        <v>0</v>
      </c>
      <c r="E28" s="103" t="str">
        <f t="shared" si="0"/>
        <v/>
      </c>
      <c r="F28" s="147">
        <f>SUMIFS('SM-EST-Flex Duct'!J:J,SM_FlexDuctName,FlexDuctTable[[#This Row],[Column1]])</f>
        <v>0</v>
      </c>
      <c r="G28" s="147"/>
      <c r="H28" s="16"/>
      <c r="I28"/>
      <c r="J28" s="120"/>
    </row>
    <row r="29" spans="2:10" x14ac:dyDescent="0.3">
      <c r="B29" s="122" t="str">
        <f>IF(Lists!I22="","",Lists!I22)</f>
        <v/>
      </c>
      <c r="C29" s="138">
        <f>SUMIFS('SM-EST-Flex Duct'!H:H,SM_FlexDuctName,FlexDuctTable[[#This Row],[Column1]])</f>
        <v>0</v>
      </c>
      <c r="D29" s="143">
        <f>SUMIFS('SM-EST-Flex Duct'!I:I,SM_FlexDuctName,FlexDuctTable[[#This Row],[Column1]])*24</f>
        <v>0</v>
      </c>
      <c r="E29" s="103" t="str">
        <f t="shared" si="0"/>
        <v/>
      </c>
      <c r="F29" s="147">
        <f>SUMIFS('SM-EST-Flex Duct'!J:J,SM_FlexDuctName,FlexDuctTable[[#This Row],[Column1]])</f>
        <v>0</v>
      </c>
      <c r="G29" s="147"/>
      <c r="H29" s="16"/>
      <c r="I29"/>
      <c r="J29" s="120"/>
    </row>
    <row r="30" spans="2:10" x14ac:dyDescent="0.3">
      <c r="B30" s="122" t="str">
        <f>IF(Lists!I23="","",Lists!I23)</f>
        <v/>
      </c>
      <c r="C30" s="138">
        <f>SUMIFS('SM-EST-Flex Duct'!H:H,SM_FlexDuctName,FlexDuctTable[[#This Row],[Column1]])</f>
        <v>0</v>
      </c>
      <c r="D30" s="143">
        <f>SUMIFS('SM-EST-Flex Duct'!I:I,SM_FlexDuctName,FlexDuctTable[[#This Row],[Column1]])*24</f>
        <v>0</v>
      </c>
      <c r="E30" s="103" t="str">
        <f t="shared" si="0"/>
        <v/>
      </c>
      <c r="F30" s="147">
        <f>SUMIFS('SM-EST-Flex Duct'!J:J,SM_FlexDuctName,FlexDuctTable[[#This Row],[Column1]])</f>
        <v>0</v>
      </c>
      <c r="G30" s="147"/>
      <c r="H30" s="16"/>
      <c r="I30"/>
      <c r="J30" s="120"/>
    </row>
    <row r="31" spans="2:10" x14ac:dyDescent="0.3">
      <c r="B31" s="122" t="str">
        <f>IF(Lists!I24="","",Lists!I24)</f>
        <v/>
      </c>
      <c r="C31" s="138">
        <f>SUMIFS('SM-EST-Flex Duct'!H:H,SM_FlexDuctName,FlexDuctTable[[#This Row],[Column1]])</f>
        <v>0</v>
      </c>
      <c r="D31" s="143">
        <f>SUMIFS('SM-EST-Flex Duct'!I:I,SM_FlexDuctName,FlexDuctTable[[#This Row],[Column1]])*24</f>
        <v>0</v>
      </c>
      <c r="E31" s="103" t="str">
        <f t="shared" si="0"/>
        <v/>
      </c>
      <c r="F31" s="147">
        <f>SUMIFS('SM-EST-Flex Duct'!J:J,SM_FlexDuctName,FlexDuctTable[[#This Row],[Column1]])</f>
        <v>0</v>
      </c>
      <c r="G31" s="147"/>
      <c r="H31" s="16"/>
      <c r="I31"/>
      <c r="J31" s="120"/>
    </row>
    <row r="32" spans="2:10" x14ac:dyDescent="0.3">
      <c r="B32" s="122" t="str">
        <f>IF(Lists!I25="","",Lists!I25)</f>
        <v/>
      </c>
      <c r="C32" s="138">
        <f>SUMIFS('SM-EST-Flex Duct'!H:H,SM_FlexDuctName,FlexDuctTable[[#This Row],[Column1]])</f>
        <v>0</v>
      </c>
      <c r="D32" s="143">
        <f>SUMIFS('SM-EST-Flex Duct'!I:I,SM_FlexDuctName,FlexDuctTable[[#This Row],[Column1]])*24</f>
        <v>0</v>
      </c>
      <c r="E32" s="103" t="str">
        <f t="shared" si="0"/>
        <v/>
      </c>
      <c r="F32" s="147">
        <f>SUMIFS('SM-EST-Flex Duct'!J:J,SM_FlexDuctName,FlexDuctTable[[#This Row],[Column1]])</f>
        <v>0</v>
      </c>
      <c r="G32" s="147"/>
      <c r="H32" s="21"/>
      <c r="I32"/>
      <c r="J32" s="120"/>
    </row>
    <row r="33" spans="2:10" x14ac:dyDescent="0.3">
      <c r="B33" s="172" t="str">
        <f>IF(SUM(I9:I10)&gt;2,"Total w/Multiplier","Total")</f>
        <v>Total</v>
      </c>
      <c r="C33" s="146">
        <f>SUBTOTAL(109,FlexDuctTable[Column2])</f>
        <v>0</v>
      </c>
      <c r="D33" s="145">
        <f>SUBTOTAL(109,FlexDuctTable[Etime])*I9</f>
        <v>0</v>
      </c>
      <c r="E33" s="127" t="str">
        <f>IF(D33=0,"","hrs")</f>
        <v/>
      </c>
      <c r="F33" s="49">
        <f>SUBTOTAL(109,FlexDuctTable[Cost])*I10</f>
        <v>0</v>
      </c>
      <c r="G33" s="247"/>
      <c r="J33" s="120"/>
    </row>
    <row r="34" spans="2:10" x14ac:dyDescent="0.3">
      <c r="G34" s="218"/>
    </row>
    <row r="35" spans="2:10" x14ac:dyDescent="0.3">
      <c r="G35" s="218"/>
    </row>
  </sheetData>
  <sheetProtection sheet="1" objects="1" scenarios="1" selectLockedCells="1"/>
  <conditionalFormatting sqref="B33">
    <cfRule type="expression" dxfId="93" priority="1">
      <formula>B33="Total w/multiplier"</formula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50"/>
  <sheetViews>
    <sheetView workbookViewId="0">
      <selection activeCell="C14" sqref="C14"/>
    </sheetView>
  </sheetViews>
  <sheetFormatPr defaultColWidth="8.88671875" defaultRowHeight="14.4" x14ac:dyDescent="0.3"/>
  <cols>
    <col min="1" max="1" width="10.6640625" style="175" bestFit="1" customWidth="1"/>
    <col min="2" max="2" width="16" style="175" bestFit="1" customWidth="1"/>
    <col min="3" max="3" width="28.33203125" style="175" bestFit="1" customWidth="1"/>
    <col min="4" max="4" width="25.5546875" style="175" bestFit="1" customWidth="1"/>
    <col min="5" max="5" width="27.5546875" style="175" bestFit="1" customWidth="1"/>
    <col min="6" max="6" width="28.44140625" style="175" bestFit="1" customWidth="1"/>
    <col min="7" max="7" width="19.88671875" style="175" bestFit="1" customWidth="1"/>
    <col min="8" max="8" width="26.44140625" style="175" bestFit="1" customWidth="1"/>
    <col min="9" max="9" width="14.109375" style="175" bestFit="1" customWidth="1"/>
    <col min="10" max="10" width="23.88671875" style="175" bestFit="1" customWidth="1"/>
    <col min="11" max="11" width="17.6640625" style="175" bestFit="1" customWidth="1"/>
    <col min="12" max="16384" width="8.88671875" style="175"/>
  </cols>
  <sheetData>
    <row r="1" spans="1:11" s="174" customFormat="1" x14ac:dyDescent="0.3">
      <c r="A1" s="11"/>
      <c r="B1" s="11"/>
      <c r="C1" s="11"/>
      <c r="D1" s="11"/>
      <c r="E1" s="11"/>
      <c r="F1" s="11"/>
      <c r="G1" s="11"/>
      <c r="H1" s="11"/>
      <c r="I1" s="11"/>
      <c r="J1" s="11"/>
      <c r="K1" s="226"/>
    </row>
    <row r="2" spans="1:11" x14ac:dyDescent="0.3">
      <c r="A2"/>
      <c r="B2" s="173"/>
      <c r="C2" s="39"/>
      <c r="D2" s="39"/>
      <c r="E2" s="39"/>
      <c r="F2" s="39"/>
      <c r="G2" s="39"/>
      <c r="H2" s="39"/>
      <c r="I2" s="39"/>
      <c r="J2" s="39"/>
      <c r="K2" s="250"/>
    </row>
    <row r="3" spans="1:11" x14ac:dyDescent="0.3">
      <c r="A3"/>
      <c r="B3" s="173"/>
      <c r="C3" s="39"/>
      <c r="D3" s="39"/>
      <c r="E3" s="39"/>
      <c r="F3" s="39"/>
      <c r="G3" s="39"/>
      <c r="H3" s="39"/>
      <c r="J3" s="39"/>
      <c r="K3" s="250"/>
    </row>
    <row r="4" spans="1:11" x14ac:dyDescent="0.3">
      <c r="A4" s="172"/>
      <c r="B4" s="172"/>
      <c r="C4" s="39"/>
      <c r="D4" s="39"/>
      <c r="E4" s="39"/>
      <c r="F4" s="39"/>
      <c r="G4" s="39"/>
      <c r="H4" s="39"/>
      <c r="J4" s="39"/>
      <c r="K4" s="212"/>
    </row>
    <row r="5" spans="1:11" x14ac:dyDescent="0.3">
      <c r="C5" s="39"/>
      <c r="D5" s="39"/>
      <c r="E5" s="39"/>
      <c r="F5" s="39"/>
      <c r="G5" s="39"/>
      <c r="H5" s="39"/>
      <c r="J5" s="39"/>
    </row>
    <row r="6" spans="1:11" x14ac:dyDescent="0.3">
      <c r="C6" s="39"/>
      <c r="D6" s="39"/>
      <c r="E6" s="39"/>
      <c r="F6" s="39"/>
      <c r="G6" s="39"/>
      <c r="H6" s="39"/>
    </row>
    <row r="7" spans="1:11" x14ac:dyDescent="0.3">
      <c r="C7" s="39"/>
      <c r="D7" s="39"/>
      <c r="E7" s="39"/>
      <c r="F7" s="39"/>
      <c r="G7" s="39"/>
      <c r="H7" s="39"/>
    </row>
    <row r="8" spans="1:11" x14ac:dyDescent="0.3">
      <c r="C8" s="39"/>
      <c r="D8" s="39"/>
      <c r="E8" s="39"/>
      <c r="F8" s="39"/>
      <c r="G8" s="39"/>
      <c r="H8" s="39"/>
    </row>
    <row r="9" spans="1:11" x14ac:dyDescent="0.3">
      <c r="C9" s="39"/>
      <c r="D9" s="39"/>
      <c r="F9" s="39"/>
      <c r="G9" s="39"/>
      <c r="H9" s="39"/>
    </row>
    <row r="10" spans="1:11" x14ac:dyDescent="0.3">
      <c r="C10" s="39"/>
      <c r="D10" s="39"/>
      <c r="F10" s="39"/>
      <c r="G10" s="39"/>
      <c r="H10" s="39"/>
    </row>
    <row r="11" spans="1:11" x14ac:dyDescent="0.3">
      <c r="C11" s="39"/>
      <c r="D11" s="39"/>
      <c r="F11" s="39"/>
      <c r="H11" s="39"/>
    </row>
    <row r="12" spans="1:11" x14ac:dyDescent="0.3">
      <c r="C12" s="39"/>
      <c r="F12" s="39"/>
    </row>
    <row r="13" spans="1:11" x14ac:dyDescent="0.3">
      <c r="C13" s="39"/>
      <c r="F13" s="39"/>
    </row>
    <row r="14" spans="1:11" x14ac:dyDescent="0.3">
      <c r="C14" s="39"/>
      <c r="F14" s="39"/>
    </row>
    <row r="15" spans="1:11" x14ac:dyDescent="0.3">
      <c r="C15" s="39"/>
      <c r="F15" s="39"/>
    </row>
    <row r="16" spans="1:11" x14ac:dyDescent="0.3">
      <c r="C16" s="39"/>
      <c r="F16" s="39"/>
    </row>
    <row r="17" spans="3:6" x14ac:dyDescent="0.3">
      <c r="C17" s="39"/>
      <c r="F17" s="39"/>
    </row>
    <row r="18" spans="3:6" x14ac:dyDescent="0.3">
      <c r="C18" s="39"/>
      <c r="F18" s="39"/>
    </row>
    <row r="19" spans="3:6" x14ac:dyDescent="0.3">
      <c r="C19" s="39"/>
      <c r="F19" s="39"/>
    </row>
    <row r="20" spans="3:6" x14ac:dyDescent="0.3">
      <c r="C20" s="39"/>
      <c r="F20" s="39"/>
    </row>
    <row r="21" spans="3:6" x14ac:dyDescent="0.3">
      <c r="C21" s="39"/>
    </row>
    <row r="22" spans="3:6" x14ac:dyDescent="0.3">
      <c r="C22" s="39"/>
    </row>
    <row r="23" spans="3:6" x14ac:dyDescent="0.3">
      <c r="C23" s="39"/>
    </row>
    <row r="24" spans="3:6" x14ac:dyDescent="0.3">
      <c r="C24" s="39"/>
    </row>
    <row r="25" spans="3:6" x14ac:dyDescent="0.3">
      <c r="C25" s="39"/>
    </row>
    <row r="26" spans="3:6" x14ac:dyDescent="0.3">
      <c r="C26" s="39"/>
    </row>
    <row r="27" spans="3:6" x14ac:dyDescent="0.3">
      <c r="C27" s="39"/>
    </row>
    <row r="28" spans="3:6" x14ac:dyDescent="0.3">
      <c r="C28" s="39"/>
    </row>
    <row r="29" spans="3:6" x14ac:dyDescent="0.3">
      <c r="C29" s="39"/>
    </row>
    <row r="30" spans="3:6" x14ac:dyDescent="0.3">
      <c r="C30" s="39"/>
    </row>
    <row r="31" spans="3:6" x14ac:dyDescent="0.3">
      <c r="C31" s="39"/>
    </row>
    <row r="32" spans="3:6" x14ac:dyDescent="0.3">
      <c r="C32"/>
    </row>
    <row r="33" spans="3:3" x14ac:dyDescent="0.3">
      <c r="C33"/>
    </row>
    <row r="34" spans="3:3" x14ac:dyDescent="0.3">
      <c r="C34"/>
    </row>
    <row r="35" spans="3:3" x14ac:dyDescent="0.3">
      <c r="C35"/>
    </row>
    <row r="36" spans="3:3" x14ac:dyDescent="0.3">
      <c r="C36"/>
    </row>
    <row r="37" spans="3:3" x14ac:dyDescent="0.3">
      <c r="C37"/>
    </row>
    <row r="38" spans="3:3" x14ac:dyDescent="0.3">
      <c r="C38"/>
    </row>
    <row r="39" spans="3:3" x14ac:dyDescent="0.3">
      <c r="C39"/>
    </row>
    <row r="40" spans="3:3" x14ac:dyDescent="0.3">
      <c r="C40"/>
    </row>
    <row r="41" spans="3:3" x14ac:dyDescent="0.3">
      <c r="C41"/>
    </row>
    <row r="42" spans="3:3" x14ac:dyDescent="0.3">
      <c r="C42"/>
    </row>
    <row r="43" spans="3:3" x14ac:dyDescent="0.3">
      <c r="C43"/>
    </row>
    <row r="44" spans="3:3" x14ac:dyDescent="0.3">
      <c r="C44"/>
    </row>
    <row r="45" spans="3:3" x14ac:dyDescent="0.3">
      <c r="C45"/>
    </row>
    <row r="46" spans="3:3" x14ac:dyDescent="0.3">
      <c r="C46"/>
    </row>
    <row r="47" spans="3:3" x14ac:dyDescent="0.3">
      <c r="C47"/>
    </row>
    <row r="48" spans="3:3" x14ac:dyDescent="0.3">
      <c r="C48"/>
    </row>
    <row r="49" spans="3:3" x14ac:dyDescent="0.3">
      <c r="C49"/>
    </row>
    <row r="50" spans="3:3" x14ac:dyDescent="0.3">
      <c r="C50"/>
    </row>
  </sheetData>
  <pageMargins left="0.7" right="0.7" top="0.75" bottom="0.75" header="0.3" footer="0.3"/>
  <pageSetup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B1:L33"/>
  <sheetViews>
    <sheetView showGridLines="0" workbookViewId="0">
      <selection activeCell="K9" sqref="K9"/>
    </sheetView>
  </sheetViews>
  <sheetFormatPr defaultRowHeight="14.4" x14ac:dyDescent="0.3"/>
  <cols>
    <col min="1" max="1" width="9.109375" customWidth="1"/>
    <col min="2" max="2" width="33.6640625" customWidth="1"/>
    <col min="3" max="3" width="10" style="17" customWidth="1"/>
    <col min="4" max="5" width="8.6640625" style="17" customWidth="1"/>
    <col min="6" max="6" width="8.6640625" style="20" customWidth="1"/>
    <col min="7" max="7" width="8.6640625" style="17" customWidth="1"/>
    <col min="8" max="8" width="13.5546875" customWidth="1"/>
    <col min="9" max="9" width="5.6640625" customWidth="1"/>
    <col min="10" max="10" width="10.6640625" customWidth="1"/>
    <col min="11" max="11" width="6.6640625" style="120" customWidth="1"/>
    <col min="12" max="12" width="8.6640625" customWidth="1"/>
  </cols>
  <sheetData>
    <row r="1" spans="2:12" ht="6" customHeight="1" x14ac:dyDescent="0.3">
      <c r="L1" s="1"/>
    </row>
    <row r="2" spans="2:12" ht="39" customHeight="1" thickBot="1" x14ac:dyDescent="0.45">
      <c r="B2" s="2" t="s">
        <v>124</v>
      </c>
      <c r="C2" s="72"/>
      <c r="D2" s="72"/>
      <c r="E2" s="72"/>
      <c r="F2" s="55"/>
      <c r="G2" s="72"/>
      <c r="H2" s="2"/>
      <c r="I2" s="2"/>
      <c r="J2" s="2"/>
      <c r="K2" s="2"/>
      <c r="L2" s="19"/>
    </row>
    <row r="3" spans="2:12" ht="9" customHeight="1" thickTop="1" x14ac:dyDescent="0.3">
      <c r="K3"/>
      <c r="L3" s="1"/>
    </row>
    <row r="4" spans="2:12" x14ac:dyDescent="0.3">
      <c r="B4" s="3" t="str">
        <f>IF(ProjectName="","",ProjectName)</f>
        <v/>
      </c>
      <c r="J4" s="5" t="s">
        <v>15</v>
      </c>
      <c r="K4" s="119" t="str">
        <f>IF(EstimatorName="","",EstimatorName)</f>
        <v/>
      </c>
      <c r="L4" s="1"/>
    </row>
    <row r="5" spans="2:12" ht="15" customHeight="1" x14ac:dyDescent="0.3">
      <c r="B5" s="9" t="str">
        <f>IF(ProjectAddress="","",ProjectAddress)</f>
        <v/>
      </c>
      <c r="J5" s="5" t="s">
        <v>16</v>
      </c>
      <c r="K5" s="119" t="str">
        <f>IF(EstimateNo="","",EstimateNo)</f>
        <v/>
      </c>
      <c r="L5" s="1"/>
    </row>
    <row r="6" spans="2:12" ht="15" customHeight="1" x14ac:dyDescent="0.3">
      <c r="B6" s="9"/>
      <c r="J6" s="5"/>
      <c r="K6" s="119"/>
      <c r="L6" s="1"/>
    </row>
    <row r="7" spans="2:12" ht="23.4" x14ac:dyDescent="0.45">
      <c r="B7" s="6" t="s">
        <v>120</v>
      </c>
    </row>
    <row r="8" spans="2:12" ht="18" x14ac:dyDescent="0.35">
      <c r="B8" s="12" t="s">
        <v>50</v>
      </c>
      <c r="C8" s="142" t="s">
        <v>90</v>
      </c>
      <c r="D8" s="126" t="s">
        <v>39</v>
      </c>
      <c r="E8" s="126"/>
      <c r="F8" s="126" t="s">
        <v>40</v>
      </c>
      <c r="G8" s="126"/>
      <c r="H8" s="46" t="s">
        <v>94</v>
      </c>
      <c r="J8" s="129" t="s">
        <v>92</v>
      </c>
      <c r="K8" s="130"/>
    </row>
    <row r="9" spans="2:12" x14ac:dyDescent="0.3">
      <c r="B9" s="122" t="str">
        <f>IF(Lists!J2="","",Lists!J2)</f>
        <v/>
      </c>
      <c r="C9" s="138">
        <f>SUMIFS('SM-EST-Sleeves'!H:H,SM_SleeveName,SleevesTable[[#This Row],[Column1]])</f>
        <v>0</v>
      </c>
      <c r="D9" s="143">
        <f>SUMIFS('SM-EST-Sleeves'!I:I,SM_SleeveName,SleevesTable[[#This Row],[Column1]])*24</f>
        <v>0</v>
      </c>
      <c r="E9" s="103" t="str">
        <f t="shared" ref="E9:E32" si="0">IF(D9=0,"","hrs")</f>
        <v/>
      </c>
      <c r="F9" s="143">
        <f>SUMIFS('SM-EST-Sleeves'!J:J,SM_SleeveName,SleevesTable[[#This Row],[Column1]])*24</f>
        <v>0</v>
      </c>
      <c r="G9" s="103" t="str">
        <f t="shared" ref="G9:G32" si="1">IF(F9=0,"","hrs")</f>
        <v/>
      </c>
      <c r="H9" s="147">
        <f>SUMIFS('SM-EST-Sleeves'!K:K,SM_SleeveName,SleevesTable[[#This Row],[Column1]])</f>
        <v>0</v>
      </c>
      <c r="J9" s="131" t="s">
        <v>39</v>
      </c>
      <c r="K9" s="220">
        <v>1</v>
      </c>
    </row>
    <row r="10" spans="2:12" x14ac:dyDescent="0.3">
      <c r="B10" s="122" t="str">
        <f>IF(Lists!J3="","",Lists!J3)</f>
        <v/>
      </c>
      <c r="C10" s="138">
        <f>SUMIFS('SM-EST-Sleeves'!H:H,SM_SleeveName,SleevesTable[[#This Row],[Column1]])</f>
        <v>0</v>
      </c>
      <c r="D10" s="143">
        <f>SUMIFS('SM-EST-Sleeves'!I:I,SM_SleeveName,SleevesTable[[#This Row],[Column1]])*24</f>
        <v>0</v>
      </c>
      <c r="E10" s="103" t="str">
        <f t="shared" si="0"/>
        <v/>
      </c>
      <c r="F10" s="143">
        <f>SUMIFS('SM-EST-Sleeves'!J:J,SM_SleeveName,SleevesTable[[#This Row],[Column1]])*24</f>
        <v>0</v>
      </c>
      <c r="G10" s="103" t="str">
        <f t="shared" si="1"/>
        <v/>
      </c>
      <c r="H10" s="147">
        <f>SUMIFS('SM-EST-Sleeves'!K:K,SM_SleeveName,SleevesTable[[#This Row],[Column1]])</f>
        <v>0</v>
      </c>
      <c r="J10" s="132" t="s">
        <v>40</v>
      </c>
      <c r="K10" s="221">
        <v>1</v>
      </c>
    </row>
    <row r="11" spans="2:12" x14ac:dyDescent="0.3">
      <c r="B11" s="122" t="str">
        <f>IF(Lists!J4="","",Lists!J4)</f>
        <v/>
      </c>
      <c r="C11" s="138">
        <f>SUMIFS('SM-EST-Sleeves'!H:H,SM_SleeveName,SleevesTable[[#This Row],[Column1]])</f>
        <v>0</v>
      </c>
      <c r="D11" s="143">
        <f>SUMIFS('SM-EST-Sleeves'!I:I,SM_SleeveName,SleevesTable[[#This Row],[Column1]])*24</f>
        <v>0</v>
      </c>
      <c r="E11" s="103" t="str">
        <f t="shared" si="0"/>
        <v/>
      </c>
      <c r="F11" s="143">
        <f>SUMIFS('SM-EST-Sleeves'!J:J,SM_SleeveName,SleevesTable[[#This Row],[Column1]])*24</f>
        <v>0</v>
      </c>
      <c r="G11" s="103" t="str">
        <f t="shared" si="1"/>
        <v/>
      </c>
      <c r="H11" s="147">
        <f>SUMIFS('SM-EST-Sleeves'!K:K,SM_SleeveName,SleevesTable[[#This Row],[Column1]])</f>
        <v>0</v>
      </c>
      <c r="J11" s="133" t="s">
        <v>48</v>
      </c>
      <c r="K11" s="222">
        <v>1</v>
      </c>
    </row>
    <row r="12" spans="2:12" x14ac:dyDescent="0.3">
      <c r="B12" s="122" t="str">
        <f>IF(Lists!J5="","",Lists!J5)</f>
        <v/>
      </c>
      <c r="C12" s="138">
        <f>SUMIFS('SM-EST-Sleeves'!H:H,SM_SleeveName,SleevesTable[[#This Row],[Column1]])</f>
        <v>0</v>
      </c>
      <c r="D12" s="143">
        <f>SUMIFS('SM-EST-Sleeves'!I:I,SM_SleeveName,SleevesTable[[#This Row],[Column1]])*24</f>
        <v>0</v>
      </c>
      <c r="E12" s="103" t="str">
        <f t="shared" si="0"/>
        <v/>
      </c>
      <c r="F12" s="143">
        <f>SUMIFS('SM-EST-Sleeves'!J:J,SM_SleeveName,SleevesTable[[#This Row],[Column1]])*24</f>
        <v>0</v>
      </c>
      <c r="G12" s="103" t="str">
        <f t="shared" si="1"/>
        <v/>
      </c>
      <c r="H12" s="147">
        <f>SUMIFS('SM-EST-Sleeves'!K:K,SM_SleeveName,SleevesTable[[#This Row],[Column1]])</f>
        <v>0</v>
      </c>
      <c r="J12" s="16"/>
      <c r="K12"/>
      <c r="L12" s="120"/>
    </row>
    <row r="13" spans="2:12" x14ac:dyDescent="0.3">
      <c r="B13" s="122" t="str">
        <f>IF(Lists!J6="","",Lists!J6)</f>
        <v/>
      </c>
      <c r="C13" s="138">
        <f>SUMIFS('SM-EST-Sleeves'!H:H,SM_SleeveName,SleevesTable[[#This Row],[Column1]])</f>
        <v>0</v>
      </c>
      <c r="D13" s="143">
        <f>SUMIFS('SM-EST-Sleeves'!I:I,SM_SleeveName,SleevesTable[[#This Row],[Column1]])*24</f>
        <v>0</v>
      </c>
      <c r="E13" s="103" t="str">
        <f t="shared" si="0"/>
        <v/>
      </c>
      <c r="F13" s="143">
        <f>SUMIFS('SM-EST-Sleeves'!J:J,SM_SleeveName,SleevesTable[[#This Row],[Column1]])*24</f>
        <v>0</v>
      </c>
      <c r="G13" s="103" t="str">
        <f t="shared" si="1"/>
        <v/>
      </c>
      <c r="H13" s="147">
        <f>SUMIFS('SM-EST-Sleeves'!K:K,SM_SleeveName,SleevesTable[[#This Row],[Column1]])</f>
        <v>0</v>
      </c>
      <c r="J13" s="16"/>
      <c r="K13"/>
      <c r="L13" s="120"/>
    </row>
    <row r="14" spans="2:12" x14ac:dyDescent="0.3">
      <c r="B14" s="122" t="str">
        <f>IF(Lists!J7="","",Lists!J7)</f>
        <v/>
      </c>
      <c r="C14" s="138">
        <f>SUMIFS('SM-EST-Sleeves'!H:H,SM_SleeveName,SleevesTable[[#This Row],[Column1]])</f>
        <v>0</v>
      </c>
      <c r="D14" s="143">
        <f>SUMIFS('SM-EST-Sleeves'!I:I,SM_SleeveName,SleevesTable[[#This Row],[Column1]])*24</f>
        <v>0</v>
      </c>
      <c r="E14" s="103" t="str">
        <f t="shared" si="0"/>
        <v/>
      </c>
      <c r="F14" s="143">
        <f>SUMIFS('SM-EST-Sleeves'!J:J,SM_SleeveName,SleevesTable[[#This Row],[Column1]])*24</f>
        <v>0</v>
      </c>
      <c r="G14" s="103" t="str">
        <f t="shared" si="1"/>
        <v/>
      </c>
      <c r="H14" s="147">
        <f>SUMIFS('SM-EST-Sleeves'!K:K,SM_SleeveName,SleevesTable[[#This Row],[Column1]])</f>
        <v>0</v>
      </c>
      <c r="J14" s="16"/>
      <c r="K14"/>
      <c r="L14" s="120"/>
    </row>
    <row r="15" spans="2:12" x14ac:dyDescent="0.3">
      <c r="B15" s="122" t="str">
        <f>IF(Lists!J8="","",Lists!J8)</f>
        <v/>
      </c>
      <c r="C15" s="138">
        <f>SUMIFS('SM-EST-Sleeves'!H:H,SM_SleeveName,SleevesTable[[#This Row],[Column1]])</f>
        <v>0</v>
      </c>
      <c r="D15" s="143">
        <f>SUMIFS('SM-EST-Sleeves'!I:I,SM_SleeveName,SleevesTable[[#This Row],[Column1]])*24</f>
        <v>0</v>
      </c>
      <c r="E15" s="103" t="str">
        <f t="shared" si="0"/>
        <v/>
      </c>
      <c r="F15" s="143">
        <f>SUMIFS('SM-EST-Sleeves'!J:J,SM_SleeveName,SleevesTable[[#This Row],[Column1]])*24</f>
        <v>0</v>
      </c>
      <c r="G15" s="103" t="str">
        <f t="shared" si="1"/>
        <v/>
      </c>
      <c r="H15" s="147">
        <f>SUMIFS('SM-EST-Sleeves'!K:K,SM_SleeveName,SleevesTable[[#This Row],[Column1]])</f>
        <v>0</v>
      </c>
      <c r="J15" s="16"/>
      <c r="K15"/>
      <c r="L15" s="120"/>
    </row>
    <row r="16" spans="2:12" x14ac:dyDescent="0.3">
      <c r="B16" s="122" t="str">
        <f>IF(Lists!J9="","",Lists!J9)</f>
        <v/>
      </c>
      <c r="C16" s="138">
        <f>SUMIFS('SM-EST-Sleeves'!H:H,SM_SleeveName,SleevesTable[[#This Row],[Column1]])</f>
        <v>0</v>
      </c>
      <c r="D16" s="143">
        <f>SUMIFS('SM-EST-Sleeves'!I:I,SM_SleeveName,SleevesTable[[#This Row],[Column1]])*24</f>
        <v>0</v>
      </c>
      <c r="E16" s="103" t="str">
        <f t="shared" si="0"/>
        <v/>
      </c>
      <c r="F16" s="143">
        <f>SUMIFS('SM-EST-Sleeves'!J:J,SM_SleeveName,SleevesTable[[#This Row],[Column1]])*24</f>
        <v>0</v>
      </c>
      <c r="G16" s="103" t="str">
        <f t="shared" si="1"/>
        <v/>
      </c>
      <c r="H16" s="147">
        <f>SUMIFS('SM-EST-Sleeves'!K:K,SM_SleeveName,SleevesTable[[#This Row],[Column1]])</f>
        <v>0</v>
      </c>
      <c r="J16" s="16"/>
      <c r="K16"/>
      <c r="L16" s="120"/>
    </row>
    <row r="17" spans="2:12" x14ac:dyDescent="0.3">
      <c r="B17" s="122" t="str">
        <f>IF(Lists!J10="","",Lists!J10)</f>
        <v/>
      </c>
      <c r="C17" s="138">
        <f>SUMIFS('SM-EST-Sleeves'!H:H,SM_SleeveName,SleevesTable[[#This Row],[Column1]])</f>
        <v>0</v>
      </c>
      <c r="D17" s="143">
        <f>SUMIFS('SM-EST-Sleeves'!I:I,SM_SleeveName,SleevesTable[[#This Row],[Column1]])*24</f>
        <v>0</v>
      </c>
      <c r="E17" s="103" t="str">
        <f t="shared" si="0"/>
        <v/>
      </c>
      <c r="F17" s="143">
        <f>SUMIFS('SM-EST-Sleeves'!J:J,SM_SleeveName,SleevesTable[[#This Row],[Column1]])*24</f>
        <v>0</v>
      </c>
      <c r="G17" s="103" t="str">
        <f t="shared" si="1"/>
        <v/>
      </c>
      <c r="H17" s="147">
        <f>SUMIFS('SM-EST-Sleeves'!K:K,SM_SleeveName,SleevesTable[[#This Row],[Column1]])</f>
        <v>0</v>
      </c>
      <c r="J17" s="16"/>
      <c r="K17"/>
      <c r="L17" s="120"/>
    </row>
    <row r="18" spans="2:12" x14ac:dyDescent="0.3">
      <c r="B18" s="122" t="str">
        <f>IF(Lists!J11="","",Lists!J11)</f>
        <v/>
      </c>
      <c r="C18" s="138">
        <f>SUMIFS('SM-EST-Sleeves'!H:H,SM_SleeveName,SleevesTable[[#This Row],[Column1]])</f>
        <v>0</v>
      </c>
      <c r="D18" s="143">
        <f>SUMIFS('SM-EST-Sleeves'!I:I,SM_SleeveName,SleevesTable[[#This Row],[Column1]])*24</f>
        <v>0</v>
      </c>
      <c r="E18" s="103" t="str">
        <f t="shared" si="0"/>
        <v/>
      </c>
      <c r="F18" s="143">
        <f>SUMIFS('SM-EST-Sleeves'!J:J,SM_SleeveName,SleevesTable[[#This Row],[Column1]])*24</f>
        <v>0</v>
      </c>
      <c r="G18" s="103" t="str">
        <f t="shared" si="1"/>
        <v/>
      </c>
      <c r="H18" s="147">
        <f>SUMIFS('SM-EST-Sleeves'!K:K,SM_SleeveName,SleevesTable[[#This Row],[Column1]])</f>
        <v>0</v>
      </c>
      <c r="J18" s="16"/>
      <c r="K18"/>
      <c r="L18" s="120"/>
    </row>
    <row r="19" spans="2:12" x14ac:dyDescent="0.3">
      <c r="B19" s="122" t="str">
        <f>IF(Lists!J12="","",Lists!J12)</f>
        <v/>
      </c>
      <c r="C19" s="138">
        <f>SUMIFS('SM-EST-Sleeves'!H:H,SM_SleeveName,SleevesTable[[#This Row],[Column1]])</f>
        <v>0</v>
      </c>
      <c r="D19" s="143">
        <f>SUMIFS('SM-EST-Sleeves'!I:I,SM_SleeveName,SleevesTable[[#This Row],[Column1]])*24</f>
        <v>0</v>
      </c>
      <c r="E19" s="103" t="str">
        <f t="shared" si="0"/>
        <v/>
      </c>
      <c r="F19" s="143">
        <f>SUMIFS('SM-EST-Sleeves'!J:J,SM_SleeveName,SleevesTable[[#This Row],[Column1]])*24</f>
        <v>0</v>
      </c>
      <c r="G19" s="103" t="str">
        <f t="shared" si="1"/>
        <v/>
      </c>
      <c r="H19" s="147">
        <f>SUMIFS('SM-EST-Sleeves'!K:K,SM_SleeveName,SleevesTable[[#This Row],[Column1]])</f>
        <v>0</v>
      </c>
      <c r="J19" s="16"/>
      <c r="K19"/>
      <c r="L19" s="120"/>
    </row>
    <row r="20" spans="2:12" x14ac:dyDescent="0.3">
      <c r="B20" s="122" t="str">
        <f>IF(Lists!J13="","",Lists!J13)</f>
        <v/>
      </c>
      <c r="C20" s="138">
        <f>SUMIFS('SM-EST-Sleeves'!H:H,SM_SleeveName,SleevesTable[[#This Row],[Column1]])</f>
        <v>0</v>
      </c>
      <c r="D20" s="143">
        <f>SUMIFS('SM-EST-Sleeves'!I:I,SM_SleeveName,SleevesTable[[#This Row],[Column1]])*24</f>
        <v>0</v>
      </c>
      <c r="E20" s="103" t="str">
        <f t="shared" si="0"/>
        <v/>
      </c>
      <c r="F20" s="143">
        <f>SUMIFS('SM-EST-Sleeves'!J:J,SM_SleeveName,SleevesTable[[#This Row],[Column1]])*24</f>
        <v>0</v>
      </c>
      <c r="G20" s="103" t="str">
        <f t="shared" si="1"/>
        <v/>
      </c>
      <c r="H20" s="147">
        <f>SUMIFS('SM-EST-Sleeves'!K:K,SM_SleeveName,SleevesTable[[#This Row],[Column1]])</f>
        <v>0</v>
      </c>
      <c r="J20" s="16"/>
      <c r="K20"/>
      <c r="L20" s="120"/>
    </row>
    <row r="21" spans="2:12" x14ac:dyDescent="0.3">
      <c r="B21" s="122" t="str">
        <f>IF(Lists!J14="","",Lists!J14)</f>
        <v/>
      </c>
      <c r="C21" s="138">
        <f>SUMIFS('SM-EST-Sleeves'!H:H,SM_SleeveName,SleevesTable[[#This Row],[Column1]])</f>
        <v>0</v>
      </c>
      <c r="D21" s="143">
        <f>SUMIFS('SM-EST-Sleeves'!I:I,SM_SleeveName,SleevesTable[[#This Row],[Column1]])*24</f>
        <v>0</v>
      </c>
      <c r="E21" s="103" t="str">
        <f t="shared" si="0"/>
        <v/>
      </c>
      <c r="F21" s="143">
        <f>SUMIFS('SM-EST-Sleeves'!J:J,SM_SleeveName,SleevesTable[[#This Row],[Column1]])*24</f>
        <v>0</v>
      </c>
      <c r="G21" s="103" t="str">
        <f t="shared" si="1"/>
        <v/>
      </c>
      <c r="H21" s="147">
        <f>SUMIFS('SM-EST-Sleeves'!K:K,SM_SleeveName,SleevesTable[[#This Row],[Column1]])</f>
        <v>0</v>
      </c>
      <c r="J21" s="16"/>
      <c r="K21"/>
      <c r="L21" s="120"/>
    </row>
    <row r="22" spans="2:12" x14ac:dyDescent="0.3">
      <c r="B22" s="122" t="str">
        <f>IF(Lists!J15="","",Lists!J15)</f>
        <v/>
      </c>
      <c r="C22" s="138">
        <f>SUMIFS('SM-EST-Sleeves'!H:H,SM_SleeveName,SleevesTable[[#This Row],[Column1]])</f>
        <v>0</v>
      </c>
      <c r="D22" s="143">
        <f>SUMIFS('SM-EST-Sleeves'!I:I,SM_SleeveName,SleevesTable[[#This Row],[Column1]])*24</f>
        <v>0</v>
      </c>
      <c r="E22" s="103" t="str">
        <f t="shared" si="0"/>
        <v/>
      </c>
      <c r="F22" s="143">
        <f>SUMIFS('SM-EST-Sleeves'!J:J,SM_SleeveName,SleevesTable[[#This Row],[Column1]])*24</f>
        <v>0</v>
      </c>
      <c r="G22" s="103" t="str">
        <f t="shared" si="1"/>
        <v/>
      </c>
      <c r="H22" s="147">
        <f>SUMIFS('SM-EST-Sleeves'!K:K,SM_SleeveName,SleevesTable[[#This Row],[Column1]])</f>
        <v>0</v>
      </c>
      <c r="J22" s="16"/>
      <c r="K22"/>
      <c r="L22" s="120"/>
    </row>
    <row r="23" spans="2:12" x14ac:dyDescent="0.3">
      <c r="B23" s="122" t="str">
        <f>IF(Lists!J16="","",Lists!J16)</f>
        <v/>
      </c>
      <c r="C23" s="138">
        <f>SUMIFS('SM-EST-Sleeves'!H:H,SM_SleeveName,SleevesTable[[#This Row],[Column1]])</f>
        <v>0</v>
      </c>
      <c r="D23" s="143">
        <f>SUMIFS('SM-EST-Sleeves'!I:I,SM_SleeveName,SleevesTable[[#This Row],[Column1]])*24</f>
        <v>0</v>
      </c>
      <c r="E23" s="103" t="str">
        <f t="shared" si="0"/>
        <v/>
      </c>
      <c r="F23" s="143">
        <f>SUMIFS('SM-EST-Sleeves'!J:J,SM_SleeveName,SleevesTable[[#This Row],[Column1]])*24</f>
        <v>0</v>
      </c>
      <c r="G23" s="103" t="str">
        <f t="shared" si="1"/>
        <v/>
      </c>
      <c r="H23" s="147">
        <f>SUMIFS('SM-EST-Sleeves'!K:K,SM_SleeveName,SleevesTable[[#This Row],[Column1]])</f>
        <v>0</v>
      </c>
      <c r="J23" s="16"/>
      <c r="K23"/>
      <c r="L23" s="120"/>
    </row>
    <row r="24" spans="2:12" x14ac:dyDescent="0.3">
      <c r="B24" s="122" t="str">
        <f>IF(Lists!J17="","",Lists!J17)</f>
        <v/>
      </c>
      <c r="C24" s="138">
        <f>SUMIFS('SM-EST-Sleeves'!H:H,SM_SleeveName,SleevesTable[[#This Row],[Column1]])</f>
        <v>0</v>
      </c>
      <c r="D24" s="143">
        <f>SUMIFS('SM-EST-Sleeves'!I:I,SM_SleeveName,SleevesTable[[#This Row],[Column1]])*24</f>
        <v>0</v>
      </c>
      <c r="E24" s="103" t="str">
        <f t="shared" si="0"/>
        <v/>
      </c>
      <c r="F24" s="143">
        <f>SUMIFS('SM-EST-Sleeves'!J:J,SM_SleeveName,SleevesTable[[#This Row],[Column1]])*24</f>
        <v>0</v>
      </c>
      <c r="G24" s="103" t="str">
        <f t="shared" si="1"/>
        <v/>
      </c>
      <c r="H24" s="147">
        <f>SUMIFS('SM-EST-Sleeves'!K:K,SM_SleeveName,SleevesTable[[#This Row],[Column1]])</f>
        <v>0</v>
      </c>
      <c r="J24" s="16"/>
      <c r="K24"/>
      <c r="L24" s="120"/>
    </row>
    <row r="25" spans="2:12" x14ac:dyDescent="0.3">
      <c r="B25" s="122" t="str">
        <f>IF(Lists!J18="","",Lists!J18)</f>
        <v/>
      </c>
      <c r="C25" s="138">
        <f>SUMIFS('SM-EST-Sleeves'!H:H,SM_SleeveName,SleevesTable[[#This Row],[Column1]])</f>
        <v>0</v>
      </c>
      <c r="D25" s="143">
        <f>SUMIFS('SM-EST-Sleeves'!I:I,SM_SleeveName,SleevesTable[[#This Row],[Column1]])*24</f>
        <v>0</v>
      </c>
      <c r="E25" s="103" t="str">
        <f t="shared" si="0"/>
        <v/>
      </c>
      <c r="F25" s="143">
        <f>SUMIFS('SM-EST-Sleeves'!J:J,SM_SleeveName,SleevesTable[[#This Row],[Column1]])*24</f>
        <v>0</v>
      </c>
      <c r="G25" s="103" t="str">
        <f t="shared" si="1"/>
        <v/>
      </c>
      <c r="H25" s="147">
        <f>SUMIFS('SM-EST-Sleeves'!K:K,SM_SleeveName,SleevesTable[[#This Row],[Column1]])</f>
        <v>0</v>
      </c>
      <c r="J25" s="16"/>
      <c r="K25"/>
      <c r="L25" s="120"/>
    </row>
    <row r="26" spans="2:12" x14ac:dyDescent="0.3">
      <c r="B26" s="122" t="str">
        <f>IF(Lists!J19="","",Lists!J19)</f>
        <v/>
      </c>
      <c r="C26" s="138">
        <f>SUMIFS('SM-EST-Sleeves'!H:H,SM_SleeveName,SleevesTable[[#This Row],[Column1]])</f>
        <v>0</v>
      </c>
      <c r="D26" s="143">
        <f>SUMIFS('SM-EST-Sleeves'!I:I,SM_SleeveName,SleevesTable[[#This Row],[Column1]])*24</f>
        <v>0</v>
      </c>
      <c r="E26" s="103" t="str">
        <f t="shared" si="0"/>
        <v/>
      </c>
      <c r="F26" s="143">
        <f>SUMIFS('SM-EST-Sleeves'!J:J,SM_SleeveName,SleevesTable[[#This Row],[Column1]])*24</f>
        <v>0</v>
      </c>
      <c r="G26" s="103" t="str">
        <f t="shared" si="1"/>
        <v/>
      </c>
      <c r="H26" s="147">
        <f>SUMIFS('SM-EST-Sleeves'!K:K,SM_SleeveName,SleevesTable[[#This Row],[Column1]])</f>
        <v>0</v>
      </c>
      <c r="J26" s="16"/>
      <c r="K26"/>
      <c r="L26" s="120"/>
    </row>
    <row r="27" spans="2:12" x14ac:dyDescent="0.3">
      <c r="B27" s="122" t="str">
        <f>IF(Lists!J20="","",Lists!J20)</f>
        <v/>
      </c>
      <c r="C27" s="138">
        <f>SUMIFS('SM-EST-Sleeves'!H:H,SM_SleeveName,SleevesTable[[#This Row],[Column1]])</f>
        <v>0</v>
      </c>
      <c r="D27" s="143">
        <f>SUMIFS('SM-EST-Sleeves'!I:I,SM_SleeveName,SleevesTable[[#This Row],[Column1]])*24</f>
        <v>0</v>
      </c>
      <c r="E27" s="103" t="str">
        <f t="shared" si="0"/>
        <v/>
      </c>
      <c r="F27" s="143">
        <f>SUMIFS('SM-EST-Sleeves'!J:J,SM_SleeveName,SleevesTable[[#This Row],[Column1]])*24</f>
        <v>0</v>
      </c>
      <c r="G27" s="103" t="str">
        <f t="shared" si="1"/>
        <v/>
      </c>
      <c r="H27" s="147">
        <f>SUMIFS('SM-EST-Sleeves'!K:K,SM_SleeveName,SleevesTable[[#This Row],[Column1]])</f>
        <v>0</v>
      </c>
      <c r="J27" s="16"/>
      <c r="K27"/>
      <c r="L27" s="120"/>
    </row>
    <row r="28" spans="2:12" x14ac:dyDescent="0.3">
      <c r="B28" s="122" t="str">
        <f>IF(Lists!J21="","",Lists!J21)</f>
        <v/>
      </c>
      <c r="C28" s="138">
        <f>SUMIFS('SM-EST-Sleeves'!H:H,SM_SleeveName,SleevesTable[[#This Row],[Column1]])</f>
        <v>0</v>
      </c>
      <c r="D28" s="143">
        <f>SUMIFS('SM-EST-Sleeves'!I:I,SM_SleeveName,SleevesTable[[#This Row],[Column1]])*24</f>
        <v>0</v>
      </c>
      <c r="E28" s="103" t="str">
        <f t="shared" si="0"/>
        <v/>
      </c>
      <c r="F28" s="143">
        <f>SUMIFS('SM-EST-Sleeves'!J:J,SM_SleeveName,SleevesTable[[#This Row],[Column1]])*24</f>
        <v>0</v>
      </c>
      <c r="G28" s="103" t="str">
        <f t="shared" si="1"/>
        <v/>
      </c>
      <c r="H28" s="147">
        <f>SUMIFS('SM-EST-Sleeves'!K:K,SM_SleeveName,SleevesTable[[#This Row],[Column1]])</f>
        <v>0</v>
      </c>
      <c r="J28" s="16"/>
      <c r="K28"/>
      <c r="L28" s="120"/>
    </row>
    <row r="29" spans="2:12" x14ac:dyDescent="0.3">
      <c r="B29" s="122" t="str">
        <f>IF(Lists!J22="","",Lists!J22)</f>
        <v/>
      </c>
      <c r="C29" s="138">
        <f>SUMIFS('SM-EST-Sleeves'!H:H,SM_SleeveName,SleevesTable[[#This Row],[Column1]])</f>
        <v>0</v>
      </c>
      <c r="D29" s="143">
        <f>SUMIFS('SM-EST-Sleeves'!I:I,SM_SleeveName,SleevesTable[[#This Row],[Column1]])*24</f>
        <v>0</v>
      </c>
      <c r="E29" s="103" t="str">
        <f t="shared" si="0"/>
        <v/>
      </c>
      <c r="F29" s="143">
        <f>SUMIFS('SM-EST-Sleeves'!J:J,SM_SleeveName,SleevesTable[[#This Row],[Column1]])*24</f>
        <v>0</v>
      </c>
      <c r="G29" s="103" t="str">
        <f t="shared" si="1"/>
        <v/>
      </c>
      <c r="H29" s="147">
        <f>SUMIFS('SM-EST-Sleeves'!K:K,SM_SleeveName,SleevesTable[[#This Row],[Column1]])</f>
        <v>0</v>
      </c>
      <c r="J29" s="16"/>
      <c r="K29"/>
      <c r="L29" s="120"/>
    </row>
    <row r="30" spans="2:12" x14ac:dyDescent="0.3">
      <c r="B30" s="122" t="str">
        <f>IF(Lists!J23="","",Lists!J23)</f>
        <v/>
      </c>
      <c r="C30" s="138">
        <f>SUMIFS('SM-EST-Sleeves'!H:H,SM_SleeveName,SleevesTable[[#This Row],[Column1]])</f>
        <v>0</v>
      </c>
      <c r="D30" s="143">
        <f>SUMIFS('SM-EST-Sleeves'!I:I,SM_SleeveName,SleevesTable[[#This Row],[Column1]])*24</f>
        <v>0</v>
      </c>
      <c r="E30" s="103" t="str">
        <f t="shared" si="0"/>
        <v/>
      </c>
      <c r="F30" s="143">
        <f>SUMIFS('SM-EST-Sleeves'!J:J,SM_SleeveName,SleevesTable[[#This Row],[Column1]])*24</f>
        <v>0</v>
      </c>
      <c r="G30" s="103" t="str">
        <f t="shared" si="1"/>
        <v/>
      </c>
      <c r="H30" s="147">
        <f>SUMIFS('SM-EST-Sleeves'!K:K,SM_SleeveName,SleevesTable[[#This Row],[Column1]])</f>
        <v>0</v>
      </c>
      <c r="J30" s="16"/>
      <c r="K30"/>
      <c r="L30" s="120"/>
    </row>
    <row r="31" spans="2:12" x14ac:dyDescent="0.3">
      <c r="B31" s="122" t="str">
        <f>IF(Lists!J24="","",Lists!J24)</f>
        <v/>
      </c>
      <c r="C31" s="138">
        <f>SUMIFS('SM-EST-Sleeves'!H:H,SM_SleeveName,SleevesTable[[#This Row],[Column1]])</f>
        <v>0</v>
      </c>
      <c r="D31" s="143">
        <f>SUMIFS('SM-EST-Sleeves'!I:I,SM_SleeveName,SleevesTable[[#This Row],[Column1]])*24</f>
        <v>0</v>
      </c>
      <c r="E31" s="103" t="str">
        <f t="shared" si="0"/>
        <v/>
      </c>
      <c r="F31" s="143">
        <f>SUMIFS('SM-EST-Sleeves'!J:J,SM_SleeveName,SleevesTable[[#This Row],[Column1]])*24</f>
        <v>0</v>
      </c>
      <c r="G31" s="103" t="str">
        <f t="shared" si="1"/>
        <v/>
      </c>
      <c r="H31" s="147">
        <f>SUMIFS('SM-EST-Sleeves'!K:K,SM_SleeveName,SleevesTable[[#This Row],[Column1]])</f>
        <v>0</v>
      </c>
      <c r="J31" s="16"/>
      <c r="K31"/>
      <c r="L31" s="120"/>
    </row>
    <row r="32" spans="2:12" x14ac:dyDescent="0.3">
      <c r="B32" s="122" t="str">
        <f>IF(Lists!J25="","",Lists!J25)</f>
        <v/>
      </c>
      <c r="C32" s="138">
        <f>SUMIFS('SM-EST-Sleeves'!H:H,SM_SleeveName,SleevesTable[[#This Row],[Column1]])</f>
        <v>0</v>
      </c>
      <c r="D32" s="143">
        <f>SUMIFS('SM-EST-Sleeves'!I:I,SM_SleeveName,SleevesTable[[#This Row],[Column1]])*24</f>
        <v>0</v>
      </c>
      <c r="E32" s="103" t="str">
        <f t="shared" si="0"/>
        <v/>
      </c>
      <c r="F32" s="143">
        <f>SUMIFS('SM-EST-Sleeves'!J:J,SM_SleeveName,SleevesTable[[#This Row],[Column1]])*24</f>
        <v>0</v>
      </c>
      <c r="G32" s="103" t="str">
        <f t="shared" si="1"/>
        <v/>
      </c>
      <c r="H32" s="147">
        <f>SUMIFS('SM-EST-Sleeves'!K:K,SM_SleeveName,SleevesTable[[#This Row],[Column1]])</f>
        <v>0</v>
      </c>
      <c r="J32" s="16"/>
      <c r="K32"/>
      <c r="L32" s="120"/>
    </row>
    <row r="33" spans="2:12" x14ac:dyDescent="0.3">
      <c r="B33" s="172" t="str">
        <f>IF(SUM(K9:K11)&gt;3,"Total w/Multiplier","Total")</f>
        <v>Total</v>
      </c>
      <c r="C33" s="146">
        <f>SUBTOTAL(109,SleevesTable[Column2])</f>
        <v>0</v>
      </c>
      <c r="D33" s="145">
        <f>SUBTOTAL(109,SleevesTable[Ftime])*K9</f>
        <v>0</v>
      </c>
      <c r="E33" s="127" t="str">
        <f>IF(D33=0,"","hrs")</f>
        <v/>
      </c>
      <c r="F33" s="145">
        <f>SUBTOTAL(109,SleevesTable[Etime])*K10</f>
        <v>0</v>
      </c>
      <c r="G33" s="127" t="str">
        <f>IF(F33=0,"","hrs")</f>
        <v/>
      </c>
      <c r="H33" s="49">
        <f>SUBTOTAL(109,SleevesTable[Cost])*K11</f>
        <v>0</v>
      </c>
      <c r="J33" s="21"/>
      <c r="K33"/>
      <c r="L33" s="120"/>
    </row>
  </sheetData>
  <sheetProtection sheet="1" objects="1" scenarios="1" selectLockedCells="1"/>
  <conditionalFormatting sqref="B33">
    <cfRule type="expression" dxfId="76" priority="1">
      <formula>B33="Total w/multiplier"</formula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B1:L33"/>
  <sheetViews>
    <sheetView showGridLines="0" workbookViewId="0">
      <selection activeCell="K9" sqref="K9"/>
    </sheetView>
  </sheetViews>
  <sheetFormatPr defaultRowHeight="14.4" x14ac:dyDescent="0.3"/>
  <cols>
    <col min="1" max="1" width="9.109375" customWidth="1"/>
    <col min="2" max="2" width="33.6640625" customWidth="1"/>
    <col min="3" max="3" width="10" style="17" customWidth="1"/>
    <col min="4" max="5" width="8.6640625" style="17" customWidth="1"/>
    <col min="6" max="6" width="8.6640625" style="20" customWidth="1"/>
    <col min="7" max="7" width="8.6640625" style="17" customWidth="1"/>
    <col min="8" max="8" width="13.5546875" customWidth="1"/>
    <col min="9" max="9" width="5.6640625" customWidth="1"/>
    <col min="10" max="10" width="10.6640625" customWidth="1"/>
    <col min="11" max="11" width="6.6640625" style="120" customWidth="1"/>
    <col min="12" max="12" width="8.6640625" customWidth="1"/>
  </cols>
  <sheetData>
    <row r="1" spans="2:12" ht="6" customHeight="1" x14ac:dyDescent="0.3">
      <c r="L1" s="1"/>
    </row>
    <row r="2" spans="2:12" ht="39" customHeight="1" thickBot="1" x14ac:dyDescent="0.45">
      <c r="B2" s="2" t="s">
        <v>135</v>
      </c>
      <c r="C2" s="72"/>
      <c r="D2" s="72"/>
      <c r="E2" s="72"/>
      <c r="F2" s="55"/>
      <c r="G2" s="72"/>
      <c r="H2" s="2"/>
      <c r="I2" s="2"/>
      <c r="J2" s="2"/>
      <c r="K2" s="2"/>
      <c r="L2" s="19"/>
    </row>
    <row r="3" spans="2:12" ht="9" customHeight="1" thickTop="1" x14ac:dyDescent="0.3">
      <c r="K3"/>
      <c r="L3" s="1"/>
    </row>
    <row r="4" spans="2:12" x14ac:dyDescent="0.3">
      <c r="B4" s="3" t="str">
        <f>IF(ProjectName="","",ProjectName)</f>
        <v/>
      </c>
      <c r="J4" s="5" t="s">
        <v>15</v>
      </c>
      <c r="K4" s="119" t="str">
        <f>IF(EstimatorName="","",EstimatorName)</f>
        <v/>
      </c>
      <c r="L4" s="1"/>
    </row>
    <row r="5" spans="2:12" ht="15" customHeight="1" x14ac:dyDescent="0.3">
      <c r="B5" s="9" t="str">
        <f>IF(ProjectAddress="","",ProjectAddress)</f>
        <v/>
      </c>
      <c r="J5" s="5" t="s">
        <v>16</v>
      </c>
      <c r="K5" s="119" t="str">
        <f>IF(EstimateNo="","",EstimateNo)</f>
        <v/>
      </c>
      <c r="L5" s="1"/>
    </row>
    <row r="6" spans="2:12" ht="15" customHeight="1" x14ac:dyDescent="0.3">
      <c r="B6" s="9"/>
      <c r="I6" s="218"/>
      <c r="J6" s="5"/>
      <c r="K6" s="119"/>
      <c r="L6" s="1"/>
    </row>
    <row r="7" spans="2:12" ht="23.4" x14ac:dyDescent="0.45">
      <c r="B7" s="6" t="s">
        <v>62</v>
      </c>
    </row>
    <row r="8" spans="2:12" ht="18" x14ac:dyDescent="0.35">
      <c r="B8" s="12" t="s">
        <v>50</v>
      </c>
      <c r="C8" s="142" t="s">
        <v>136</v>
      </c>
      <c r="D8" s="126" t="s">
        <v>39</v>
      </c>
      <c r="E8" s="126"/>
      <c r="F8" s="126" t="s">
        <v>40</v>
      </c>
      <c r="G8" s="126"/>
      <c r="H8" s="46" t="s">
        <v>94</v>
      </c>
      <c r="J8" s="129" t="s">
        <v>92</v>
      </c>
      <c r="K8" s="130"/>
    </row>
    <row r="9" spans="2:12" x14ac:dyDescent="0.3">
      <c r="B9" s="122" t="str">
        <f>IF(Lists!K2="","",Lists!K2)</f>
        <v/>
      </c>
      <c r="C9" s="138">
        <f>SUMIFS('SM-EST-Insulation'!H:H,SM_InsulationMaterial,SleevesTable19[[#This Row],[Column1]])</f>
        <v>0</v>
      </c>
      <c r="D9" s="143">
        <f>SUMIFS('SM-EST-Insulation'!I:I,SM_InsulationMaterial,SleevesTable19[[#This Row],[Column1]])*24</f>
        <v>0</v>
      </c>
      <c r="E9" s="103" t="str">
        <f t="shared" ref="E9" si="0">IF(D9=0,"","hrs")</f>
        <v/>
      </c>
      <c r="F9" s="143">
        <f>SUMIFS('SM-EST-Insulation'!J:J,SM_InsulationMaterial,SleevesTable19[[#This Row],[Column1]])*24</f>
        <v>0</v>
      </c>
      <c r="G9" s="103" t="str">
        <f t="shared" ref="G9" si="1">IF(F9=0,"","hrs")</f>
        <v/>
      </c>
      <c r="H9" s="147">
        <f>SUMIFS('SM-EST-Insulation'!K:K,SM_InsulationMaterial,SleevesTable19[[#This Row],[Column1]])</f>
        <v>0</v>
      </c>
      <c r="J9" s="131" t="s">
        <v>39</v>
      </c>
      <c r="K9" s="220">
        <v>1</v>
      </c>
    </row>
    <row r="10" spans="2:12" x14ac:dyDescent="0.3">
      <c r="B10" s="122" t="str">
        <f>IF(Lists!K3="","",Lists!K3)</f>
        <v/>
      </c>
      <c r="C10" s="138">
        <f>SUMIFS('SM-EST-Insulation'!H:H,SM_InsulationMaterial,SleevesTable19[[#This Row],[Column1]])</f>
        <v>0</v>
      </c>
      <c r="D10" s="143">
        <f>SUMIFS('SM-EST-Insulation'!I:I,SM_InsulationMaterial,SleevesTable19[[#This Row],[Column1]])*24</f>
        <v>0</v>
      </c>
      <c r="E10" s="103" t="str">
        <f t="shared" ref="E10:E32" si="2">IF(D10=0,"","hrs")</f>
        <v/>
      </c>
      <c r="F10" s="143">
        <f>SUMIFS('SM-EST-Insulation'!J:J,SM_InsulationMaterial,SleevesTable19[[#This Row],[Column1]])*24</f>
        <v>0</v>
      </c>
      <c r="G10" s="103" t="str">
        <f t="shared" ref="G10:G32" si="3">IF(F10=0,"","hrs")</f>
        <v/>
      </c>
      <c r="H10" s="147">
        <f>SUMIFS('SM-EST-Insulation'!K:K,SM_InsulationMaterial,SleevesTable19[[#This Row],[Column1]])</f>
        <v>0</v>
      </c>
      <c r="J10" s="132" t="s">
        <v>40</v>
      </c>
      <c r="K10" s="221">
        <v>1</v>
      </c>
    </row>
    <row r="11" spans="2:12" x14ac:dyDescent="0.3">
      <c r="B11" s="122" t="str">
        <f>IF(Lists!K4="","",Lists!K4)</f>
        <v/>
      </c>
      <c r="C11" s="138">
        <f>SUMIFS('SM-EST-Insulation'!H:H,SM_InsulationMaterial,SleevesTable19[[#This Row],[Column1]])</f>
        <v>0</v>
      </c>
      <c r="D11" s="143">
        <f>SUMIFS('SM-EST-Insulation'!I:I,SM_InsulationMaterial,SleevesTable19[[#This Row],[Column1]])*24</f>
        <v>0</v>
      </c>
      <c r="E11" s="103" t="str">
        <f t="shared" si="2"/>
        <v/>
      </c>
      <c r="F11" s="143">
        <f>SUMIFS('SM-EST-Insulation'!J:J,SM_InsulationMaterial,SleevesTable19[[#This Row],[Column1]])*24</f>
        <v>0</v>
      </c>
      <c r="G11" s="103" t="str">
        <f t="shared" si="3"/>
        <v/>
      </c>
      <c r="H11" s="147">
        <f>SUMIFS('SM-EST-Insulation'!K:K,SM_InsulationMaterial,SleevesTable19[[#This Row],[Column1]])</f>
        <v>0</v>
      </c>
      <c r="J11" s="133" t="s">
        <v>48</v>
      </c>
      <c r="K11" s="222">
        <v>1</v>
      </c>
    </row>
    <row r="12" spans="2:12" x14ac:dyDescent="0.3">
      <c r="B12" s="122" t="str">
        <f>IF(Lists!K5="","",Lists!K5)</f>
        <v/>
      </c>
      <c r="C12" s="138">
        <f>SUMIFS('SM-EST-Insulation'!H:H,SM_InsulationMaterial,SleevesTable19[[#This Row],[Column1]])</f>
        <v>0</v>
      </c>
      <c r="D12" s="143">
        <f>SUMIFS('SM-EST-Insulation'!I:I,SM_InsulationMaterial,SleevesTable19[[#This Row],[Column1]])*24</f>
        <v>0</v>
      </c>
      <c r="E12" s="103" t="str">
        <f t="shared" si="2"/>
        <v/>
      </c>
      <c r="F12" s="143">
        <f>SUMIFS('SM-EST-Insulation'!J:J,SM_InsulationMaterial,SleevesTable19[[#This Row],[Column1]])*24</f>
        <v>0</v>
      </c>
      <c r="G12" s="103" t="str">
        <f t="shared" si="3"/>
        <v/>
      </c>
      <c r="H12" s="147">
        <f>SUMIFS('SM-EST-Insulation'!K:K,SM_InsulationMaterial,SleevesTable19[[#This Row],[Column1]])</f>
        <v>0</v>
      </c>
      <c r="J12" s="16"/>
      <c r="K12"/>
      <c r="L12" s="120"/>
    </row>
    <row r="13" spans="2:12" x14ac:dyDescent="0.3">
      <c r="B13" s="122" t="str">
        <f>IF(Lists!K6="","",Lists!K6)</f>
        <v/>
      </c>
      <c r="C13" s="138">
        <f>SUMIFS('SM-EST-Insulation'!H:H,SM_InsulationMaterial,SleevesTable19[[#This Row],[Column1]])</f>
        <v>0</v>
      </c>
      <c r="D13" s="143">
        <f>SUMIFS('SM-EST-Insulation'!I:I,SM_InsulationMaterial,SleevesTable19[[#This Row],[Column1]])*24</f>
        <v>0</v>
      </c>
      <c r="E13" s="103" t="str">
        <f t="shared" si="2"/>
        <v/>
      </c>
      <c r="F13" s="143">
        <f>SUMIFS('SM-EST-Insulation'!J:J,SM_InsulationMaterial,SleevesTable19[[#This Row],[Column1]])*24</f>
        <v>0</v>
      </c>
      <c r="G13" s="103" t="str">
        <f t="shared" si="3"/>
        <v/>
      </c>
      <c r="H13" s="147">
        <f>SUMIFS('SM-EST-Insulation'!K:K,SM_InsulationMaterial,SleevesTable19[[#This Row],[Column1]])</f>
        <v>0</v>
      </c>
      <c r="J13" s="16"/>
      <c r="K13"/>
      <c r="L13" s="120"/>
    </row>
    <row r="14" spans="2:12" x14ac:dyDescent="0.3">
      <c r="B14" s="122" t="str">
        <f>IF(Lists!K7="","",Lists!K7)</f>
        <v/>
      </c>
      <c r="C14" s="138">
        <f>SUMIFS('SM-EST-Insulation'!H:H,SM_InsulationMaterial,SleevesTable19[[#This Row],[Column1]])</f>
        <v>0</v>
      </c>
      <c r="D14" s="143">
        <f>SUMIFS('SM-EST-Insulation'!I:I,SM_InsulationMaterial,SleevesTable19[[#This Row],[Column1]])*24</f>
        <v>0</v>
      </c>
      <c r="E14" s="103" t="str">
        <f t="shared" si="2"/>
        <v/>
      </c>
      <c r="F14" s="143">
        <f>SUMIFS('SM-EST-Insulation'!J:J,SM_InsulationMaterial,SleevesTable19[[#This Row],[Column1]])*24</f>
        <v>0</v>
      </c>
      <c r="G14" s="103" t="str">
        <f t="shared" si="3"/>
        <v/>
      </c>
      <c r="H14" s="147">
        <f>SUMIFS('SM-EST-Insulation'!K:K,SM_InsulationMaterial,SleevesTable19[[#This Row],[Column1]])</f>
        <v>0</v>
      </c>
      <c r="J14" s="16"/>
      <c r="K14"/>
      <c r="L14" s="120"/>
    </row>
    <row r="15" spans="2:12" x14ac:dyDescent="0.3">
      <c r="B15" s="122" t="str">
        <f>IF(Lists!K8="","",Lists!K8)</f>
        <v/>
      </c>
      <c r="C15" s="138">
        <f>SUMIFS('SM-EST-Insulation'!H:H,SM_InsulationMaterial,SleevesTable19[[#This Row],[Column1]])</f>
        <v>0</v>
      </c>
      <c r="D15" s="143">
        <f>SUMIFS('SM-EST-Insulation'!I:I,SM_InsulationMaterial,SleevesTable19[[#This Row],[Column1]])*24</f>
        <v>0</v>
      </c>
      <c r="E15" s="103" t="str">
        <f t="shared" si="2"/>
        <v/>
      </c>
      <c r="F15" s="143">
        <f>SUMIFS('SM-EST-Insulation'!J:J,SM_InsulationMaterial,SleevesTable19[[#This Row],[Column1]])*24</f>
        <v>0</v>
      </c>
      <c r="G15" s="103" t="str">
        <f t="shared" si="3"/>
        <v/>
      </c>
      <c r="H15" s="147">
        <f>SUMIFS('SM-EST-Insulation'!K:K,SM_InsulationMaterial,SleevesTable19[[#This Row],[Column1]])</f>
        <v>0</v>
      </c>
      <c r="J15" s="16"/>
      <c r="K15"/>
      <c r="L15" s="120"/>
    </row>
    <row r="16" spans="2:12" x14ac:dyDescent="0.3">
      <c r="B16" s="122" t="str">
        <f>IF(Lists!K9="","",Lists!K9)</f>
        <v/>
      </c>
      <c r="C16" s="138">
        <f>SUMIFS('SM-EST-Insulation'!H:H,SM_InsulationMaterial,SleevesTable19[[#This Row],[Column1]])</f>
        <v>0</v>
      </c>
      <c r="D16" s="143">
        <f>SUMIFS('SM-EST-Insulation'!I:I,SM_InsulationMaterial,SleevesTable19[[#This Row],[Column1]])*24</f>
        <v>0</v>
      </c>
      <c r="E16" s="103" t="str">
        <f t="shared" si="2"/>
        <v/>
      </c>
      <c r="F16" s="143">
        <f>SUMIFS('SM-EST-Insulation'!J:J,SM_InsulationMaterial,SleevesTable19[[#This Row],[Column1]])*24</f>
        <v>0</v>
      </c>
      <c r="G16" s="103" t="str">
        <f t="shared" si="3"/>
        <v/>
      </c>
      <c r="H16" s="147">
        <f>SUMIFS('SM-EST-Insulation'!K:K,SM_InsulationMaterial,SleevesTable19[[#This Row],[Column1]])</f>
        <v>0</v>
      </c>
      <c r="J16" s="16"/>
      <c r="K16"/>
      <c r="L16" s="120"/>
    </row>
    <row r="17" spans="2:12" x14ac:dyDescent="0.3">
      <c r="B17" s="122" t="str">
        <f>IF(Lists!K10="","",Lists!K10)</f>
        <v/>
      </c>
      <c r="C17" s="138">
        <f>SUMIFS('SM-EST-Insulation'!H:H,SM_InsulationMaterial,SleevesTable19[[#This Row],[Column1]])</f>
        <v>0</v>
      </c>
      <c r="D17" s="143">
        <f>SUMIFS('SM-EST-Insulation'!I:I,SM_InsulationMaterial,SleevesTable19[[#This Row],[Column1]])*24</f>
        <v>0</v>
      </c>
      <c r="E17" s="103" t="str">
        <f t="shared" si="2"/>
        <v/>
      </c>
      <c r="F17" s="143">
        <f>SUMIFS('SM-EST-Insulation'!J:J,SM_InsulationMaterial,SleevesTable19[[#This Row],[Column1]])*24</f>
        <v>0</v>
      </c>
      <c r="G17" s="103" t="str">
        <f t="shared" si="3"/>
        <v/>
      </c>
      <c r="H17" s="147">
        <f>SUMIFS('SM-EST-Insulation'!K:K,SM_InsulationMaterial,SleevesTable19[[#This Row],[Column1]])</f>
        <v>0</v>
      </c>
      <c r="J17" s="16"/>
      <c r="K17"/>
      <c r="L17" s="120"/>
    </row>
    <row r="18" spans="2:12" x14ac:dyDescent="0.3">
      <c r="B18" s="122" t="str">
        <f>IF(Lists!K11="","",Lists!K11)</f>
        <v/>
      </c>
      <c r="C18" s="138">
        <f>SUMIFS('SM-EST-Insulation'!H:H,SM_InsulationMaterial,SleevesTable19[[#This Row],[Column1]])</f>
        <v>0</v>
      </c>
      <c r="D18" s="143">
        <f>SUMIFS('SM-EST-Insulation'!I:I,SM_InsulationMaterial,SleevesTable19[[#This Row],[Column1]])*24</f>
        <v>0</v>
      </c>
      <c r="E18" s="103" t="str">
        <f t="shared" si="2"/>
        <v/>
      </c>
      <c r="F18" s="143">
        <f>SUMIFS('SM-EST-Insulation'!J:J,SM_InsulationMaterial,SleevesTable19[[#This Row],[Column1]])*24</f>
        <v>0</v>
      </c>
      <c r="G18" s="103" t="str">
        <f t="shared" si="3"/>
        <v/>
      </c>
      <c r="H18" s="147">
        <f>SUMIFS('SM-EST-Insulation'!K:K,SM_InsulationMaterial,SleevesTable19[[#This Row],[Column1]])</f>
        <v>0</v>
      </c>
      <c r="J18" s="16"/>
      <c r="K18"/>
      <c r="L18" s="120"/>
    </row>
    <row r="19" spans="2:12" x14ac:dyDescent="0.3">
      <c r="B19" s="122" t="str">
        <f>IF(Lists!K12="","",Lists!K12)</f>
        <v/>
      </c>
      <c r="C19" s="138">
        <f>SUMIFS('SM-EST-Insulation'!H:H,SM_InsulationMaterial,SleevesTable19[[#This Row],[Column1]])</f>
        <v>0</v>
      </c>
      <c r="D19" s="143">
        <f>SUMIFS('SM-EST-Insulation'!I:I,SM_InsulationMaterial,SleevesTable19[[#This Row],[Column1]])*24</f>
        <v>0</v>
      </c>
      <c r="E19" s="103" t="str">
        <f t="shared" si="2"/>
        <v/>
      </c>
      <c r="F19" s="143">
        <f>SUMIFS('SM-EST-Insulation'!J:J,SM_InsulationMaterial,SleevesTable19[[#This Row],[Column1]])*24</f>
        <v>0</v>
      </c>
      <c r="G19" s="103" t="str">
        <f t="shared" si="3"/>
        <v/>
      </c>
      <c r="H19" s="147">
        <f>SUMIFS('SM-EST-Insulation'!K:K,SM_InsulationMaterial,SleevesTable19[[#This Row],[Column1]])</f>
        <v>0</v>
      </c>
      <c r="J19" s="16"/>
      <c r="K19"/>
      <c r="L19" s="120"/>
    </row>
    <row r="20" spans="2:12" x14ac:dyDescent="0.3">
      <c r="B20" s="122" t="str">
        <f>IF(Lists!K13="","",Lists!K13)</f>
        <v/>
      </c>
      <c r="C20" s="138">
        <f>SUMIFS('SM-EST-Insulation'!H:H,SM_InsulationMaterial,SleevesTable19[[#This Row],[Column1]])</f>
        <v>0</v>
      </c>
      <c r="D20" s="143">
        <f>SUMIFS('SM-EST-Insulation'!I:I,SM_InsulationMaterial,SleevesTable19[[#This Row],[Column1]])*24</f>
        <v>0</v>
      </c>
      <c r="E20" s="103" t="str">
        <f t="shared" si="2"/>
        <v/>
      </c>
      <c r="F20" s="143">
        <f>SUMIFS('SM-EST-Insulation'!J:J,SM_InsulationMaterial,SleevesTable19[[#This Row],[Column1]])*24</f>
        <v>0</v>
      </c>
      <c r="G20" s="103" t="str">
        <f t="shared" si="3"/>
        <v/>
      </c>
      <c r="H20" s="147">
        <f>SUMIFS('SM-EST-Insulation'!K:K,SM_InsulationMaterial,SleevesTable19[[#This Row],[Column1]])</f>
        <v>0</v>
      </c>
      <c r="J20" s="16"/>
      <c r="K20"/>
      <c r="L20" s="120"/>
    </row>
    <row r="21" spans="2:12" x14ac:dyDescent="0.3">
      <c r="B21" s="122" t="str">
        <f>IF(Lists!K14="","",Lists!K14)</f>
        <v/>
      </c>
      <c r="C21" s="138">
        <f>SUMIFS('SM-EST-Insulation'!H:H,SM_InsulationMaterial,SleevesTable19[[#This Row],[Column1]])</f>
        <v>0</v>
      </c>
      <c r="D21" s="143">
        <f>SUMIFS('SM-EST-Insulation'!I:I,SM_InsulationMaterial,SleevesTable19[[#This Row],[Column1]])*24</f>
        <v>0</v>
      </c>
      <c r="E21" s="103" t="str">
        <f t="shared" si="2"/>
        <v/>
      </c>
      <c r="F21" s="143">
        <f>SUMIFS('SM-EST-Insulation'!J:J,SM_InsulationMaterial,SleevesTable19[[#This Row],[Column1]])*24</f>
        <v>0</v>
      </c>
      <c r="G21" s="103" t="str">
        <f t="shared" si="3"/>
        <v/>
      </c>
      <c r="H21" s="147">
        <f>SUMIFS('SM-EST-Insulation'!K:K,SM_InsulationMaterial,SleevesTable19[[#This Row],[Column1]])</f>
        <v>0</v>
      </c>
      <c r="J21" s="16"/>
      <c r="K21"/>
      <c r="L21" s="120"/>
    </row>
    <row r="22" spans="2:12" x14ac:dyDescent="0.3">
      <c r="B22" s="122" t="str">
        <f>IF(Lists!K15="","",Lists!K15)</f>
        <v/>
      </c>
      <c r="C22" s="138">
        <f>SUMIFS('SM-EST-Insulation'!H:H,SM_InsulationMaterial,SleevesTable19[[#This Row],[Column1]])</f>
        <v>0</v>
      </c>
      <c r="D22" s="143">
        <f>SUMIFS('SM-EST-Insulation'!I:I,SM_InsulationMaterial,SleevesTable19[[#This Row],[Column1]])*24</f>
        <v>0</v>
      </c>
      <c r="E22" s="103" t="str">
        <f t="shared" si="2"/>
        <v/>
      </c>
      <c r="F22" s="143">
        <f>SUMIFS('SM-EST-Insulation'!J:J,SM_InsulationMaterial,SleevesTable19[[#This Row],[Column1]])*24</f>
        <v>0</v>
      </c>
      <c r="G22" s="103" t="str">
        <f t="shared" si="3"/>
        <v/>
      </c>
      <c r="H22" s="147">
        <f>SUMIFS('SM-EST-Insulation'!K:K,SM_InsulationMaterial,SleevesTable19[[#This Row],[Column1]])</f>
        <v>0</v>
      </c>
      <c r="J22" s="16"/>
      <c r="K22"/>
      <c r="L22" s="120"/>
    </row>
    <row r="23" spans="2:12" x14ac:dyDescent="0.3">
      <c r="B23" s="122" t="str">
        <f>IF(Lists!K16="","",Lists!K16)</f>
        <v/>
      </c>
      <c r="C23" s="138">
        <f>SUMIFS('SM-EST-Insulation'!H:H,SM_InsulationMaterial,SleevesTable19[[#This Row],[Column1]])</f>
        <v>0</v>
      </c>
      <c r="D23" s="143">
        <f>SUMIFS('SM-EST-Insulation'!I:I,SM_InsulationMaterial,SleevesTable19[[#This Row],[Column1]])*24</f>
        <v>0</v>
      </c>
      <c r="E23" s="103" t="str">
        <f t="shared" si="2"/>
        <v/>
      </c>
      <c r="F23" s="143">
        <f>SUMIFS('SM-EST-Insulation'!J:J,SM_InsulationMaterial,SleevesTable19[[#This Row],[Column1]])*24</f>
        <v>0</v>
      </c>
      <c r="G23" s="103" t="str">
        <f t="shared" si="3"/>
        <v/>
      </c>
      <c r="H23" s="147">
        <f>SUMIFS('SM-EST-Insulation'!K:K,SM_InsulationMaterial,SleevesTable19[[#This Row],[Column1]])</f>
        <v>0</v>
      </c>
      <c r="J23" s="16"/>
      <c r="K23"/>
      <c r="L23" s="120"/>
    </row>
    <row r="24" spans="2:12" x14ac:dyDescent="0.3">
      <c r="B24" s="122" t="str">
        <f>IF(Lists!K17="","",Lists!K17)</f>
        <v/>
      </c>
      <c r="C24" s="138">
        <f>SUMIFS('SM-EST-Insulation'!H:H,SM_InsulationMaterial,SleevesTable19[[#This Row],[Column1]])</f>
        <v>0</v>
      </c>
      <c r="D24" s="143">
        <f>SUMIFS('SM-EST-Insulation'!I:I,SM_InsulationMaterial,SleevesTable19[[#This Row],[Column1]])*24</f>
        <v>0</v>
      </c>
      <c r="E24" s="103" t="str">
        <f t="shared" si="2"/>
        <v/>
      </c>
      <c r="F24" s="143">
        <f>SUMIFS('SM-EST-Insulation'!J:J,SM_InsulationMaterial,SleevesTable19[[#This Row],[Column1]])*24</f>
        <v>0</v>
      </c>
      <c r="G24" s="103" t="str">
        <f t="shared" si="3"/>
        <v/>
      </c>
      <c r="H24" s="147">
        <f>SUMIFS('SM-EST-Insulation'!K:K,SM_InsulationMaterial,SleevesTable19[[#This Row],[Column1]])</f>
        <v>0</v>
      </c>
      <c r="J24" s="16"/>
      <c r="K24"/>
      <c r="L24" s="120"/>
    </row>
    <row r="25" spans="2:12" x14ac:dyDescent="0.3">
      <c r="B25" s="122" t="str">
        <f>IF(Lists!K18="","",Lists!K18)</f>
        <v/>
      </c>
      <c r="C25" s="138">
        <f>SUMIFS('SM-EST-Insulation'!H:H,SM_InsulationMaterial,SleevesTable19[[#This Row],[Column1]])</f>
        <v>0</v>
      </c>
      <c r="D25" s="143">
        <f>SUMIFS('SM-EST-Insulation'!I:I,SM_InsulationMaterial,SleevesTable19[[#This Row],[Column1]])*24</f>
        <v>0</v>
      </c>
      <c r="E25" s="103" t="str">
        <f t="shared" si="2"/>
        <v/>
      </c>
      <c r="F25" s="143">
        <f>SUMIFS('SM-EST-Insulation'!J:J,SM_InsulationMaterial,SleevesTable19[[#This Row],[Column1]])*24</f>
        <v>0</v>
      </c>
      <c r="G25" s="103" t="str">
        <f t="shared" si="3"/>
        <v/>
      </c>
      <c r="H25" s="147">
        <f>SUMIFS('SM-EST-Insulation'!K:K,SM_InsulationMaterial,SleevesTable19[[#This Row],[Column1]])</f>
        <v>0</v>
      </c>
      <c r="J25" s="16"/>
      <c r="K25"/>
      <c r="L25" s="120"/>
    </row>
    <row r="26" spans="2:12" x14ac:dyDescent="0.3">
      <c r="B26" s="122" t="str">
        <f>IF(Lists!K19="","",Lists!K19)</f>
        <v/>
      </c>
      <c r="C26" s="138">
        <f>SUMIFS('SM-EST-Insulation'!H:H,SM_InsulationMaterial,SleevesTable19[[#This Row],[Column1]])</f>
        <v>0</v>
      </c>
      <c r="D26" s="143">
        <f>SUMIFS('SM-EST-Insulation'!I:I,SM_InsulationMaterial,SleevesTable19[[#This Row],[Column1]])*24</f>
        <v>0</v>
      </c>
      <c r="E26" s="103" t="str">
        <f t="shared" si="2"/>
        <v/>
      </c>
      <c r="F26" s="143">
        <f>SUMIFS('SM-EST-Insulation'!J:J,SM_InsulationMaterial,SleevesTable19[[#This Row],[Column1]])*24</f>
        <v>0</v>
      </c>
      <c r="G26" s="103" t="str">
        <f t="shared" si="3"/>
        <v/>
      </c>
      <c r="H26" s="147">
        <f>SUMIFS('SM-EST-Insulation'!K:K,SM_InsulationMaterial,SleevesTable19[[#This Row],[Column1]])</f>
        <v>0</v>
      </c>
      <c r="J26" s="16"/>
      <c r="K26"/>
      <c r="L26" s="120"/>
    </row>
    <row r="27" spans="2:12" x14ac:dyDescent="0.3">
      <c r="B27" s="122" t="str">
        <f>IF(Lists!K20="","",Lists!K20)</f>
        <v/>
      </c>
      <c r="C27" s="138">
        <f>SUMIFS('SM-EST-Insulation'!H:H,SM_InsulationMaterial,SleevesTable19[[#This Row],[Column1]])</f>
        <v>0</v>
      </c>
      <c r="D27" s="143">
        <f>SUMIFS('SM-EST-Insulation'!I:I,SM_InsulationMaterial,SleevesTable19[[#This Row],[Column1]])*24</f>
        <v>0</v>
      </c>
      <c r="E27" s="103" t="str">
        <f t="shared" si="2"/>
        <v/>
      </c>
      <c r="F27" s="143">
        <f>SUMIFS('SM-EST-Insulation'!J:J,SM_InsulationMaterial,SleevesTable19[[#This Row],[Column1]])*24</f>
        <v>0</v>
      </c>
      <c r="G27" s="103" t="str">
        <f t="shared" si="3"/>
        <v/>
      </c>
      <c r="H27" s="147">
        <f>SUMIFS('SM-EST-Insulation'!K:K,SM_InsulationMaterial,SleevesTable19[[#This Row],[Column1]])</f>
        <v>0</v>
      </c>
      <c r="J27" s="16"/>
      <c r="K27"/>
      <c r="L27" s="120"/>
    </row>
    <row r="28" spans="2:12" x14ac:dyDescent="0.3">
      <c r="B28" s="122" t="str">
        <f>IF(Lists!K21="","",Lists!K21)</f>
        <v/>
      </c>
      <c r="C28" s="138">
        <f>SUMIFS('SM-EST-Insulation'!H:H,SM_InsulationMaterial,SleevesTable19[[#This Row],[Column1]])</f>
        <v>0</v>
      </c>
      <c r="D28" s="143">
        <f>SUMIFS('SM-EST-Insulation'!I:I,SM_InsulationMaterial,SleevesTable19[[#This Row],[Column1]])*24</f>
        <v>0</v>
      </c>
      <c r="E28" s="103" t="str">
        <f t="shared" si="2"/>
        <v/>
      </c>
      <c r="F28" s="143">
        <f>SUMIFS('SM-EST-Insulation'!J:J,SM_InsulationMaterial,SleevesTable19[[#This Row],[Column1]])*24</f>
        <v>0</v>
      </c>
      <c r="G28" s="103" t="str">
        <f t="shared" si="3"/>
        <v/>
      </c>
      <c r="H28" s="147">
        <f>SUMIFS('SM-EST-Insulation'!K:K,SM_InsulationMaterial,SleevesTable19[[#This Row],[Column1]])</f>
        <v>0</v>
      </c>
      <c r="J28" s="16"/>
      <c r="K28"/>
      <c r="L28" s="120"/>
    </row>
    <row r="29" spans="2:12" x14ac:dyDescent="0.3">
      <c r="B29" s="122" t="str">
        <f>IF(Lists!K22="","",Lists!K22)</f>
        <v/>
      </c>
      <c r="C29" s="138">
        <f>SUMIFS('SM-EST-Insulation'!H:H,SM_InsulationMaterial,SleevesTable19[[#This Row],[Column1]])</f>
        <v>0</v>
      </c>
      <c r="D29" s="143">
        <f>SUMIFS('SM-EST-Insulation'!I:I,SM_InsulationMaterial,SleevesTable19[[#This Row],[Column1]])*24</f>
        <v>0</v>
      </c>
      <c r="E29" s="103" t="str">
        <f t="shared" si="2"/>
        <v/>
      </c>
      <c r="F29" s="143">
        <f>SUMIFS('SM-EST-Insulation'!J:J,SM_InsulationMaterial,SleevesTable19[[#This Row],[Column1]])*24</f>
        <v>0</v>
      </c>
      <c r="G29" s="103" t="str">
        <f t="shared" si="3"/>
        <v/>
      </c>
      <c r="H29" s="147">
        <f>SUMIFS('SM-EST-Insulation'!K:K,SM_InsulationMaterial,SleevesTable19[[#This Row],[Column1]])</f>
        <v>0</v>
      </c>
      <c r="J29" s="16"/>
      <c r="K29"/>
      <c r="L29" s="120"/>
    </row>
    <row r="30" spans="2:12" x14ac:dyDescent="0.3">
      <c r="B30" s="122" t="str">
        <f>IF(Lists!K23="","",Lists!K23)</f>
        <v/>
      </c>
      <c r="C30" s="138">
        <f>SUMIFS('SM-EST-Insulation'!H:H,SM_InsulationMaterial,SleevesTable19[[#This Row],[Column1]])</f>
        <v>0</v>
      </c>
      <c r="D30" s="143">
        <f>SUMIFS('SM-EST-Insulation'!I:I,SM_InsulationMaterial,SleevesTable19[[#This Row],[Column1]])*24</f>
        <v>0</v>
      </c>
      <c r="E30" s="103" t="str">
        <f t="shared" si="2"/>
        <v/>
      </c>
      <c r="F30" s="143">
        <f>SUMIFS('SM-EST-Insulation'!J:J,SM_InsulationMaterial,SleevesTable19[[#This Row],[Column1]])*24</f>
        <v>0</v>
      </c>
      <c r="G30" s="103" t="str">
        <f t="shared" si="3"/>
        <v/>
      </c>
      <c r="H30" s="147">
        <f>SUMIFS('SM-EST-Insulation'!K:K,SM_InsulationMaterial,SleevesTable19[[#This Row],[Column1]])</f>
        <v>0</v>
      </c>
      <c r="J30" s="16"/>
      <c r="K30"/>
      <c r="L30" s="120"/>
    </row>
    <row r="31" spans="2:12" x14ac:dyDescent="0.3">
      <c r="B31" s="122" t="str">
        <f>IF(Lists!K24="","",Lists!K24)</f>
        <v/>
      </c>
      <c r="C31" s="138">
        <f>SUMIFS('SM-EST-Insulation'!H:H,SM_InsulationMaterial,SleevesTable19[[#This Row],[Column1]])</f>
        <v>0</v>
      </c>
      <c r="D31" s="143">
        <f>SUMIFS('SM-EST-Insulation'!I:I,SM_InsulationMaterial,SleevesTable19[[#This Row],[Column1]])*24</f>
        <v>0</v>
      </c>
      <c r="E31" s="103" t="str">
        <f t="shared" si="2"/>
        <v/>
      </c>
      <c r="F31" s="143">
        <f>SUMIFS('SM-EST-Insulation'!J:J,SM_InsulationMaterial,SleevesTable19[[#This Row],[Column1]])*24</f>
        <v>0</v>
      </c>
      <c r="G31" s="103" t="str">
        <f t="shared" si="3"/>
        <v/>
      </c>
      <c r="H31" s="147">
        <f>SUMIFS('SM-EST-Insulation'!K:K,SM_InsulationMaterial,SleevesTable19[[#This Row],[Column1]])</f>
        <v>0</v>
      </c>
      <c r="J31" s="16"/>
      <c r="K31"/>
      <c r="L31" s="120"/>
    </row>
    <row r="32" spans="2:12" x14ac:dyDescent="0.3">
      <c r="B32" s="122" t="str">
        <f>IF(Lists!K25="","",Lists!K25)</f>
        <v/>
      </c>
      <c r="C32" s="138">
        <f>SUMIFS('SM-EST-Insulation'!H:H,SM_InsulationMaterial,SleevesTable19[[#This Row],[Column1]])</f>
        <v>0</v>
      </c>
      <c r="D32" s="143">
        <f>SUMIFS('SM-EST-Insulation'!I:I,SM_InsulationMaterial,SleevesTable19[[#This Row],[Column1]])*24</f>
        <v>0</v>
      </c>
      <c r="E32" s="103" t="str">
        <f t="shared" si="2"/>
        <v/>
      </c>
      <c r="F32" s="143">
        <f>SUMIFS('SM-EST-Insulation'!J:J,SM_InsulationMaterial,SleevesTable19[[#This Row],[Column1]])*24</f>
        <v>0</v>
      </c>
      <c r="G32" s="103" t="str">
        <f t="shared" si="3"/>
        <v/>
      </c>
      <c r="H32" s="147">
        <f>SUMIFS('SM-EST-Insulation'!K:K,SM_InsulationMaterial,SleevesTable19[[#This Row],[Column1]])</f>
        <v>0</v>
      </c>
      <c r="J32" s="16"/>
      <c r="K32"/>
      <c r="L32" s="120"/>
    </row>
    <row r="33" spans="2:12" x14ac:dyDescent="0.3">
      <c r="B33" s="172" t="str">
        <f>IF(SUM(K9:K11)&gt;3,"Total w/Multiplier","Total")</f>
        <v>Total</v>
      </c>
      <c r="C33" s="146">
        <f>SUBTOTAL(109,SleevesTable19[Column2])</f>
        <v>0</v>
      </c>
      <c r="D33" s="145">
        <f>SUBTOTAL(109,SleevesTable19[Ftime])*K9</f>
        <v>0</v>
      </c>
      <c r="E33" s="127" t="str">
        <f>IF(D33=0,"","hrs")</f>
        <v/>
      </c>
      <c r="F33" s="145">
        <f>SUBTOTAL(109,SleevesTable19[Etime])*K10</f>
        <v>0</v>
      </c>
      <c r="G33" s="127" t="str">
        <f>IF(F33=0,"","hrs")</f>
        <v/>
      </c>
      <c r="H33" s="49">
        <f>SUBTOTAL(109,SleevesTable19[Cost])*K11</f>
        <v>0</v>
      </c>
      <c r="J33" s="21"/>
      <c r="K33"/>
      <c r="L33" s="120"/>
    </row>
  </sheetData>
  <sheetProtection selectLockedCells="1"/>
  <conditionalFormatting sqref="B33">
    <cfRule type="expression" dxfId="53" priority="1">
      <formula>B33="Total w/multiplier"</formula>
    </cfRule>
  </conditionalFormatting>
  <pageMargins left="0.7" right="0.7" top="0.75" bottom="0.75" header="0.3" footer="0.3"/>
  <pageSetup orientation="portrait" horizontalDpi="1200" verticalDpi="1200" r:id="rId1"/>
  <ignoredErrors>
    <ignoredError sqref="C9:H9" calculatedColumn="1"/>
  </ignoredErrors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I27"/>
  <sheetViews>
    <sheetView showGridLines="0" workbookViewId="0">
      <selection activeCell="B9" sqref="B9"/>
    </sheetView>
  </sheetViews>
  <sheetFormatPr defaultRowHeight="14.4" x14ac:dyDescent="0.3"/>
  <cols>
    <col min="2" max="2" width="25.6640625" customWidth="1"/>
    <col min="3" max="3" width="14.44140625" customWidth="1"/>
    <col min="4" max="4" width="5.6640625" customWidth="1"/>
    <col min="5" max="5" width="21.88671875" customWidth="1"/>
    <col min="6" max="6" width="4.6640625" style="17" customWidth="1"/>
    <col min="7" max="7" width="18.88671875" customWidth="1"/>
    <col min="8" max="8" width="12.33203125" style="17" customWidth="1"/>
    <col min="9" max="9" width="14.6640625" customWidth="1"/>
    <col min="10" max="13" width="14.44140625" customWidth="1"/>
  </cols>
  <sheetData>
    <row r="1" spans="2:9" ht="6" customHeight="1" x14ac:dyDescent="0.3"/>
    <row r="2" spans="2:9" ht="39" customHeight="1" thickBot="1" x14ac:dyDescent="0.45">
      <c r="B2" s="2" t="s">
        <v>55</v>
      </c>
      <c r="C2" s="2"/>
      <c r="D2" s="2"/>
      <c r="E2" s="2"/>
      <c r="F2" s="72"/>
      <c r="G2" s="2"/>
      <c r="H2" s="72"/>
      <c r="I2" s="2"/>
    </row>
    <row r="3" spans="2:9" ht="9" customHeight="1" thickTop="1" x14ac:dyDescent="0.3"/>
    <row r="4" spans="2:9" x14ac:dyDescent="0.3">
      <c r="B4" s="3" t="str">
        <f>IF(ProjectName="","",ProjectName)</f>
        <v/>
      </c>
      <c r="H4" s="166" t="s">
        <v>15</v>
      </c>
      <c r="I4" s="4" t="str">
        <f>IF(EstimatorName="","",EstimatorName)</f>
        <v/>
      </c>
    </row>
    <row r="5" spans="2:9" ht="15" customHeight="1" x14ac:dyDescent="0.3">
      <c r="B5" s="9" t="str">
        <f>IF(ProjectAddress="","",ProjectAddress)</f>
        <v/>
      </c>
      <c r="H5" s="166" t="s">
        <v>16</v>
      </c>
      <c r="I5" s="4" t="str">
        <f>IF(EstimateNo="","",EstimateNo)</f>
        <v/>
      </c>
    </row>
    <row r="6" spans="2:9" x14ac:dyDescent="0.3">
      <c r="D6" s="69"/>
      <c r="E6" s="69"/>
    </row>
    <row r="7" spans="2:9" ht="23.4" x14ac:dyDescent="0.45">
      <c r="B7" s="6" t="s">
        <v>37</v>
      </c>
      <c r="E7" s="6" t="s">
        <v>36</v>
      </c>
    </row>
    <row r="8" spans="2:9" x14ac:dyDescent="0.3">
      <c r="B8" t="s">
        <v>50</v>
      </c>
      <c r="C8" s="17" t="s">
        <v>48</v>
      </c>
      <c r="E8" t="s">
        <v>50</v>
      </c>
      <c r="F8" s="17" t="s">
        <v>51</v>
      </c>
      <c r="G8" t="s">
        <v>73</v>
      </c>
      <c r="H8" s="17" t="s">
        <v>74</v>
      </c>
      <c r="I8" s="17" t="s">
        <v>48</v>
      </c>
    </row>
    <row r="9" spans="2:9" x14ac:dyDescent="0.3">
      <c r="B9" s="113" t="s">
        <v>78</v>
      </c>
      <c r="C9" s="115"/>
      <c r="E9" s="113" t="s">
        <v>41</v>
      </c>
      <c r="F9" s="114">
        <v>4</v>
      </c>
      <c r="G9" s="71" t="s">
        <v>71</v>
      </c>
      <c r="H9" s="177">
        <f>IF(ManagmentTable[[#This Row],[%]]="","",Labor_TotalField*(ManagmentTable[[#This Row],[%]]/100))</f>
        <v>0</v>
      </c>
      <c r="I9" s="10">
        <f>ManagmentTable[[#This Row],[Hours]]*Settings!C11</f>
        <v>0</v>
      </c>
    </row>
    <row r="10" spans="2:9" x14ac:dyDescent="0.3">
      <c r="B10" s="113" t="s">
        <v>79</v>
      </c>
      <c r="C10" s="115"/>
      <c r="E10" s="113" t="s">
        <v>42</v>
      </c>
      <c r="F10" s="114">
        <v>8</v>
      </c>
      <c r="G10" s="71" t="s">
        <v>71</v>
      </c>
      <c r="H10" s="177">
        <f>IF(ManagmentTable[[#This Row],[%]]="","",Labor_TotalField*(ManagmentTable[[#This Row],[%]]/100))</f>
        <v>0</v>
      </c>
      <c r="I10" s="10">
        <f>ManagmentTable[[#This Row],[Hours]]*Settings!C10</f>
        <v>0</v>
      </c>
    </row>
    <row r="11" spans="2:9" x14ac:dyDescent="0.3">
      <c r="B11" s="113" t="s">
        <v>80</v>
      </c>
      <c r="C11" s="115"/>
      <c r="E11" s="113" t="s">
        <v>72</v>
      </c>
      <c r="F11" s="114">
        <v>1</v>
      </c>
      <c r="G11" s="71" t="s">
        <v>71</v>
      </c>
      <c r="H11" s="177">
        <f>IF(ManagmentTable[[#This Row],[%]]="","",Labor_TotalField*(ManagmentTable[[#This Row],[%]]/100))</f>
        <v>0</v>
      </c>
      <c r="I11" s="10">
        <f>ManagmentTable[[#This Row],[Hours]]*Settings!C12</f>
        <v>0</v>
      </c>
    </row>
    <row r="12" spans="2:9" x14ac:dyDescent="0.3">
      <c r="B12" s="113"/>
      <c r="C12" s="115"/>
      <c r="E12" s="113"/>
      <c r="F12" s="114"/>
      <c r="G12" s="71"/>
      <c r="H12" s="177" t="str">
        <f>IF(ManagmentTable[[#This Row],[%]]="","",Labor_TotalField*(ManagmentTable[[#This Row],[%]]/100))</f>
        <v/>
      </c>
      <c r="I12" s="10"/>
    </row>
    <row r="13" spans="2:9" x14ac:dyDescent="0.3">
      <c r="B13" s="113"/>
      <c r="C13" s="115"/>
      <c r="E13" s="113"/>
      <c r="F13" s="114"/>
      <c r="G13" s="71"/>
      <c r="H13" s="177" t="str">
        <f>IF(ManagmentTable[[#This Row],[%]]="","",Labor_TotalField*(ManagmentTable[[#This Row],[%]]/100))</f>
        <v/>
      </c>
      <c r="I13" s="10"/>
    </row>
    <row r="14" spans="2:9" x14ac:dyDescent="0.3">
      <c r="B14" s="113"/>
      <c r="C14" s="115"/>
      <c r="E14" s="113"/>
      <c r="F14" s="114"/>
      <c r="G14" s="71"/>
      <c r="H14" s="177" t="str">
        <f>IF(ManagmentTable[[#This Row],[%]]="","",Labor_TotalField*(ManagmentTable[[#This Row],[%]]/100))</f>
        <v/>
      </c>
      <c r="I14" s="10"/>
    </row>
    <row r="15" spans="2:9" x14ac:dyDescent="0.3">
      <c r="B15" s="113"/>
      <c r="C15" s="115"/>
      <c r="E15" s="113"/>
      <c r="F15" s="114"/>
      <c r="G15" s="71"/>
      <c r="H15" s="177" t="str">
        <f>IF(ManagmentTable[[#This Row],[%]]="","",Labor_TotalField*(ManagmentTable[[#This Row],[%]]/100))</f>
        <v/>
      </c>
      <c r="I15" s="10"/>
    </row>
    <row r="16" spans="2:9" x14ac:dyDescent="0.3">
      <c r="B16" t="s">
        <v>47</v>
      </c>
      <c r="C16" s="183">
        <f>SUBTOTAL(109,MiscTable[Cost])</f>
        <v>0</v>
      </c>
      <c r="E16" t="s">
        <v>47</v>
      </c>
      <c r="H16" s="177"/>
      <c r="I16" s="178">
        <f>SUBTOTAL(109,ManagmentTable[Cost])</f>
        <v>0</v>
      </c>
    </row>
    <row r="18" spans="2:9" ht="23.4" x14ac:dyDescent="0.45">
      <c r="B18" s="6" t="s">
        <v>35</v>
      </c>
      <c r="E18" s="6" t="s">
        <v>77</v>
      </c>
    </row>
    <row r="19" spans="2:9" x14ac:dyDescent="0.3">
      <c r="B19" t="s">
        <v>50</v>
      </c>
      <c r="C19" s="17" t="s">
        <v>48</v>
      </c>
      <c r="E19" t="s">
        <v>50</v>
      </c>
      <c r="F19" s="17" t="s">
        <v>51</v>
      </c>
      <c r="G19" t="s">
        <v>73</v>
      </c>
      <c r="H19" s="17" t="s">
        <v>74</v>
      </c>
      <c r="I19" s="17" t="s">
        <v>48</v>
      </c>
    </row>
    <row r="20" spans="2:9" x14ac:dyDescent="0.3">
      <c r="B20" s="113"/>
      <c r="C20" s="115"/>
      <c r="E20" s="113" t="s">
        <v>75</v>
      </c>
      <c r="F20" s="114">
        <v>10</v>
      </c>
      <c r="G20" s="71" t="s">
        <v>71</v>
      </c>
      <c r="H20" s="177">
        <f>IF(FieldSupportTable[[#This Row],[%]]="","",Labor_TotalField*(FieldSupportTable[[#This Row],[%]]/100))</f>
        <v>0</v>
      </c>
      <c r="I20" s="10">
        <f>FieldSupportTable[[#This Row],[Hours]]*Settings!C13</f>
        <v>0</v>
      </c>
    </row>
    <row r="21" spans="2:9" x14ac:dyDescent="0.3">
      <c r="B21" s="113"/>
      <c r="C21" s="115"/>
      <c r="E21" s="113" t="s">
        <v>45</v>
      </c>
      <c r="F21" s="114">
        <v>2.5</v>
      </c>
      <c r="G21" s="71" t="s">
        <v>71</v>
      </c>
      <c r="H21" s="177">
        <f>IF(FieldSupportTable[[#This Row],[%]]="","",Labor_TotalField*(FieldSupportTable[[#This Row],[%]]/100))</f>
        <v>0</v>
      </c>
      <c r="I21" s="10">
        <f>FieldSupportTable[[#This Row],[Hours]]*Settings!C14</f>
        <v>0</v>
      </c>
    </row>
    <row r="22" spans="2:9" x14ac:dyDescent="0.3">
      <c r="B22" s="113"/>
      <c r="C22" s="115"/>
      <c r="E22" s="113" t="s">
        <v>76</v>
      </c>
      <c r="F22" s="114">
        <v>5</v>
      </c>
      <c r="G22" s="71" t="s">
        <v>71</v>
      </c>
      <c r="H22" s="177">
        <f>IF(FieldSupportTable[[#This Row],[%]]="","",Labor_TotalField*(FieldSupportTable[[#This Row],[%]]/100))</f>
        <v>0</v>
      </c>
      <c r="I22" s="10">
        <f>FieldSupportTable[[#This Row],[Hours]]*Settings!C15</f>
        <v>0</v>
      </c>
    </row>
    <row r="23" spans="2:9" x14ac:dyDescent="0.3">
      <c r="B23" s="113"/>
      <c r="C23" s="115"/>
      <c r="E23" s="113"/>
      <c r="F23" s="114"/>
      <c r="G23" s="71"/>
      <c r="H23" s="177" t="str">
        <f>IF(FieldSupportTable[[#This Row],[%]]="","",Labor_TotalField*(FieldSupportTable[[#This Row],[%]]/100))</f>
        <v/>
      </c>
      <c r="I23" s="10"/>
    </row>
    <row r="24" spans="2:9" x14ac:dyDescent="0.3">
      <c r="B24" s="113"/>
      <c r="C24" s="115"/>
      <c r="E24" s="113"/>
      <c r="F24" s="114"/>
      <c r="G24" s="71"/>
      <c r="H24" s="177" t="str">
        <f>IF(FieldSupportTable[[#This Row],[%]]="","",Labor_TotalField*(FieldSupportTable[[#This Row],[%]]/100))</f>
        <v/>
      </c>
      <c r="I24" s="10"/>
    </row>
    <row r="25" spans="2:9" x14ac:dyDescent="0.3">
      <c r="B25" s="113"/>
      <c r="C25" s="115"/>
      <c r="E25" s="113"/>
      <c r="F25" s="114"/>
      <c r="G25" s="71"/>
      <c r="H25" s="177" t="str">
        <f>IF(FieldSupportTable[[#This Row],[%]]="","",Labor_TotalField*(FieldSupportTable[[#This Row],[%]]/100))</f>
        <v/>
      </c>
      <c r="I25" s="10"/>
    </row>
    <row r="26" spans="2:9" x14ac:dyDescent="0.3">
      <c r="B26" s="113"/>
      <c r="C26" s="115"/>
      <c r="E26" s="113"/>
      <c r="F26" s="114"/>
      <c r="G26" s="71"/>
      <c r="H26" s="177" t="str">
        <f>IF(FieldSupportTable[[#This Row],[%]]="","",Labor_TotalField*(FieldSupportTable[[#This Row],[%]]/100))</f>
        <v/>
      </c>
      <c r="I26" s="10"/>
    </row>
    <row r="27" spans="2:9" x14ac:dyDescent="0.3">
      <c r="B27" t="s">
        <v>47</v>
      </c>
      <c r="C27" s="183">
        <f>SUBTOTAL(109,RentalsTable[Cost])</f>
        <v>0</v>
      </c>
      <c r="E27" t="s">
        <v>47</v>
      </c>
      <c r="H27" s="177"/>
      <c r="I27" s="116">
        <f>SUBTOTAL(109,FieldSupportTable[Cost])</f>
        <v>0</v>
      </c>
    </row>
  </sheetData>
  <sheetProtection sheet="1" objects="1" scenarios="1" selectLockedCells="1"/>
  <dataValidations disablePrompts="1" count="1">
    <dataValidation type="list" allowBlank="1" showInputMessage="1" showErrorMessage="1" sqref="B20:B26">
      <formula1>"Rentals"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J29"/>
  <sheetViews>
    <sheetView showGridLines="0" workbookViewId="0">
      <selection activeCell="C8" sqref="C8"/>
    </sheetView>
  </sheetViews>
  <sheetFormatPr defaultRowHeight="14.4" x14ac:dyDescent="0.3"/>
  <cols>
    <col min="2" max="2" width="19.6640625" customWidth="1"/>
    <col min="3" max="3" width="13.33203125" customWidth="1"/>
    <col min="4" max="4" width="11" customWidth="1"/>
    <col min="5" max="6" width="25.6640625" customWidth="1"/>
    <col min="9" max="9" width="6.6640625" customWidth="1"/>
    <col min="10" max="10" width="8.6640625" customWidth="1"/>
  </cols>
  <sheetData>
    <row r="1" spans="2:10" ht="6" customHeight="1" x14ac:dyDescent="0.3"/>
    <row r="2" spans="2:10" ht="39" customHeight="1" thickBot="1" x14ac:dyDescent="0.45">
      <c r="B2" s="2" t="s">
        <v>55</v>
      </c>
      <c r="C2" s="2"/>
      <c r="D2" s="2"/>
      <c r="E2" s="2"/>
      <c r="F2" s="2"/>
      <c r="G2" s="2"/>
      <c r="H2" s="2"/>
      <c r="I2" s="2"/>
      <c r="J2" s="2"/>
    </row>
    <row r="3" spans="2:10" ht="9" customHeight="1" thickTop="1" x14ac:dyDescent="0.3"/>
    <row r="4" spans="2:10" x14ac:dyDescent="0.3">
      <c r="B4" s="167"/>
      <c r="H4" s="5" t="s">
        <v>15</v>
      </c>
      <c r="I4" s="4" t="str">
        <f>IF(EstimatorName="","",EstimatorName)</f>
        <v/>
      </c>
    </row>
    <row r="5" spans="2:10" ht="15" customHeight="1" x14ac:dyDescent="0.3">
      <c r="B5" s="9" t="str">
        <f>IF(ProjectAddress="","",ProjectAddress)</f>
        <v/>
      </c>
      <c r="H5" s="5" t="s">
        <v>16</v>
      </c>
      <c r="I5" s="4" t="str">
        <f>IF(EstimateNo="","",EstimateNo)</f>
        <v/>
      </c>
    </row>
    <row r="7" spans="2:10" x14ac:dyDescent="0.3">
      <c r="B7" t="s">
        <v>56</v>
      </c>
      <c r="C7" s="1" t="s">
        <v>38</v>
      </c>
      <c r="E7" t="s">
        <v>34</v>
      </c>
      <c r="F7" t="s">
        <v>35</v>
      </c>
    </row>
    <row r="8" spans="2:10" x14ac:dyDescent="0.3">
      <c r="B8" s="113" t="s">
        <v>39</v>
      </c>
      <c r="C8" s="115">
        <v>100.46</v>
      </c>
      <c r="E8" s="113" t="s">
        <v>57</v>
      </c>
      <c r="F8" s="113" t="s">
        <v>64</v>
      </c>
    </row>
    <row r="9" spans="2:10" x14ac:dyDescent="0.3">
      <c r="B9" s="113" t="s">
        <v>40</v>
      </c>
      <c r="C9" s="115">
        <v>95.5</v>
      </c>
      <c r="E9" s="113" t="s">
        <v>58</v>
      </c>
      <c r="F9" s="113" t="s">
        <v>65</v>
      </c>
    </row>
    <row r="10" spans="2:10" x14ac:dyDescent="0.3">
      <c r="B10" s="113" t="s">
        <v>42</v>
      </c>
      <c r="C10" s="115">
        <v>110</v>
      </c>
      <c r="E10" s="113" t="s">
        <v>59</v>
      </c>
      <c r="F10" s="113" t="s">
        <v>66</v>
      </c>
    </row>
    <row r="11" spans="2:10" x14ac:dyDescent="0.3">
      <c r="B11" s="113" t="s">
        <v>41</v>
      </c>
      <c r="C11" s="115">
        <v>125</v>
      </c>
      <c r="E11" s="113" t="s">
        <v>60</v>
      </c>
      <c r="F11" s="113" t="s">
        <v>67</v>
      </c>
    </row>
    <row r="12" spans="2:10" x14ac:dyDescent="0.3">
      <c r="B12" s="113" t="s">
        <v>43</v>
      </c>
      <c r="C12" s="115">
        <v>125</v>
      </c>
      <c r="E12" s="113" t="s">
        <v>61</v>
      </c>
      <c r="F12" s="113" t="s">
        <v>68</v>
      </c>
    </row>
    <row r="13" spans="2:10" x14ac:dyDescent="0.3">
      <c r="B13" s="113" t="s">
        <v>44</v>
      </c>
      <c r="C13" s="115">
        <v>105</v>
      </c>
      <c r="E13" s="113" t="s">
        <v>62</v>
      </c>
      <c r="F13" s="113" t="s">
        <v>69</v>
      </c>
    </row>
    <row r="14" spans="2:10" x14ac:dyDescent="0.3">
      <c r="B14" s="113" t="s">
        <v>45</v>
      </c>
      <c r="C14" s="115">
        <v>40</v>
      </c>
      <c r="E14" s="113" t="s">
        <v>63</v>
      </c>
      <c r="F14" s="113" t="s">
        <v>70</v>
      </c>
    </row>
    <row r="15" spans="2:10" x14ac:dyDescent="0.3">
      <c r="B15" s="113" t="s">
        <v>46</v>
      </c>
      <c r="C15" s="115">
        <v>40</v>
      </c>
      <c r="E15" s="113"/>
      <c r="F15" s="113"/>
    </row>
    <row r="16" spans="2:10" x14ac:dyDescent="0.3">
      <c r="B16" s="113"/>
      <c r="C16" s="115"/>
      <c r="E16" s="113"/>
      <c r="F16" s="113"/>
    </row>
    <row r="17" spans="2:6" x14ac:dyDescent="0.3">
      <c r="B17" s="113"/>
      <c r="C17" s="115"/>
      <c r="E17" s="113"/>
      <c r="F17" s="113"/>
    </row>
    <row r="18" spans="2:6" x14ac:dyDescent="0.3">
      <c r="B18" s="218"/>
      <c r="C18" s="219"/>
      <c r="E18" s="113"/>
      <c r="F18" s="113"/>
    </row>
    <row r="19" spans="2:6" x14ac:dyDescent="0.3">
      <c r="B19" t="s">
        <v>125</v>
      </c>
      <c r="C19" s="1" t="s">
        <v>126</v>
      </c>
      <c r="E19" s="113"/>
      <c r="F19" s="113"/>
    </row>
    <row r="20" spans="2:6" x14ac:dyDescent="0.3">
      <c r="B20" s="112" t="s">
        <v>127</v>
      </c>
      <c r="C20" s="185">
        <v>7.4999999999999997E-2</v>
      </c>
      <c r="E20" s="113"/>
      <c r="F20" s="113"/>
    </row>
    <row r="21" spans="2:6" x14ac:dyDescent="0.3">
      <c r="B21" s="112" t="s">
        <v>133</v>
      </c>
      <c r="C21" s="185">
        <v>0.1</v>
      </c>
    </row>
    <row r="22" spans="2:6" x14ac:dyDescent="0.3">
      <c r="B22" s="112" t="s">
        <v>134</v>
      </c>
      <c r="C22" s="185">
        <v>0.1</v>
      </c>
    </row>
    <row r="23" spans="2:6" x14ac:dyDescent="0.3">
      <c r="B23" s="112"/>
      <c r="C23" s="184"/>
    </row>
    <row r="24" spans="2:6" x14ac:dyDescent="0.3">
      <c r="B24" s="112"/>
      <c r="C24" s="184"/>
    </row>
    <row r="25" spans="2:6" x14ac:dyDescent="0.3">
      <c r="B25" s="112"/>
      <c r="C25" s="184"/>
    </row>
    <row r="26" spans="2:6" x14ac:dyDescent="0.3">
      <c r="B26" s="112"/>
      <c r="C26" s="184"/>
    </row>
    <row r="27" spans="2:6" x14ac:dyDescent="0.3">
      <c r="B27" s="112"/>
      <c r="C27" s="184"/>
    </row>
    <row r="28" spans="2:6" x14ac:dyDescent="0.3">
      <c r="B28" s="112"/>
      <c r="C28" s="184"/>
    </row>
    <row r="29" spans="2:6" x14ac:dyDescent="0.3">
      <c r="B29" s="112"/>
      <c r="C29" s="184"/>
    </row>
  </sheetData>
  <sheetProtection sheet="1" objects="1" scenarios="1" selectLockedCells="1"/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E1:X5480"/>
  <sheetViews>
    <sheetView workbookViewId="0"/>
  </sheetViews>
  <sheetFormatPr defaultColWidth="9.109375" defaultRowHeight="14.4" x14ac:dyDescent="0.3"/>
  <cols>
    <col min="1" max="1" width="14" style="172" bestFit="1" customWidth="1"/>
    <col min="2" max="2" width="7.33203125" style="172" bestFit="1" customWidth="1"/>
    <col min="3" max="3" width="9.44140625" style="172" bestFit="1" customWidth="1"/>
    <col min="4" max="4" width="7.5546875" style="172" bestFit="1" customWidth="1"/>
    <col min="5" max="5" width="15" style="172" bestFit="1" customWidth="1"/>
    <col min="6" max="6" width="16" style="172" bestFit="1" customWidth="1"/>
    <col min="7" max="7" width="11" style="172" bestFit="1" customWidth="1"/>
    <col min="8" max="8" width="10.5546875" style="172" bestFit="1" customWidth="1"/>
    <col min="9" max="9" width="16.33203125" style="172" bestFit="1" customWidth="1"/>
    <col min="10" max="10" width="4.109375" style="172" bestFit="1" customWidth="1"/>
    <col min="11" max="11" width="31.33203125" style="172" bestFit="1" customWidth="1"/>
    <col min="12" max="12" width="6.88671875" style="194" bestFit="1" customWidth="1"/>
    <col min="13" max="13" width="10.6640625" style="172" bestFit="1" customWidth="1"/>
    <col min="14" max="14" width="6.6640625" style="172" bestFit="1" customWidth="1"/>
    <col min="15" max="15" width="11.5546875" style="172" bestFit="1" customWidth="1"/>
    <col min="16" max="17" width="10.33203125" style="172" bestFit="1" customWidth="1"/>
    <col min="18" max="18" width="9" style="172" bestFit="1" customWidth="1"/>
    <col min="19" max="19" width="7" style="172" bestFit="1" customWidth="1"/>
    <col min="20" max="20" width="8" style="172" customWidth="1"/>
    <col min="21" max="21" width="12.33203125" style="172" bestFit="1" customWidth="1"/>
    <col min="22" max="22" width="12.44140625" style="172" bestFit="1" customWidth="1"/>
    <col min="23" max="23" width="15.6640625" style="172" bestFit="1" customWidth="1"/>
    <col min="24" max="16384" width="9.109375" style="172"/>
  </cols>
  <sheetData>
    <row r="1" spans="5:24" s="11" customFormat="1" x14ac:dyDescent="0.3"/>
    <row r="2" spans="5:24" x14ac:dyDescent="0.3">
      <c r="E2" s="173"/>
      <c r="F2" s="173"/>
      <c r="I2"/>
      <c r="J2"/>
      <c r="K2"/>
      <c r="L2"/>
      <c r="M2"/>
      <c r="N2"/>
      <c r="O2"/>
      <c r="P2" s="225"/>
      <c r="Q2" s="225"/>
      <c r="R2"/>
      <c r="S2"/>
      <c r="T2"/>
      <c r="U2"/>
      <c r="V2"/>
      <c r="W2"/>
      <c r="X2"/>
    </row>
    <row r="3" spans="5:24" x14ac:dyDescent="0.3">
      <c r="E3" s="173"/>
      <c r="F3" s="173"/>
      <c r="I3"/>
      <c r="J3"/>
      <c r="K3"/>
      <c r="L3"/>
      <c r="M3"/>
      <c r="N3"/>
      <c r="O3"/>
      <c r="P3" s="225"/>
      <c r="Q3" s="225"/>
      <c r="R3"/>
      <c r="S3"/>
      <c r="T3"/>
      <c r="U3"/>
      <c r="V3"/>
      <c r="W3"/>
      <c r="X3"/>
    </row>
    <row r="4" spans="5:24" x14ac:dyDescent="0.3">
      <c r="E4" s="173"/>
      <c r="F4" s="173"/>
      <c r="I4"/>
      <c r="J4"/>
      <c r="K4"/>
      <c r="L4"/>
      <c r="M4"/>
      <c r="N4"/>
      <c r="O4"/>
      <c r="P4" s="225"/>
      <c r="Q4" s="225"/>
      <c r="R4"/>
      <c r="S4"/>
      <c r="T4"/>
      <c r="U4"/>
      <c r="V4"/>
      <c r="W4"/>
      <c r="X4"/>
    </row>
    <row r="5" spans="5:24" x14ac:dyDescent="0.3">
      <c r="E5" s="173"/>
      <c r="F5" s="173"/>
      <c r="I5"/>
      <c r="J5"/>
      <c r="K5"/>
      <c r="L5"/>
      <c r="M5"/>
      <c r="N5"/>
      <c r="O5"/>
      <c r="P5" s="225"/>
      <c r="Q5" s="225"/>
      <c r="R5"/>
      <c r="S5"/>
      <c r="T5"/>
      <c r="U5"/>
      <c r="V5"/>
      <c r="W5"/>
      <c r="X5"/>
    </row>
    <row r="6" spans="5:24" x14ac:dyDescent="0.3">
      <c r="E6" s="173"/>
      <c r="F6" s="173"/>
      <c r="I6"/>
      <c r="J6"/>
      <c r="K6"/>
      <c r="L6"/>
      <c r="M6"/>
      <c r="N6"/>
      <c r="O6"/>
      <c r="P6" s="225"/>
      <c r="Q6" s="225"/>
      <c r="R6"/>
      <c r="S6"/>
      <c r="T6"/>
      <c r="U6"/>
      <c r="V6"/>
      <c r="W6"/>
      <c r="X6"/>
    </row>
    <row r="7" spans="5:24" x14ac:dyDescent="0.3">
      <c r="E7" s="173"/>
      <c r="F7" s="173"/>
      <c r="I7"/>
      <c r="J7"/>
      <c r="K7"/>
      <c r="L7"/>
      <c r="M7"/>
      <c r="N7"/>
      <c r="O7"/>
      <c r="P7" s="225"/>
      <c r="Q7" s="225"/>
      <c r="R7"/>
      <c r="S7"/>
      <c r="T7"/>
      <c r="U7"/>
      <c r="V7"/>
      <c r="W7"/>
      <c r="X7"/>
    </row>
    <row r="8" spans="5:24" x14ac:dyDescent="0.3">
      <c r="E8" s="173"/>
      <c r="F8" s="173"/>
      <c r="I8"/>
      <c r="J8"/>
      <c r="K8"/>
      <c r="L8"/>
      <c r="M8"/>
      <c r="N8"/>
      <c r="O8"/>
      <c r="P8" s="225"/>
      <c r="Q8" s="225"/>
      <c r="R8"/>
      <c r="S8"/>
      <c r="T8"/>
      <c r="U8"/>
      <c r="V8"/>
      <c r="W8"/>
      <c r="X8"/>
    </row>
    <row r="9" spans="5:24" x14ac:dyDescent="0.3">
      <c r="E9" s="173"/>
      <c r="F9" s="173"/>
      <c r="I9"/>
      <c r="J9"/>
      <c r="K9"/>
      <c r="L9"/>
      <c r="M9"/>
      <c r="N9"/>
      <c r="O9"/>
      <c r="P9" s="225"/>
      <c r="Q9" s="225"/>
      <c r="R9"/>
      <c r="S9"/>
      <c r="T9"/>
      <c r="U9"/>
      <c r="V9"/>
      <c r="W9"/>
      <c r="X9"/>
    </row>
    <row r="10" spans="5:24" x14ac:dyDescent="0.3">
      <c r="E10" s="173"/>
      <c r="F10" s="173"/>
      <c r="I10"/>
      <c r="J10"/>
      <c r="K10"/>
      <c r="L10"/>
      <c r="M10"/>
      <c r="N10"/>
      <c r="O10"/>
      <c r="P10" s="225"/>
      <c r="Q10" s="225"/>
      <c r="R10"/>
      <c r="S10"/>
      <c r="T10"/>
      <c r="U10"/>
      <c r="V10"/>
      <c r="W10"/>
      <c r="X10"/>
    </row>
    <row r="11" spans="5:24" x14ac:dyDescent="0.3">
      <c r="E11" s="173"/>
      <c r="F11" s="173"/>
      <c r="I11"/>
      <c r="J11"/>
      <c r="K11"/>
      <c r="L11"/>
      <c r="M11"/>
      <c r="N11"/>
      <c r="O11"/>
      <c r="P11" s="225"/>
      <c r="Q11" s="225"/>
      <c r="R11"/>
      <c r="S11"/>
      <c r="T11"/>
      <c r="U11"/>
      <c r="V11"/>
      <c r="W11"/>
      <c r="X11"/>
    </row>
    <row r="12" spans="5:24" x14ac:dyDescent="0.3">
      <c r="E12" s="173"/>
      <c r="F12" s="173"/>
      <c r="I12"/>
      <c r="J12"/>
      <c r="K12"/>
      <c r="L12"/>
      <c r="M12"/>
      <c r="N12"/>
      <c r="O12"/>
      <c r="P12" s="225"/>
      <c r="Q12" s="225"/>
      <c r="R12"/>
      <c r="S12"/>
      <c r="T12"/>
      <c r="U12"/>
      <c r="V12"/>
      <c r="W12"/>
      <c r="X12"/>
    </row>
    <row r="13" spans="5:24" x14ac:dyDescent="0.3">
      <c r="E13" s="173"/>
      <c r="F13" s="173"/>
      <c r="I13"/>
      <c r="J13"/>
      <c r="K13"/>
      <c r="L13"/>
      <c r="M13"/>
      <c r="N13"/>
      <c r="O13"/>
      <c r="P13" s="225"/>
      <c r="Q13" s="225"/>
      <c r="R13"/>
      <c r="S13"/>
      <c r="T13"/>
      <c r="U13"/>
      <c r="V13"/>
      <c r="W13"/>
      <c r="X13"/>
    </row>
    <row r="14" spans="5:24" x14ac:dyDescent="0.3">
      <c r="E14" s="173"/>
      <c r="F14" s="173"/>
      <c r="I14"/>
      <c r="J14"/>
      <c r="K14"/>
      <c r="L14"/>
      <c r="M14"/>
      <c r="N14"/>
      <c r="O14"/>
      <c r="P14" s="225"/>
      <c r="Q14" s="225"/>
      <c r="R14"/>
      <c r="S14"/>
      <c r="T14"/>
      <c r="U14"/>
      <c r="V14"/>
      <c r="W14"/>
      <c r="X14"/>
    </row>
    <row r="15" spans="5:24" x14ac:dyDescent="0.3">
      <c r="E15" s="173"/>
      <c r="F15" s="173"/>
      <c r="I15"/>
      <c r="J15"/>
      <c r="K15"/>
      <c r="L15"/>
      <c r="M15"/>
      <c r="N15"/>
      <c r="O15"/>
      <c r="P15" s="225"/>
      <c r="Q15" s="225"/>
      <c r="R15"/>
      <c r="S15"/>
      <c r="T15"/>
      <c r="U15"/>
      <c r="V15"/>
      <c r="W15"/>
      <c r="X15"/>
    </row>
    <row r="16" spans="5:24" x14ac:dyDescent="0.3">
      <c r="E16" s="173"/>
      <c r="F16" s="173"/>
      <c r="I16"/>
      <c r="J16"/>
      <c r="K16"/>
      <c r="L16"/>
      <c r="M16"/>
      <c r="N16"/>
      <c r="O16"/>
      <c r="P16" s="225"/>
      <c r="Q16" s="225"/>
      <c r="R16"/>
      <c r="S16"/>
      <c r="T16"/>
      <c r="U16"/>
      <c r="V16"/>
      <c r="W16"/>
      <c r="X16"/>
    </row>
    <row r="17" spans="5:24" x14ac:dyDescent="0.3">
      <c r="E17" s="173"/>
      <c r="F17" s="173"/>
      <c r="I17"/>
      <c r="J17"/>
      <c r="K17"/>
      <c r="L17"/>
      <c r="M17"/>
      <c r="N17"/>
      <c r="O17"/>
      <c r="P17" s="225"/>
      <c r="Q17" s="225"/>
      <c r="R17"/>
      <c r="S17"/>
      <c r="T17"/>
      <c r="U17"/>
      <c r="V17"/>
      <c r="W17"/>
      <c r="X17"/>
    </row>
    <row r="18" spans="5:24" x14ac:dyDescent="0.3">
      <c r="E18" s="173"/>
      <c r="F18" s="173"/>
      <c r="I18"/>
      <c r="J18"/>
      <c r="K18"/>
      <c r="L18"/>
      <c r="M18"/>
      <c r="N18"/>
      <c r="O18"/>
      <c r="P18" s="225"/>
      <c r="Q18" s="225"/>
      <c r="R18"/>
      <c r="S18"/>
      <c r="T18"/>
      <c r="U18"/>
      <c r="V18"/>
      <c r="W18"/>
      <c r="X18"/>
    </row>
    <row r="19" spans="5:24" x14ac:dyDescent="0.3">
      <c r="E19" s="173"/>
      <c r="F19" s="173"/>
      <c r="I19"/>
      <c r="J19"/>
      <c r="K19"/>
      <c r="L19"/>
      <c r="M19"/>
      <c r="N19"/>
      <c r="O19"/>
      <c r="P19" s="225"/>
      <c r="Q19" s="225"/>
      <c r="R19"/>
      <c r="S19"/>
      <c r="T19"/>
      <c r="U19"/>
      <c r="V19"/>
      <c r="W19"/>
      <c r="X19"/>
    </row>
    <row r="20" spans="5:24" x14ac:dyDescent="0.3">
      <c r="E20" s="173"/>
      <c r="F20" s="173"/>
      <c r="I20"/>
      <c r="J20"/>
      <c r="K20"/>
      <c r="L20"/>
      <c r="M20"/>
      <c r="N20"/>
      <c r="O20"/>
      <c r="P20" s="225"/>
      <c r="Q20" s="225"/>
      <c r="R20"/>
      <c r="S20"/>
      <c r="T20"/>
      <c r="U20"/>
      <c r="V20"/>
      <c r="W20"/>
      <c r="X20"/>
    </row>
    <row r="21" spans="5:24" x14ac:dyDescent="0.3">
      <c r="E21" s="173"/>
      <c r="F21" s="173"/>
      <c r="I21"/>
      <c r="J21"/>
      <c r="K21"/>
      <c r="L21"/>
      <c r="M21"/>
      <c r="N21"/>
      <c r="O21"/>
      <c r="P21" s="225"/>
      <c r="Q21" s="225"/>
      <c r="R21"/>
      <c r="S21"/>
      <c r="T21"/>
      <c r="U21"/>
      <c r="V21"/>
      <c r="W21"/>
      <c r="X21"/>
    </row>
    <row r="22" spans="5:24" x14ac:dyDescent="0.3">
      <c r="E22" s="173"/>
      <c r="F22" s="173"/>
      <c r="I22"/>
      <c r="J22"/>
      <c r="K22"/>
      <c r="L22"/>
      <c r="M22"/>
      <c r="N22"/>
      <c r="O22"/>
      <c r="P22" s="225"/>
      <c r="Q22" s="225"/>
      <c r="R22"/>
      <c r="S22"/>
      <c r="T22"/>
      <c r="U22"/>
      <c r="V22"/>
      <c r="W22"/>
      <c r="X22"/>
    </row>
    <row r="23" spans="5:24" x14ac:dyDescent="0.3">
      <c r="E23" s="173"/>
      <c r="F23" s="173"/>
      <c r="I23"/>
      <c r="J23"/>
      <c r="K23"/>
      <c r="L23"/>
      <c r="M23"/>
      <c r="N23"/>
      <c r="O23"/>
      <c r="P23" s="225"/>
      <c r="Q23" s="225"/>
      <c r="R23"/>
      <c r="S23"/>
      <c r="T23"/>
      <c r="U23"/>
      <c r="V23"/>
      <c r="W23"/>
      <c r="X23"/>
    </row>
    <row r="24" spans="5:24" x14ac:dyDescent="0.3">
      <c r="E24" s="173"/>
      <c r="F24" s="173"/>
      <c r="I24"/>
      <c r="J24"/>
      <c r="K24"/>
      <c r="L24"/>
      <c r="M24"/>
      <c r="N24"/>
      <c r="O24"/>
      <c r="P24" s="225"/>
      <c r="Q24" s="225"/>
      <c r="R24"/>
      <c r="S24"/>
      <c r="T24"/>
      <c r="U24"/>
      <c r="V24"/>
      <c r="W24"/>
      <c r="X24"/>
    </row>
    <row r="25" spans="5:24" x14ac:dyDescent="0.3">
      <c r="E25" s="173"/>
      <c r="F25" s="173"/>
      <c r="I25"/>
      <c r="J25"/>
      <c r="K25"/>
      <c r="L25"/>
      <c r="M25"/>
      <c r="N25"/>
      <c r="O25"/>
      <c r="P25" s="225"/>
      <c r="Q25" s="225"/>
      <c r="R25"/>
      <c r="S25"/>
      <c r="T25"/>
      <c r="U25"/>
      <c r="V25"/>
      <c r="W25"/>
      <c r="X25"/>
    </row>
    <row r="26" spans="5:24" x14ac:dyDescent="0.3">
      <c r="E26" s="173"/>
      <c r="F26" s="173"/>
      <c r="I26"/>
      <c r="J26"/>
      <c r="K26"/>
      <c r="L26"/>
      <c r="M26"/>
      <c r="N26"/>
      <c r="O26"/>
      <c r="P26" s="225"/>
      <c r="Q26" s="225"/>
      <c r="R26"/>
      <c r="S26"/>
      <c r="T26"/>
      <c r="U26"/>
      <c r="V26"/>
      <c r="W26"/>
      <c r="X26"/>
    </row>
    <row r="27" spans="5:24" x14ac:dyDescent="0.3">
      <c r="E27" s="173"/>
      <c r="F27" s="173"/>
      <c r="I27"/>
      <c r="J27"/>
      <c r="K27"/>
      <c r="L27"/>
      <c r="M27"/>
      <c r="N27"/>
      <c r="O27"/>
      <c r="P27" s="225"/>
      <c r="Q27" s="225"/>
      <c r="R27"/>
      <c r="S27"/>
      <c r="T27"/>
      <c r="U27"/>
      <c r="V27"/>
      <c r="W27"/>
      <c r="X27"/>
    </row>
    <row r="28" spans="5:24" x14ac:dyDescent="0.3">
      <c r="E28" s="173"/>
      <c r="F28" s="173"/>
      <c r="I28"/>
      <c r="J28"/>
      <c r="K28"/>
      <c r="L28"/>
      <c r="M28"/>
      <c r="N28"/>
      <c r="O28"/>
      <c r="P28" s="225"/>
      <c r="Q28" s="225"/>
      <c r="R28"/>
      <c r="S28"/>
      <c r="T28"/>
      <c r="U28"/>
      <c r="V28"/>
      <c r="W28"/>
      <c r="X28"/>
    </row>
    <row r="29" spans="5:24" x14ac:dyDescent="0.3">
      <c r="E29" s="173"/>
      <c r="F29" s="173"/>
      <c r="I29"/>
      <c r="J29"/>
      <c r="K29"/>
      <c r="L29"/>
      <c r="M29"/>
      <c r="N29"/>
      <c r="O29"/>
      <c r="P29" s="225"/>
      <c r="Q29" s="225"/>
      <c r="R29"/>
      <c r="S29"/>
      <c r="T29"/>
      <c r="U29"/>
      <c r="V29"/>
      <c r="W29"/>
      <c r="X29"/>
    </row>
    <row r="30" spans="5:24" x14ac:dyDescent="0.3">
      <c r="E30" s="173"/>
      <c r="F30" s="173"/>
      <c r="I30"/>
      <c r="J30"/>
      <c r="K30"/>
      <c r="L30"/>
      <c r="M30"/>
      <c r="N30"/>
      <c r="O30"/>
      <c r="P30" s="225"/>
      <c r="Q30" s="225"/>
      <c r="R30"/>
      <c r="S30"/>
      <c r="T30"/>
      <c r="U30"/>
      <c r="V30"/>
      <c r="W30"/>
      <c r="X30"/>
    </row>
    <row r="31" spans="5:24" x14ac:dyDescent="0.3">
      <c r="E31" s="173"/>
      <c r="F31" s="173"/>
      <c r="I31"/>
      <c r="J31"/>
      <c r="K31"/>
      <c r="L31"/>
      <c r="M31"/>
      <c r="N31"/>
      <c r="O31"/>
      <c r="P31" s="225"/>
      <c r="Q31" s="225"/>
      <c r="R31"/>
      <c r="S31"/>
      <c r="T31"/>
      <c r="U31"/>
      <c r="V31"/>
      <c r="W31"/>
      <c r="X31"/>
    </row>
    <row r="32" spans="5:24" x14ac:dyDescent="0.3">
      <c r="E32" s="173"/>
      <c r="F32" s="173"/>
      <c r="I32"/>
      <c r="J32"/>
      <c r="K32"/>
      <c r="L32"/>
      <c r="M32"/>
      <c r="N32"/>
      <c r="O32"/>
      <c r="P32" s="225"/>
      <c r="Q32" s="225"/>
      <c r="R32"/>
      <c r="S32"/>
      <c r="T32"/>
      <c r="U32"/>
      <c r="V32"/>
      <c r="W32"/>
      <c r="X32"/>
    </row>
    <row r="33" spans="5:24" x14ac:dyDescent="0.3">
      <c r="E33" s="173"/>
      <c r="F33" s="173"/>
      <c r="I33"/>
      <c r="J33"/>
      <c r="K33"/>
      <c r="L33"/>
      <c r="M33"/>
      <c r="N33"/>
      <c r="O33"/>
      <c r="P33" s="225"/>
      <c r="Q33" s="225"/>
      <c r="R33"/>
      <c r="S33"/>
      <c r="T33"/>
      <c r="U33"/>
      <c r="V33"/>
      <c r="W33"/>
      <c r="X33"/>
    </row>
    <row r="34" spans="5:24" x14ac:dyDescent="0.3">
      <c r="E34" s="173"/>
      <c r="F34" s="173"/>
      <c r="I34"/>
      <c r="J34"/>
      <c r="K34"/>
      <c r="L34"/>
      <c r="M34"/>
      <c r="N34"/>
      <c r="O34"/>
      <c r="P34" s="225"/>
      <c r="Q34" s="225"/>
      <c r="R34"/>
      <c r="S34"/>
      <c r="T34"/>
      <c r="U34"/>
      <c r="V34"/>
      <c r="W34"/>
      <c r="X34"/>
    </row>
    <row r="35" spans="5:24" x14ac:dyDescent="0.3">
      <c r="E35" s="173"/>
      <c r="F35" s="173"/>
      <c r="I35"/>
      <c r="J35"/>
      <c r="K35"/>
      <c r="L35"/>
      <c r="M35"/>
      <c r="N35"/>
      <c r="O35"/>
      <c r="P35" s="225"/>
      <c r="Q35" s="225"/>
      <c r="R35"/>
      <c r="S35"/>
      <c r="T35"/>
      <c r="U35"/>
      <c r="V35"/>
      <c r="W35"/>
      <c r="X35"/>
    </row>
    <row r="36" spans="5:24" x14ac:dyDescent="0.3">
      <c r="E36" s="173"/>
      <c r="F36" s="173"/>
      <c r="I36"/>
      <c r="J36"/>
      <c r="K36"/>
      <c r="L36"/>
      <c r="M36"/>
      <c r="N36"/>
      <c r="O36"/>
      <c r="P36" s="225"/>
      <c r="Q36" s="225"/>
      <c r="R36"/>
      <c r="S36"/>
      <c r="T36"/>
      <c r="U36"/>
      <c r="V36"/>
      <c r="W36"/>
      <c r="X36"/>
    </row>
    <row r="37" spans="5:24" x14ac:dyDescent="0.3">
      <c r="E37" s="173"/>
      <c r="F37" s="173"/>
      <c r="I37"/>
      <c r="J37"/>
      <c r="K37"/>
      <c r="L37"/>
      <c r="M37"/>
      <c r="N37"/>
      <c r="O37"/>
      <c r="P37" s="225"/>
      <c r="Q37" s="225"/>
      <c r="R37"/>
      <c r="S37"/>
      <c r="T37"/>
      <c r="U37"/>
      <c r="V37"/>
      <c r="W37"/>
      <c r="X37"/>
    </row>
    <row r="38" spans="5:24" x14ac:dyDescent="0.3">
      <c r="E38" s="173"/>
      <c r="F38" s="173"/>
      <c r="I38"/>
      <c r="J38"/>
      <c r="K38"/>
      <c r="L38"/>
      <c r="M38"/>
      <c r="N38"/>
      <c r="O38"/>
      <c r="P38" s="225"/>
      <c r="Q38" s="225"/>
      <c r="R38"/>
      <c r="S38"/>
      <c r="T38"/>
      <c r="U38"/>
      <c r="V38"/>
      <c r="W38"/>
      <c r="X38"/>
    </row>
    <row r="39" spans="5:24" x14ac:dyDescent="0.3">
      <c r="E39" s="173"/>
      <c r="F39" s="173"/>
      <c r="I39"/>
      <c r="J39"/>
      <c r="K39"/>
      <c r="L39"/>
      <c r="M39"/>
      <c r="N39"/>
      <c r="O39"/>
      <c r="P39" s="225"/>
      <c r="Q39" s="225"/>
      <c r="R39"/>
      <c r="S39"/>
      <c r="T39"/>
      <c r="U39"/>
      <c r="V39"/>
      <c r="W39"/>
      <c r="X39"/>
    </row>
    <row r="40" spans="5:24" x14ac:dyDescent="0.3">
      <c r="E40" s="173"/>
      <c r="F40" s="173"/>
      <c r="I40"/>
      <c r="J40"/>
      <c r="K40"/>
      <c r="L40"/>
      <c r="M40"/>
      <c r="N40"/>
      <c r="O40"/>
      <c r="P40" s="225"/>
      <c r="Q40" s="225"/>
      <c r="R40"/>
      <c r="S40"/>
      <c r="T40"/>
      <c r="U40"/>
      <c r="V40"/>
      <c r="W40"/>
      <c r="X40"/>
    </row>
    <row r="41" spans="5:24" x14ac:dyDescent="0.3">
      <c r="E41" s="173"/>
      <c r="F41" s="173"/>
      <c r="I41"/>
      <c r="J41"/>
      <c r="K41"/>
      <c r="L41"/>
      <c r="M41"/>
      <c r="N41"/>
      <c r="O41"/>
      <c r="P41" s="225"/>
      <c r="Q41" s="225"/>
      <c r="R41"/>
      <c r="S41"/>
      <c r="T41"/>
      <c r="U41"/>
      <c r="V41"/>
      <c r="W41"/>
      <c r="X41"/>
    </row>
    <row r="42" spans="5:24" x14ac:dyDescent="0.3">
      <c r="E42" s="173"/>
      <c r="F42" s="173"/>
      <c r="I42"/>
      <c r="J42"/>
      <c r="K42"/>
      <c r="L42"/>
      <c r="M42"/>
      <c r="N42"/>
      <c r="O42"/>
      <c r="P42" s="225"/>
      <c r="Q42" s="225"/>
      <c r="R42"/>
      <c r="S42"/>
      <c r="T42"/>
      <c r="U42"/>
      <c r="V42"/>
      <c r="W42"/>
      <c r="X42"/>
    </row>
    <row r="43" spans="5:24" x14ac:dyDescent="0.3">
      <c r="E43" s="173"/>
      <c r="F43" s="173"/>
      <c r="I43"/>
      <c r="J43"/>
      <c r="K43"/>
      <c r="L43"/>
      <c r="M43"/>
      <c r="N43"/>
      <c r="O43"/>
      <c r="P43" s="225"/>
      <c r="Q43" s="225"/>
      <c r="R43"/>
      <c r="S43"/>
      <c r="T43"/>
      <c r="U43"/>
      <c r="V43"/>
      <c r="W43"/>
      <c r="X43"/>
    </row>
    <row r="44" spans="5:24" x14ac:dyDescent="0.3">
      <c r="E44" s="173"/>
      <c r="F44" s="173"/>
      <c r="I44"/>
      <c r="J44"/>
      <c r="K44"/>
      <c r="L44"/>
      <c r="M44"/>
      <c r="N44"/>
      <c r="O44"/>
      <c r="P44" s="225"/>
      <c r="Q44" s="225"/>
      <c r="R44"/>
      <c r="S44"/>
      <c r="T44"/>
      <c r="U44"/>
      <c r="V44"/>
      <c r="W44"/>
      <c r="X44"/>
    </row>
    <row r="45" spans="5:24" x14ac:dyDescent="0.3">
      <c r="E45" s="173"/>
      <c r="F45" s="173"/>
      <c r="I45"/>
      <c r="J45"/>
      <c r="K45"/>
      <c r="L45"/>
      <c r="M45"/>
      <c r="N45"/>
      <c r="O45"/>
      <c r="P45" s="225"/>
      <c r="Q45" s="225"/>
      <c r="R45"/>
      <c r="S45"/>
      <c r="T45"/>
      <c r="U45"/>
      <c r="V45"/>
      <c r="W45"/>
      <c r="X45"/>
    </row>
    <row r="46" spans="5:24" x14ac:dyDescent="0.3">
      <c r="E46" s="173"/>
      <c r="F46" s="173"/>
      <c r="I46"/>
      <c r="J46"/>
      <c r="K46"/>
      <c r="L46"/>
      <c r="M46"/>
      <c r="N46"/>
      <c r="O46"/>
      <c r="P46" s="225"/>
      <c r="Q46" s="225"/>
      <c r="R46"/>
      <c r="S46"/>
      <c r="T46"/>
      <c r="U46"/>
      <c r="V46"/>
      <c r="W46"/>
      <c r="X46"/>
    </row>
    <row r="47" spans="5:24" x14ac:dyDescent="0.3">
      <c r="E47" s="173"/>
      <c r="F47" s="173"/>
      <c r="I47"/>
      <c r="J47"/>
      <c r="K47"/>
      <c r="L47"/>
      <c r="M47"/>
      <c r="N47"/>
      <c r="O47"/>
      <c r="P47" s="225"/>
      <c r="Q47" s="225"/>
      <c r="R47"/>
      <c r="S47"/>
      <c r="T47"/>
      <c r="U47"/>
      <c r="V47"/>
      <c r="W47"/>
      <c r="X47"/>
    </row>
    <row r="48" spans="5:24" x14ac:dyDescent="0.3">
      <c r="E48" s="173"/>
      <c r="F48" s="173"/>
      <c r="I48"/>
      <c r="J48"/>
      <c r="K48"/>
      <c r="L48"/>
      <c r="M48"/>
      <c r="N48"/>
      <c r="O48"/>
      <c r="P48" s="225"/>
      <c r="Q48" s="225"/>
      <c r="R48"/>
      <c r="S48"/>
      <c r="T48"/>
      <c r="U48"/>
      <c r="V48"/>
      <c r="W48"/>
      <c r="X48"/>
    </row>
    <row r="49" spans="5:24" x14ac:dyDescent="0.3">
      <c r="E49" s="173"/>
      <c r="F49" s="173"/>
      <c r="I49"/>
      <c r="J49"/>
      <c r="K49"/>
      <c r="L49"/>
      <c r="M49"/>
      <c r="N49"/>
      <c r="O49"/>
      <c r="P49" s="225"/>
      <c r="Q49" s="225"/>
      <c r="R49"/>
      <c r="S49"/>
      <c r="T49"/>
      <c r="U49"/>
      <c r="V49"/>
      <c r="W49"/>
      <c r="X49"/>
    </row>
    <row r="50" spans="5:24" x14ac:dyDescent="0.3">
      <c r="E50" s="173"/>
      <c r="F50" s="173"/>
      <c r="I50"/>
      <c r="J50"/>
      <c r="K50"/>
      <c r="L50"/>
      <c r="M50"/>
      <c r="N50"/>
      <c r="O50"/>
      <c r="P50" s="225"/>
      <c r="Q50" s="225"/>
      <c r="R50"/>
      <c r="S50"/>
      <c r="T50"/>
      <c r="U50"/>
      <c r="V50"/>
      <c r="W50"/>
      <c r="X50"/>
    </row>
    <row r="51" spans="5:24" x14ac:dyDescent="0.3">
      <c r="E51" s="173"/>
      <c r="F51" s="173"/>
      <c r="I51"/>
      <c r="J51"/>
      <c r="K51"/>
      <c r="L51"/>
      <c r="M51"/>
      <c r="N51"/>
      <c r="O51"/>
      <c r="P51" s="225"/>
      <c r="Q51" s="225"/>
      <c r="R51"/>
      <c r="S51"/>
      <c r="T51"/>
      <c r="U51"/>
      <c r="V51"/>
      <c r="W51"/>
      <c r="X51"/>
    </row>
    <row r="52" spans="5:24" x14ac:dyDescent="0.3">
      <c r="E52" s="173"/>
      <c r="F52" s="173"/>
      <c r="I52"/>
      <c r="J52"/>
      <c r="K52"/>
      <c r="L52"/>
      <c r="M52"/>
      <c r="N52"/>
      <c r="O52"/>
      <c r="P52" s="225"/>
      <c r="Q52" s="225"/>
      <c r="R52"/>
      <c r="S52"/>
      <c r="T52"/>
      <c r="U52"/>
      <c r="V52"/>
      <c r="W52"/>
      <c r="X52"/>
    </row>
    <row r="53" spans="5:24" x14ac:dyDescent="0.3">
      <c r="E53" s="173"/>
      <c r="F53" s="173"/>
      <c r="I53"/>
      <c r="J53"/>
      <c r="K53"/>
      <c r="L53"/>
      <c r="M53"/>
      <c r="N53"/>
      <c r="O53"/>
      <c r="P53" s="225"/>
      <c r="Q53" s="225"/>
      <c r="R53"/>
      <c r="S53"/>
      <c r="T53"/>
      <c r="U53"/>
      <c r="V53"/>
      <c r="W53"/>
      <c r="X53"/>
    </row>
    <row r="54" spans="5:24" x14ac:dyDescent="0.3">
      <c r="E54" s="173"/>
      <c r="F54" s="173"/>
      <c r="I54"/>
      <c r="J54"/>
      <c r="K54"/>
      <c r="L54"/>
      <c r="M54"/>
      <c r="N54"/>
      <c r="O54"/>
      <c r="P54" s="225"/>
      <c r="Q54" s="225"/>
      <c r="R54"/>
      <c r="S54"/>
      <c r="T54"/>
      <c r="U54"/>
      <c r="V54"/>
      <c r="W54"/>
      <c r="X54"/>
    </row>
    <row r="55" spans="5:24" x14ac:dyDescent="0.3">
      <c r="E55" s="173"/>
      <c r="F55" s="173"/>
      <c r="I55"/>
      <c r="J55"/>
      <c r="K55"/>
      <c r="L55"/>
      <c r="M55"/>
      <c r="N55"/>
      <c r="O55"/>
      <c r="P55" s="225"/>
      <c r="Q55" s="225"/>
      <c r="R55"/>
      <c r="S55"/>
      <c r="T55"/>
      <c r="U55"/>
      <c r="V55"/>
      <c r="W55"/>
      <c r="X55"/>
    </row>
    <row r="56" spans="5:24" x14ac:dyDescent="0.3">
      <c r="E56" s="173"/>
      <c r="F56" s="173"/>
      <c r="I56"/>
      <c r="J56"/>
      <c r="K56"/>
      <c r="L56"/>
      <c r="M56"/>
      <c r="N56"/>
      <c r="O56"/>
      <c r="P56" s="225"/>
      <c r="Q56" s="225"/>
      <c r="R56"/>
      <c r="S56"/>
      <c r="T56"/>
      <c r="U56"/>
      <c r="V56"/>
      <c r="W56"/>
      <c r="X56"/>
    </row>
    <row r="57" spans="5:24" x14ac:dyDescent="0.3">
      <c r="E57" s="173"/>
      <c r="F57" s="173"/>
      <c r="I57"/>
      <c r="J57"/>
      <c r="K57"/>
      <c r="L57"/>
      <c r="M57"/>
      <c r="N57"/>
      <c r="O57"/>
      <c r="P57" s="225"/>
      <c r="Q57" s="225"/>
      <c r="R57"/>
      <c r="S57"/>
      <c r="T57"/>
      <c r="U57"/>
      <c r="V57"/>
      <c r="W57"/>
      <c r="X57"/>
    </row>
    <row r="58" spans="5:24" x14ac:dyDescent="0.3">
      <c r="E58" s="173"/>
      <c r="F58" s="173"/>
      <c r="I58"/>
      <c r="J58"/>
      <c r="K58"/>
      <c r="L58"/>
      <c r="M58"/>
      <c r="N58"/>
      <c r="O58"/>
      <c r="P58" s="225"/>
      <c r="Q58" s="225"/>
      <c r="R58"/>
      <c r="S58"/>
      <c r="T58"/>
      <c r="U58"/>
      <c r="V58"/>
      <c r="W58"/>
      <c r="X58"/>
    </row>
    <row r="59" spans="5:24" x14ac:dyDescent="0.3">
      <c r="E59" s="173"/>
      <c r="F59" s="173"/>
      <c r="I59"/>
      <c r="J59"/>
      <c r="K59"/>
      <c r="L59"/>
      <c r="M59"/>
      <c r="N59"/>
      <c r="O59"/>
      <c r="P59" s="225"/>
      <c r="Q59" s="225"/>
      <c r="R59"/>
      <c r="S59"/>
      <c r="T59"/>
      <c r="U59"/>
      <c r="V59"/>
      <c r="W59"/>
      <c r="X59"/>
    </row>
    <row r="60" spans="5:24" x14ac:dyDescent="0.3">
      <c r="E60" s="173"/>
      <c r="F60" s="173"/>
      <c r="I60"/>
      <c r="J60"/>
      <c r="K60"/>
      <c r="L60"/>
      <c r="M60"/>
      <c r="N60"/>
      <c r="O60"/>
      <c r="P60" s="225"/>
      <c r="Q60" s="225"/>
      <c r="R60"/>
      <c r="S60"/>
      <c r="T60"/>
      <c r="U60"/>
      <c r="V60"/>
      <c r="W60"/>
      <c r="X60"/>
    </row>
    <row r="61" spans="5:24" x14ac:dyDescent="0.3">
      <c r="E61" s="173"/>
      <c r="F61" s="173"/>
      <c r="I61"/>
      <c r="J61"/>
      <c r="K61"/>
      <c r="L61"/>
      <c r="M61"/>
      <c r="N61"/>
      <c r="O61"/>
      <c r="P61" s="225"/>
      <c r="Q61" s="225"/>
      <c r="R61"/>
      <c r="S61"/>
      <c r="T61"/>
      <c r="U61"/>
      <c r="V61"/>
      <c r="W61"/>
      <c r="X61"/>
    </row>
    <row r="62" spans="5:24" x14ac:dyDescent="0.3">
      <c r="E62" s="173"/>
      <c r="F62" s="173"/>
      <c r="I62"/>
      <c r="J62"/>
      <c r="K62"/>
      <c r="L62"/>
      <c r="M62"/>
      <c r="N62"/>
      <c r="O62"/>
      <c r="P62" s="225"/>
      <c r="Q62" s="225"/>
      <c r="R62"/>
      <c r="S62"/>
      <c r="T62"/>
      <c r="U62"/>
      <c r="V62"/>
      <c r="W62"/>
      <c r="X62"/>
    </row>
    <row r="63" spans="5:24" x14ac:dyDescent="0.3">
      <c r="E63" s="173"/>
      <c r="F63" s="173"/>
      <c r="I63"/>
      <c r="J63"/>
      <c r="K63"/>
      <c r="L63"/>
      <c r="M63"/>
      <c r="N63"/>
      <c r="O63"/>
      <c r="P63" s="225"/>
      <c r="Q63" s="225"/>
      <c r="R63"/>
      <c r="S63"/>
      <c r="T63"/>
      <c r="U63"/>
      <c r="V63"/>
      <c r="W63"/>
      <c r="X63"/>
    </row>
    <row r="64" spans="5:24" x14ac:dyDescent="0.3">
      <c r="E64" s="173"/>
      <c r="F64" s="173"/>
      <c r="I64"/>
      <c r="J64"/>
      <c r="K64"/>
      <c r="L64"/>
      <c r="M64"/>
      <c r="N64"/>
      <c r="O64"/>
      <c r="P64" s="225"/>
      <c r="Q64" s="225"/>
      <c r="R64"/>
      <c r="S64"/>
      <c r="T64"/>
      <c r="U64"/>
      <c r="V64"/>
      <c r="W64"/>
      <c r="X64"/>
    </row>
    <row r="65" spans="5:24" x14ac:dyDescent="0.3">
      <c r="E65" s="173"/>
      <c r="F65" s="173"/>
      <c r="I65"/>
      <c r="J65"/>
      <c r="K65"/>
      <c r="L65"/>
      <c r="M65"/>
      <c r="N65"/>
      <c r="O65"/>
      <c r="P65" s="225"/>
      <c r="Q65" s="225"/>
      <c r="R65"/>
      <c r="S65"/>
      <c r="T65"/>
      <c r="U65"/>
      <c r="V65"/>
      <c r="W65"/>
      <c r="X65"/>
    </row>
    <row r="66" spans="5:24" x14ac:dyDescent="0.3">
      <c r="E66" s="173"/>
      <c r="F66" s="173"/>
      <c r="I66"/>
      <c r="J66"/>
      <c r="K66"/>
      <c r="L66"/>
      <c r="M66"/>
      <c r="N66"/>
      <c r="O66"/>
      <c r="P66" s="225"/>
      <c r="Q66" s="225"/>
      <c r="R66"/>
      <c r="S66"/>
      <c r="T66"/>
      <c r="U66"/>
      <c r="V66"/>
      <c r="W66"/>
      <c r="X66"/>
    </row>
    <row r="67" spans="5:24" x14ac:dyDescent="0.3">
      <c r="E67" s="173"/>
      <c r="F67" s="173"/>
      <c r="I67"/>
      <c r="J67"/>
      <c r="K67"/>
      <c r="L67"/>
      <c r="M67"/>
      <c r="N67"/>
      <c r="O67"/>
      <c r="P67" s="225"/>
      <c r="Q67" s="225"/>
      <c r="R67"/>
      <c r="S67"/>
      <c r="T67"/>
      <c r="U67"/>
      <c r="V67"/>
      <c r="W67"/>
      <c r="X67"/>
    </row>
    <row r="68" spans="5:24" x14ac:dyDescent="0.3">
      <c r="E68" s="173"/>
      <c r="F68" s="173"/>
      <c r="I68"/>
      <c r="J68"/>
      <c r="K68"/>
      <c r="L68"/>
      <c r="M68"/>
      <c r="N68"/>
      <c r="O68"/>
      <c r="P68" s="225"/>
      <c r="Q68" s="225"/>
      <c r="R68"/>
      <c r="S68"/>
      <c r="T68"/>
      <c r="U68"/>
      <c r="V68"/>
      <c r="W68"/>
      <c r="X68"/>
    </row>
    <row r="69" spans="5:24" x14ac:dyDescent="0.3">
      <c r="E69" s="173"/>
      <c r="F69" s="173"/>
      <c r="I69"/>
      <c r="J69"/>
      <c r="K69"/>
      <c r="L69"/>
      <c r="M69"/>
      <c r="N69"/>
      <c r="O69"/>
      <c r="P69" s="225"/>
      <c r="Q69" s="225"/>
      <c r="R69"/>
      <c r="S69"/>
      <c r="T69"/>
      <c r="U69"/>
      <c r="V69"/>
      <c r="W69"/>
      <c r="X69"/>
    </row>
    <row r="70" spans="5:24" x14ac:dyDescent="0.3">
      <c r="E70" s="173"/>
      <c r="F70" s="173"/>
      <c r="I70"/>
      <c r="J70"/>
      <c r="K70"/>
      <c r="L70"/>
      <c r="M70"/>
      <c r="N70"/>
      <c r="O70"/>
      <c r="P70" s="225"/>
      <c r="Q70" s="225"/>
      <c r="R70"/>
      <c r="S70"/>
      <c r="T70"/>
      <c r="U70"/>
      <c r="V70"/>
      <c r="W70"/>
      <c r="X70"/>
    </row>
    <row r="71" spans="5:24" x14ac:dyDescent="0.3">
      <c r="E71" s="173"/>
      <c r="F71" s="173"/>
      <c r="I71"/>
      <c r="J71"/>
      <c r="K71"/>
      <c r="L71"/>
      <c r="M71"/>
      <c r="N71"/>
      <c r="O71"/>
      <c r="P71" s="225"/>
      <c r="Q71" s="225"/>
      <c r="R71"/>
      <c r="S71"/>
      <c r="T71"/>
      <c r="U71"/>
      <c r="V71"/>
      <c r="W71"/>
      <c r="X71"/>
    </row>
    <row r="72" spans="5:24" x14ac:dyDescent="0.3">
      <c r="E72" s="173"/>
      <c r="F72" s="173"/>
      <c r="I72"/>
      <c r="J72"/>
      <c r="K72"/>
      <c r="L72"/>
      <c r="M72"/>
      <c r="N72"/>
      <c r="O72"/>
      <c r="P72" s="225"/>
      <c r="Q72" s="225"/>
      <c r="R72"/>
      <c r="S72"/>
      <c r="T72"/>
      <c r="U72"/>
      <c r="V72"/>
      <c r="W72"/>
      <c r="X72"/>
    </row>
    <row r="73" spans="5:24" x14ac:dyDescent="0.3">
      <c r="E73" s="173"/>
      <c r="F73" s="173"/>
      <c r="I73"/>
      <c r="J73"/>
      <c r="K73"/>
      <c r="L73"/>
      <c r="M73"/>
      <c r="N73"/>
      <c r="O73"/>
      <c r="P73" s="225"/>
      <c r="Q73" s="225"/>
      <c r="R73"/>
      <c r="S73"/>
      <c r="T73"/>
      <c r="U73"/>
      <c r="V73"/>
      <c r="W73"/>
      <c r="X73"/>
    </row>
    <row r="74" spans="5:24" x14ac:dyDescent="0.3">
      <c r="E74" s="173"/>
      <c r="F74" s="173"/>
      <c r="I74"/>
      <c r="J74"/>
      <c r="K74"/>
      <c r="L74"/>
      <c r="M74"/>
      <c r="N74"/>
      <c r="O74"/>
      <c r="P74" s="225"/>
      <c r="Q74" s="225"/>
      <c r="R74"/>
      <c r="S74"/>
      <c r="T74"/>
      <c r="U74"/>
      <c r="V74"/>
      <c r="W74"/>
      <c r="X74"/>
    </row>
    <row r="75" spans="5:24" x14ac:dyDescent="0.3">
      <c r="E75" s="173"/>
      <c r="F75" s="173"/>
      <c r="I75"/>
      <c r="J75"/>
      <c r="K75"/>
      <c r="L75"/>
      <c r="M75"/>
      <c r="N75"/>
      <c r="O75"/>
      <c r="P75" s="225"/>
      <c r="Q75" s="225"/>
      <c r="R75"/>
      <c r="S75"/>
      <c r="T75"/>
      <c r="U75"/>
      <c r="V75"/>
      <c r="W75"/>
      <c r="X75"/>
    </row>
    <row r="76" spans="5:24" x14ac:dyDescent="0.3">
      <c r="E76" s="173"/>
      <c r="F76" s="173"/>
      <c r="I76"/>
      <c r="J76"/>
      <c r="K76"/>
      <c r="L76"/>
      <c r="M76"/>
      <c r="N76"/>
      <c r="O76"/>
      <c r="P76" s="225"/>
      <c r="Q76" s="225"/>
      <c r="R76"/>
      <c r="S76"/>
      <c r="T76"/>
      <c r="U76"/>
      <c r="V76"/>
      <c r="W76"/>
      <c r="X76"/>
    </row>
    <row r="77" spans="5:24" x14ac:dyDescent="0.3">
      <c r="E77" s="173"/>
      <c r="F77" s="173"/>
      <c r="I77"/>
      <c r="J77"/>
      <c r="K77"/>
      <c r="L77"/>
      <c r="M77"/>
      <c r="N77"/>
      <c r="O77"/>
      <c r="P77" s="225"/>
      <c r="Q77" s="225"/>
      <c r="R77"/>
      <c r="S77"/>
      <c r="T77"/>
      <c r="U77"/>
      <c r="V77"/>
      <c r="W77"/>
      <c r="X77"/>
    </row>
    <row r="78" spans="5:24" x14ac:dyDescent="0.3">
      <c r="E78" s="173"/>
      <c r="F78" s="173"/>
      <c r="I78"/>
      <c r="J78"/>
      <c r="K78"/>
      <c r="L78"/>
      <c r="M78"/>
      <c r="N78"/>
      <c r="O78"/>
      <c r="P78" s="225"/>
      <c r="Q78" s="225"/>
      <c r="R78"/>
      <c r="S78"/>
      <c r="T78"/>
      <c r="U78"/>
      <c r="V78"/>
      <c r="W78"/>
      <c r="X78"/>
    </row>
    <row r="79" spans="5:24" x14ac:dyDescent="0.3">
      <c r="E79" s="173"/>
      <c r="F79" s="173"/>
      <c r="I79"/>
      <c r="J79"/>
      <c r="K79"/>
      <c r="L79"/>
      <c r="M79"/>
      <c r="N79"/>
      <c r="O79"/>
      <c r="P79" s="225"/>
      <c r="Q79" s="225"/>
      <c r="R79"/>
      <c r="S79"/>
      <c r="T79"/>
      <c r="U79"/>
      <c r="V79"/>
      <c r="W79"/>
      <c r="X79"/>
    </row>
    <row r="80" spans="5:24" x14ac:dyDescent="0.3">
      <c r="E80" s="173"/>
      <c r="F80" s="173"/>
      <c r="I80"/>
      <c r="J80"/>
      <c r="K80"/>
      <c r="L80"/>
      <c r="M80"/>
      <c r="N80"/>
      <c r="O80"/>
      <c r="P80" s="225"/>
      <c r="Q80" s="225"/>
      <c r="R80"/>
      <c r="S80"/>
      <c r="T80"/>
      <c r="U80"/>
      <c r="V80"/>
      <c r="W80"/>
      <c r="X80"/>
    </row>
    <row r="81" spans="5:24" x14ac:dyDescent="0.3">
      <c r="E81" s="173"/>
      <c r="F81" s="173"/>
      <c r="I81"/>
      <c r="J81"/>
      <c r="K81"/>
      <c r="L81"/>
      <c r="M81"/>
      <c r="N81"/>
      <c r="O81"/>
      <c r="P81" s="225"/>
      <c r="Q81" s="225"/>
      <c r="R81"/>
      <c r="S81"/>
      <c r="T81"/>
      <c r="U81"/>
      <c r="V81"/>
      <c r="W81"/>
      <c r="X81"/>
    </row>
    <row r="82" spans="5:24" x14ac:dyDescent="0.3">
      <c r="E82" s="173"/>
      <c r="F82" s="173"/>
      <c r="I82"/>
      <c r="J82"/>
      <c r="K82"/>
      <c r="L82"/>
      <c r="M82"/>
      <c r="N82"/>
      <c r="O82"/>
      <c r="P82" s="225"/>
      <c r="Q82" s="225"/>
      <c r="R82"/>
      <c r="S82"/>
      <c r="T82"/>
      <c r="U82"/>
      <c r="V82"/>
      <c r="W82"/>
      <c r="X82"/>
    </row>
    <row r="83" spans="5:24" x14ac:dyDescent="0.3">
      <c r="E83" s="173"/>
      <c r="F83" s="173"/>
      <c r="I83"/>
      <c r="J83"/>
      <c r="K83"/>
      <c r="L83"/>
      <c r="M83"/>
      <c r="N83"/>
      <c r="O83"/>
      <c r="P83" s="225"/>
      <c r="Q83" s="225"/>
      <c r="R83"/>
      <c r="S83"/>
      <c r="T83"/>
      <c r="U83"/>
      <c r="V83"/>
      <c r="W83"/>
      <c r="X83"/>
    </row>
    <row r="84" spans="5:24" x14ac:dyDescent="0.3">
      <c r="E84" s="173"/>
      <c r="F84" s="173"/>
      <c r="I84"/>
      <c r="J84"/>
      <c r="K84"/>
      <c r="L84"/>
      <c r="M84"/>
      <c r="N84"/>
      <c r="O84"/>
      <c r="P84" s="225"/>
      <c r="Q84" s="225"/>
      <c r="R84"/>
      <c r="S84"/>
      <c r="T84"/>
      <c r="U84"/>
      <c r="V84"/>
      <c r="W84"/>
      <c r="X84"/>
    </row>
    <row r="85" spans="5:24" x14ac:dyDescent="0.3">
      <c r="E85" s="173"/>
      <c r="F85" s="173"/>
      <c r="I85"/>
      <c r="J85"/>
      <c r="K85"/>
      <c r="L85"/>
      <c r="M85"/>
      <c r="N85"/>
      <c r="O85"/>
      <c r="P85" s="225"/>
      <c r="Q85" s="225"/>
      <c r="R85"/>
      <c r="S85"/>
      <c r="T85"/>
      <c r="U85"/>
      <c r="V85"/>
      <c r="W85"/>
      <c r="X85"/>
    </row>
    <row r="86" spans="5:24" x14ac:dyDescent="0.3">
      <c r="E86" s="173"/>
      <c r="F86" s="173"/>
      <c r="I86"/>
      <c r="J86"/>
      <c r="K86"/>
      <c r="L86"/>
      <c r="M86"/>
      <c r="N86"/>
      <c r="O86"/>
      <c r="P86" s="225"/>
      <c r="Q86" s="225"/>
      <c r="R86"/>
      <c r="S86"/>
      <c r="T86"/>
      <c r="U86"/>
      <c r="V86"/>
      <c r="W86"/>
      <c r="X86"/>
    </row>
    <row r="87" spans="5:24" x14ac:dyDescent="0.3">
      <c r="E87" s="173"/>
      <c r="F87" s="173"/>
      <c r="I87"/>
      <c r="J87"/>
      <c r="K87"/>
      <c r="L87"/>
      <c r="M87"/>
      <c r="N87"/>
      <c r="O87"/>
      <c r="P87" s="225"/>
      <c r="Q87" s="225"/>
      <c r="R87"/>
      <c r="S87"/>
      <c r="T87"/>
      <c r="U87"/>
      <c r="V87"/>
      <c r="W87"/>
      <c r="X87"/>
    </row>
    <row r="88" spans="5:24" x14ac:dyDescent="0.3">
      <c r="E88" s="173"/>
      <c r="F88" s="173"/>
      <c r="I88"/>
      <c r="J88"/>
      <c r="K88"/>
      <c r="L88"/>
      <c r="M88"/>
      <c r="N88"/>
      <c r="O88"/>
      <c r="P88" s="225"/>
      <c r="Q88" s="225"/>
      <c r="R88"/>
      <c r="S88"/>
      <c r="T88"/>
      <c r="U88"/>
      <c r="V88"/>
      <c r="W88"/>
      <c r="X88"/>
    </row>
    <row r="89" spans="5:24" x14ac:dyDescent="0.3">
      <c r="E89" s="173"/>
      <c r="F89" s="173"/>
      <c r="I89"/>
      <c r="J89"/>
      <c r="K89"/>
      <c r="L89"/>
      <c r="M89"/>
      <c r="N89"/>
      <c r="O89"/>
      <c r="P89" s="225"/>
      <c r="Q89" s="225"/>
      <c r="R89"/>
      <c r="S89"/>
      <c r="T89"/>
      <c r="U89"/>
      <c r="V89"/>
      <c r="W89"/>
      <c r="X89"/>
    </row>
    <row r="90" spans="5:24" x14ac:dyDescent="0.3">
      <c r="E90" s="173"/>
      <c r="F90" s="173"/>
      <c r="I90"/>
      <c r="J90"/>
      <c r="K90"/>
      <c r="L90"/>
      <c r="M90"/>
      <c r="N90"/>
      <c r="O90"/>
      <c r="P90" s="225"/>
      <c r="Q90" s="225"/>
      <c r="R90"/>
      <c r="S90"/>
      <c r="T90"/>
      <c r="U90"/>
      <c r="V90"/>
      <c r="W90"/>
      <c r="X90"/>
    </row>
    <row r="91" spans="5:24" x14ac:dyDescent="0.3">
      <c r="E91" s="173"/>
      <c r="F91" s="173"/>
      <c r="I91"/>
      <c r="J91"/>
      <c r="K91"/>
      <c r="L91"/>
      <c r="M91"/>
      <c r="N91"/>
      <c r="O91"/>
      <c r="P91" s="225"/>
      <c r="Q91" s="225"/>
      <c r="R91"/>
      <c r="S91"/>
      <c r="T91"/>
      <c r="U91"/>
      <c r="V91"/>
      <c r="W91"/>
      <c r="X91"/>
    </row>
    <row r="92" spans="5:24" x14ac:dyDescent="0.3">
      <c r="E92" s="173"/>
      <c r="F92" s="173"/>
      <c r="I92"/>
      <c r="J92"/>
      <c r="K92"/>
      <c r="L92"/>
      <c r="M92"/>
      <c r="N92"/>
      <c r="O92"/>
      <c r="P92" s="225"/>
      <c r="Q92" s="225"/>
      <c r="R92"/>
      <c r="S92"/>
      <c r="T92"/>
      <c r="U92"/>
      <c r="V92"/>
      <c r="W92"/>
      <c r="X92"/>
    </row>
    <row r="93" spans="5:24" x14ac:dyDescent="0.3">
      <c r="E93" s="173"/>
      <c r="F93" s="173"/>
      <c r="I93"/>
      <c r="J93"/>
      <c r="K93"/>
      <c r="L93"/>
      <c r="M93"/>
      <c r="N93"/>
      <c r="O93"/>
      <c r="P93" s="225"/>
      <c r="Q93" s="225"/>
      <c r="R93"/>
      <c r="S93"/>
      <c r="T93"/>
      <c r="U93"/>
      <c r="V93"/>
      <c r="W93"/>
      <c r="X93"/>
    </row>
    <row r="94" spans="5:24" x14ac:dyDescent="0.3">
      <c r="E94" s="173"/>
      <c r="F94" s="173"/>
      <c r="I94"/>
      <c r="J94"/>
      <c r="K94"/>
      <c r="L94"/>
      <c r="M94"/>
      <c r="N94"/>
      <c r="O94"/>
      <c r="P94" s="225"/>
      <c r="Q94" s="225"/>
      <c r="R94"/>
      <c r="S94"/>
      <c r="T94"/>
      <c r="U94"/>
      <c r="V94"/>
      <c r="W94"/>
      <c r="X94"/>
    </row>
    <row r="95" spans="5:24" x14ac:dyDescent="0.3">
      <c r="E95" s="173"/>
      <c r="F95" s="173"/>
      <c r="I95"/>
      <c r="J95"/>
      <c r="K95"/>
      <c r="L95"/>
      <c r="M95"/>
      <c r="N95"/>
      <c r="O95"/>
      <c r="P95" s="225"/>
      <c r="Q95" s="225"/>
      <c r="R95"/>
      <c r="S95"/>
      <c r="T95"/>
      <c r="U95"/>
      <c r="V95"/>
      <c r="W95"/>
      <c r="X95"/>
    </row>
    <row r="96" spans="5:24" x14ac:dyDescent="0.3">
      <c r="E96" s="173"/>
      <c r="F96" s="173"/>
      <c r="I96"/>
      <c r="J96"/>
      <c r="K96"/>
      <c r="L96"/>
      <c r="M96"/>
      <c r="N96"/>
      <c r="O96"/>
      <c r="P96" s="225"/>
      <c r="Q96" s="225"/>
      <c r="R96"/>
      <c r="S96"/>
      <c r="T96"/>
      <c r="U96"/>
      <c r="V96"/>
      <c r="W96"/>
      <c r="X96"/>
    </row>
    <row r="97" spans="5:24" x14ac:dyDescent="0.3">
      <c r="E97" s="173"/>
      <c r="F97" s="173"/>
      <c r="I97"/>
      <c r="J97"/>
      <c r="K97"/>
      <c r="L97"/>
      <c r="M97"/>
      <c r="N97"/>
      <c r="O97"/>
      <c r="P97" s="225"/>
      <c r="Q97" s="225"/>
      <c r="R97"/>
      <c r="S97"/>
      <c r="T97"/>
      <c r="U97"/>
      <c r="V97"/>
      <c r="W97"/>
      <c r="X97"/>
    </row>
    <row r="98" spans="5:24" x14ac:dyDescent="0.3">
      <c r="E98" s="173"/>
      <c r="F98" s="173"/>
      <c r="I98"/>
      <c r="J98"/>
      <c r="K98"/>
      <c r="L98"/>
      <c r="M98"/>
      <c r="N98"/>
      <c r="O98"/>
      <c r="P98" s="225"/>
      <c r="Q98" s="225"/>
      <c r="R98"/>
      <c r="S98"/>
      <c r="T98"/>
      <c r="U98"/>
      <c r="V98"/>
      <c r="W98"/>
      <c r="X98"/>
    </row>
    <row r="99" spans="5:24" x14ac:dyDescent="0.3">
      <c r="E99" s="173"/>
      <c r="F99" s="173"/>
      <c r="I99"/>
      <c r="J99"/>
      <c r="K99"/>
      <c r="L99"/>
      <c r="M99"/>
      <c r="N99"/>
      <c r="O99"/>
      <c r="P99" s="225"/>
      <c r="Q99" s="225"/>
      <c r="R99"/>
      <c r="S99"/>
      <c r="T99"/>
      <c r="U99"/>
      <c r="V99"/>
      <c r="W99"/>
      <c r="X99"/>
    </row>
    <row r="100" spans="5:24" x14ac:dyDescent="0.3">
      <c r="E100" s="173"/>
      <c r="F100" s="173"/>
      <c r="I100"/>
      <c r="J100"/>
      <c r="K100"/>
      <c r="L100"/>
      <c r="M100"/>
      <c r="N100"/>
      <c r="O100"/>
      <c r="P100" s="225"/>
      <c r="Q100" s="225"/>
      <c r="R100"/>
      <c r="S100"/>
      <c r="T100"/>
      <c r="U100"/>
      <c r="V100"/>
      <c r="W100"/>
      <c r="X100"/>
    </row>
    <row r="101" spans="5:24" x14ac:dyDescent="0.3">
      <c r="E101" s="173"/>
      <c r="F101" s="173"/>
      <c r="I101"/>
      <c r="J101"/>
      <c r="K101"/>
      <c r="L101"/>
      <c r="M101"/>
      <c r="N101"/>
      <c r="O101"/>
      <c r="P101" s="225"/>
      <c r="Q101" s="225"/>
      <c r="R101"/>
      <c r="S101"/>
      <c r="T101"/>
      <c r="U101"/>
      <c r="V101"/>
      <c r="W101"/>
      <c r="X101"/>
    </row>
    <row r="102" spans="5:24" x14ac:dyDescent="0.3">
      <c r="E102" s="173"/>
      <c r="F102" s="173"/>
      <c r="I102"/>
      <c r="J102"/>
      <c r="K102"/>
      <c r="L102"/>
      <c r="M102"/>
      <c r="N102"/>
      <c r="O102"/>
      <c r="P102" s="225"/>
      <c r="Q102" s="225"/>
      <c r="R102"/>
      <c r="S102"/>
      <c r="T102"/>
      <c r="U102"/>
      <c r="V102"/>
      <c r="W102"/>
      <c r="X102"/>
    </row>
    <row r="103" spans="5:24" x14ac:dyDescent="0.3">
      <c r="E103" s="173"/>
      <c r="F103" s="173"/>
      <c r="I103"/>
      <c r="J103"/>
      <c r="K103"/>
      <c r="L103"/>
      <c r="M103"/>
      <c r="N103"/>
      <c r="O103"/>
      <c r="P103" s="225"/>
      <c r="Q103" s="225"/>
      <c r="R103"/>
      <c r="S103"/>
      <c r="T103"/>
      <c r="U103"/>
      <c r="V103"/>
      <c r="W103"/>
      <c r="X103"/>
    </row>
    <row r="104" spans="5:24" x14ac:dyDescent="0.3">
      <c r="E104" s="173"/>
      <c r="F104" s="173"/>
      <c r="I104"/>
      <c r="J104"/>
      <c r="K104"/>
      <c r="L104"/>
      <c r="M104"/>
      <c r="N104"/>
      <c r="O104"/>
      <c r="P104" s="225"/>
      <c r="Q104" s="225"/>
      <c r="R104"/>
      <c r="S104"/>
      <c r="T104"/>
      <c r="U104"/>
      <c r="V104"/>
      <c r="W104"/>
      <c r="X104"/>
    </row>
    <row r="105" spans="5:24" x14ac:dyDescent="0.3">
      <c r="E105" s="173"/>
      <c r="F105" s="173"/>
      <c r="I105"/>
      <c r="J105"/>
      <c r="K105"/>
      <c r="L105"/>
      <c r="M105"/>
      <c r="N105"/>
      <c r="O105"/>
      <c r="P105" s="225"/>
      <c r="Q105" s="225"/>
      <c r="R105"/>
      <c r="S105"/>
      <c r="T105"/>
      <c r="U105"/>
      <c r="V105"/>
      <c r="W105"/>
      <c r="X105"/>
    </row>
    <row r="106" spans="5:24" x14ac:dyDescent="0.3">
      <c r="E106" s="173"/>
      <c r="F106" s="173"/>
      <c r="I106"/>
      <c r="J106"/>
      <c r="K106"/>
      <c r="L106"/>
      <c r="M106"/>
      <c r="N106"/>
      <c r="O106"/>
      <c r="P106" s="225"/>
      <c r="Q106" s="225"/>
      <c r="R106"/>
      <c r="S106"/>
      <c r="T106"/>
      <c r="U106"/>
      <c r="V106"/>
      <c r="W106"/>
      <c r="X106"/>
    </row>
    <row r="107" spans="5:24" x14ac:dyDescent="0.3">
      <c r="E107" s="173"/>
      <c r="F107" s="173"/>
      <c r="I107"/>
      <c r="J107"/>
      <c r="K107"/>
      <c r="L107"/>
      <c r="M107"/>
      <c r="N107"/>
      <c r="O107"/>
      <c r="P107" s="225"/>
      <c r="Q107" s="225"/>
      <c r="R107"/>
      <c r="S107"/>
      <c r="T107"/>
      <c r="U107"/>
      <c r="V107"/>
      <c r="W107"/>
      <c r="X107"/>
    </row>
    <row r="108" spans="5:24" x14ac:dyDescent="0.3">
      <c r="E108" s="173"/>
      <c r="F108" s="173"/>
      <c r="I108"/>
      <c r="J108"/>
      <c r="K108"/>
      <c r="L108"/>
      <c r="M108"/>
      <c r="N108"/>
      <c r="O108"/>
      <c r="P108" s="225"/>
      <c r="Q108" s="225"/>
      <c r="R108"/>
      <c r="S108"/>
      <c r="T108"/>
      <c r="U108"/>
      <c r="V108"/>
      <c r="W108"/>
      <c r="X108"/>
    </row>
    <row r="109" spans="5:24" x14ac:dyDescent="0.3">
      <c r="E109" s="173"/>
      <c r="F109" s="173"/>
      <c r="I109"/>
      <c r="J109"/>
      <c r="K109"/>
      <c r="L109"/>
      <c r="M109"/>
      <c r="N109"/>
      <c r="O109"/>
      <c r="P109" s="225"/>
      <c r="Q109" s="225"/>
      <c r="R109"/>
      <c r="S109"/>
      <c r="T109"/>
      <c r="U109"/>
      <c r="V109"/>
      <c r="W109"/>
      <c r="X109"/>
    </row>
    <row r="110" spans="5:24" x14ac:dyDescent="0.3">
      <c r="E110" s="173"/>
      <c r="F110" s="173"/>
      <c r="I110"/>
      <c r="J110"/>
      <c r="K110"/>
      <c r="L110"/>
      <c r="M110"/>
      <c r="N110"/>
      <c r="O110"/>
      <c r="P110" s="225"/>
      <c r="Q110" s="225"/>
      <c r="R110"/>
      <c r="S110"/>
      <c r="T110"/>
      <c r="U110"/>
      <c r="V110"/>
      <c r="W110"/>
      <c r="X110"/>
    </row>
    <row r="111" spans="5:24" x14ac:dyDescent="0.3">
      <c r="E111" s="173"/>
      <c r="F111" s="173"/>
      <c r="I111"/>
      <c r="J111"/>
      <c r="K111"/>
      <c r="L111"/>
      <c r="M111"/>
      <c r="N111"/>
      <c r="O111"/>
      <c r="P111" s="225"/>
      <c r="Q111" s="225"/>
      <c r="R111"/>
      <c r="S111"/>
      <c r="T111"/>
      <c r="U111"/>
      <c r="V111"/>
      <c r="W111"/>
      <c r="X111"/>
    </row>
    <row r="112" spans="5:24" x14ac:dyDescent="0.3">
      <c r="E112" s="173"/>
      <c r="F112" s="173"/>
      <c r="I112"/>
      <c r="J112"/>
      <c r="K112"/>
      <c r="L112"/>
      <c r="M112"/>
      <c r="N112"/>
      <c r="O112"/>
      <c r="P112" s="225"/>
      <c r="Q112" s="225"/>
      <c r="R112"/>
      <c r="S112"/>
      <c r="T112"/>
      <c r="U112"/>
      <c r="V112"/>
      <c r="W112"/>
      <c r="X112"/>
    </row>
    <row r="113" spans="5:24" x14ac:dyDescent="0.3">
      <c r="E113" s="173"/>
      <c r="F113" s="173"/>
      <c r="I113"/>
      <c r="J113"/>
      <c r="K113"/>
      <c r="L113"/>
      <c r="M113"/>
      <c r="N113"/>
      <c r="O113"/>
      <c r="P113" s="225"/>
      <c r="Q113" s="225"/>
      <c r="R113"/>
      <c r="S113"/>
      <c r="T113"/>
      <c r="U113"/>
      <c r="V113"/>
      <c r="W113"/>
      <c r="X113"/>
    </row>
    <row r="114" spans="5:24" x14ac:dyDescent="0.3">
      <c r="E114" s="173"/>
      <c r="F114" s="173"/>
      <c r="I114"/>
      <c r="J114"/>
      <c r="K114"/>
      <c r="L114"/>
      <c r="M114"/>
      <c r="N114"/>
      <c r="O114"/>
      <c r="P114" s="225"/>
      <c r="Q114" s="225"/>
      <c r="R114"/>
      <c r="S114"/>
      <c r="T114"/>
      <c r="U114"/>
      <c r="V114"/>
      <c r="W114"/>
      <c r="X114"/>
    </row>
    <row r="115" spans="5:24" x14ac:dyDescent="0.3">
      <c r="E115" s="173"/>
      <c r="F115" s="173"/>
      <c r="I115"/>
      <c r="J115"/>
      <c r="K115"/>
      <c r="L115"/>
      <c r="M115"/>
      <c r="N115"/>
      <c r="O115"/>
      <c r="P115" s="225"/>
      <c r="Q115" s="225"/>
      <c r="R115"/>
      <c r="S115"/>
      <c r="T115"/>
      <c r="U115"/>
      <c r="V115"/>
      <c r="W115"/>
      <c r="X115"/>
    </row>
    <row r="116" spans="5:24" x14ac:dyDescent="0.3">
      <c r="E116" s="173"/>
      <c r="F116" s="173"/>
      <c r="I116"/>
      <c r="J116"/>
      <c r="K116"/>
      <c r="L116"/>
      <c r="M116"/>
      <c r="N116"/>
      <c r="O116"/>
      <c r="P116" s="225"/>
      <c r="Q116" s="225"/>
      <c r="R116"/>
      <c r="S116"/>
      <c r="T116"/>
      <c r="U116"/>
      <c r="V116"/>
      <c r="W116"/>
      <c r="X116"/>
    </row>
    <row r="117" spans="5:24" x14ac:dyDescent="0.3">
      <c r="E117" s="173"/>
      <c r="F117" s="173"/>
      <c r="I117"/>
      <c r="J117"/>
      <c r="K117"/>
      <c r="L117"/>
      <c r="M117"/>
      <c r="N117"/>
      <c r="O117"/>
      <c r="P117" s="225"/>
      <c r="Q117" s="225"/>
      <c r="R117"/>
      <c r="S117"/>
      <c r="T117"/>
      <c r="U117"/>
      <c r="V117"/>
      <c r="W117"/>
      <c r="X117"/>
    </row>
    <row r="118" spans="5:24" x14ac:dyDescent="0.3">
      <c r="E118" s="173"/>
      <c r="F118" s="173"/>
      <c r="I118"/>
      <c r="J118"/>
      <c r="K118"/>
      <c r="L118"/>
      <c r="M118"/>
      <c r="N118"/>
      <c r="O118"/>
      <c r="P118" s="225"/>
      <c r="Q118" s="225"/>
      <c r="R118"/>
      <c r="S118"/>
      <c r="T118"/>
      <c r="U118"/>
      <c r="V118"/>
      <c r="W118"/>
      <c r="X118"/>
    </row>
    <row r="119" spans="5:24" x14ac:dyDescent="0.3">
      <c r="E119" s="173"/>
      <c r="F119" s="173"/>
      <c r="I119"/>
      <c r="J119"/>
      <c r="K119"/>
      <c r="L119"/>
      <c r="M119"/>
      <c r="N119"/>
      <c r="O119"/>
      <c r="P119" s="225"/>
      <c r="Q119" s="225"/>
      <c r="R119"/>
      <c r="S119"/>
      <c r="T119"/>
      <c r="U119"/>
      <c r="V119"/>
      <c r="W119"/>
      <c r="X119"/>
    </row>
    <row r="120" spans="5:24" x14ac:dyDescent="0.3">
      <c r="E120" s="173"/>
      <c r="F120" s="173"/>
      <c r="I120"/>
      <c r="J120"/>
      <c r="K120"/>
      <c r="L120"/>
      <c r="M120"/>
      <c r="N120"/>
      <c r="O120"/>
      <c r="P120" s="225"/>
      <c r="Q120" s="225"/>
      <c r="R120"/>
      <c r="S120"/>
      <c r="T120"/>
      <c r="U120"/>
      <c r="V120"/>
      <c r="W120"/>
      <c r="X120"/>
    </row>
    <row r="121" spans="5:24" x14ac:dyDescent="0.3">
      <c r="E121" s="173"/>
      <c r="F121" s="173"/>
      <c r="I121"/>
      <c r="J121"/>
      <c r="K121"/>
      <c r="L121"/>
      <c r="M121"/>
      <c r="N121"/>
      <c r="O121"/>
      <c r="P121" s="225"/>
      <c r="Q121" s="225"/>
      <c r="R121"/>
      <c r="S121"/>
      <c r="T121"/>
      <c r="U121"/>
      <c r="V121"/>
      <c r="W121"/>
      <c r="X121"/>
    </row>
    <row r="122" spans="5:24" x14ac:dyDescent="0.3">
      <c r="E122" s="173"/>
      <c r="F122" s="173"/>
      <c r="I122"/>
      <c r="J122"/>
      <c r="K122"/>
      <c r="L122"/>
      <c r="M122"/>
      <c r="N122"/>
      <c r="O122"/>
      <c r="P122" s="225"/>
      <c r="Q122" s="225"/>
      <c r="R122"/>
      <c r="S122"/>
      <c r="T122"/>
      <c r="U122"/>
      <c r="V122"/>
      <c r="W122"/>
      <c r="X122"/>
    </row>
    <row r="123" spans="5:24" x14ac:dyDescent="0.3">
      <c r="E123" s="173"/>
      <c r="F123" s="173"/>
      <c r="I123"/>
      <c r="J123"/>
      <c r="K123"/>
      <c r="L123"/>
      <c r="M123"/>
      <c r="N123"/>
      <c r="O123"/>
      <c r="P123" s="225"/>
      <c r="Q123" s="225"/>
      <c r="R123"/>
      <c r="S123"/>
      <c r="T123"/>
      <c r="U123"/>
      <c r="V123"/>
      <c r="W123"/>
      <c r="X123"/>
    </row>
    <row r="124" spans="5:24" x14ac:dyDescent="0.3">
      <c r="E124" s="173"/>
      <c r="F124" s="173"/>
      <c r="I124"/>
      <c r="J124"/>
      <c r="K124"/>
      <c r="L124"/>
      <c r="M124"/>
      <c r="N124"/>
      <c r="O124"/>
      <c r="P124" s="225"/>
      <c r="Q124" s="225"/>
      <c r="R124"/>
      <c r="S124"/>
      <c r="T124"/>
      <c r="U124"/>
      <c r="V124"/>
      <c r="W124"/>
      <c r="X124"/>
    </row>
    <row r="125" spans="5:24" x14ac:dyDescent="0.3">
      <c r="E125" s="173"/>
      <c r="F125" s="173"/>
      <c r="I125"/>
      <c r="J125"/>
      <c r="K125"/>
      <c r="L125"/>
      <c r="M125"/>
      <c r="N125"/>
      <c r="O125"/>
      <c r="P125" s="225"/>
      <c r="Q125" s="225"/>
      <c r="R125"/>
      <c r="S125"/>
      <c r="T125"/>
      <c r="U125"/>
      <c r="V125"/>
      <c r="W125"/>
      <c r="X125"/>
    </row>
    <row r="126" spans="5:24" x14ac:dyDescent="0.3">
      <c r="E126" s="173"/>
      <c r="F126" s="173"/>
      <c r="I126"/>
      <c r="J126"/>
      <c r="K126"/>
      <c r="L126"/>
      <c r="M126"/>
      <c r="N126"/>
      <c r="O126"/>
      <c r="P126" s="225"/>
      <c r="Q126" s="225"/>
      <c r="R126"/>
      <c r="S126"/>
      <c r="T126"/>
      <c r="U126"/>
      <c r="V126"/>
      <c r="W126"/>
      <c r="X126"/>
    </row>
    <row r="127" spans="5:24" x14ac:dyDescent="0.3">
      <c r="E127" s="173"/>
      <c r="F127" s="173"/>
      <c r="I127"/>
      <c r="J127"/>
      <c r="K127"/>
      <c r="L127"/>
      <c r="M127"/>
      <c r="N127"/>
      <c r="O127"/>
      <c r="P127" s="225"/>
      <c r="Q127" s="225"/>
      <c r="R127"/>
      <c r="S127"/>
      <c r="T127"/>
      <c r="U127"/>
      <c r="V127"/>
      <c r="W127"/>
      <c r="X127"/>
    </row>
    <row r="128" spans="5:24" x14ac:dyDescent="0.3">
      <c r="E128" s="173"/>
      <c r="F128" s="173"/>
      <c r="I128"/>
      <c r="J128"/>
      <c r="K128"/>
      <c r="L128"/>
      <c r="M128"/>
      <c r="N128"/>
      <c r="O128"/>
      <c r="P128" s="225"/>
      <c r="Q128" s="225"/>
      <c r="R128"/>
      <c r="S128"/>
      <c r="T128"/>
      <c r="U128"/>
      <c r="V128"/>
      <c r="W128"/>
      <c r="X128"/>
    </row>
    <row r="129" spans="5:24" x14ac:dyDescent="0.3">
      <c r="E129" s="173"/>
      <c r="F129" s="173"/>
      <c r="I129"/>
      <c r="J129"/>
      <c r="K129"/>
      <c r="L129"/>
      <c r="M129"/>
      <c r="N129"/>
      <c r="O129"/>
      <c r="P129" s="225"/>
      <c r="Q129" s="225"/>
      <c r="R129"/>
      <c r="S129"/>
      <c r="T129"/>
      <c r="U129"/>
      <c r="V129"/>
      <c r="W129"/>
      <c r="X129"/>
    </row>
    <row r="130" spans="5:24" x14ac:dyDescent="0.3">
      <c r="E130" s="173"/>
      <c r="F130" s="173"/>
      <c r="I130"/>
      <c r="J130"/>
      <c r="K130"/>
      <c r="L130"/>
      <c r="M130"/>
      <c r="N130"/>
      <c r="O130"/>
      <c r="P130" s="225"/>
      <c r="Q130" s="225"/>
      <c r="R130"/>
      <c r="S130"/>
      <c r="T130"/>
      <c r="U130"/>
      <c r="V130"/>
      <c r="W130"/>
      <c r="X130"/>
    </row>
    <row r="131" spans="5:24" x14ac:dyDescent="0.3">
      <c r="E131" s="173"/>
      <c r="F131" s="173"/>
      <c r="I131"/>
      <c r="J131"/>
      <c r="K131"/>
      <c r="L131"/>
      <c r="M131"/>
      <c r="N131"/>
      <c r="O131"/>
      <c r="P131" s="225"/>
      <c r="Q131" s="225"/>
      <c r="R131"/>
      <c r="S131"/>
      <c r="T131"/>
      <c r="U131"/>
      <c r="V131"/>
      <c r="W131"/>
      <c r="X131"/>
    </row>
    <row r="132" spans="5:24" x14ac:dyDescent="0.3">
      <c r="E132" s="173"/>
      <c r="F132" s="173"/>
      <c r="I132"/>
      <c r="J132"/>
      <c r="K132"/>
      <c r="L132"/>
      <c r="M132"/>
      <c r="N132"/>
      <c r="O132"/>
      <c r="P132" s="225"/>
      <c r="Q132" s="225"/>
      <c r="R132"/>
      <c r="S132"/>
      <c r="T132"/>
      <c r="U132"/>
      <c r="V132"/>
      <c r="W132"/>
      <c r="X132"/>
    </row>
    <row r="133" spans="5:24" x14ac:dyDescent="0.3">
      <c r="E133" s="173"/>
      <c r="F133" s="173"/>
      <c r="I133"/>
      <c r="J133"/>
      <c r="K133"/>
      <c r="L133"/>
      <c r="M133"/>
      <c r="N133"/>
      <c r="O133"/>
      <c r="P133" s="225"/>
      <c r="Q133" s="225"/>
      <c r="R133"/>
      <c r="S133"/>
      <c r="T133"/>
      <c r="U133"/>
      <c r="V133"/>
      <c r="W133"/>
      <c r="X133"/>
    </row>
    <row r="134" spans="5:24" x14ac:dyDescent="0.3">
      <c r="E134" s="173"/>
      <c r="F134" s="173"/>
      <c r="I134"/>
      <c r="J134"/>
      <c r="K134"/>
      <c r="L134"/>
      <c r="M134"/>
      <c r="N134"/>
      <c r="O134"/>
      <c r="P134" s="225"/>
      <c r="Q134" s="225"/>
      <c r="R134"/>
      <c r="S134"/>
      <c r="T134"/>
      <c r="U134"/>
      <c r="V134"/>
      <c r="W134"/>
      <c r="X134"/>
    </row>
    <row r="135" spans="5:24" x14ac:dyDescent="0.3">
      <c r="E135" s="173"/>
      <c r="F135" s="173"/>
      <c r="I135"/>
      <c r="J135"/>
      <c r="K135"/>
      <c r="L135"/>
      <c r="M135"/>
      <c r="N135"/>
      <c r="O135"/>
      <c r="P135" s="225"/>
      <c r="Q135" s="225"/>
      <c r="R135"/>
      <c r="S135"/>
      <c r="T135"/>
      <c r="U135"/>
      <c r="V135"/>
      <c r="W135"/>
      <c r="X135"/>
    </row>
    <row r="136" spans="5:24" x14ac:dyDescent="0.3">
      <c r="E136" s="173"/>
      <c r="F136" s="173"/>
      <c r="I136"/>
      <c r="J136"/>
      <c r="K136"/>
      <c r="L136"/>
      <c r="M136"/>
      <c r="N136"/>
      <c r="O136"/>
      <c r="P136" s="225"/>
      <c r="Q136" s="225"/>
      <c r="R136"/>
      <c r="S136"/>
      <c r="T136"/>
      <c r="U136"/>
      <c r="V136"/>
      <c r="W136"/>
      <c r="X136"/>
    </row>
    <row r="137" spans="5:24" x14ac:dyDescent="0.3">
      <c r="E137" s="173"/>
      <c r="F137" s="173"/>
      <c r="I137"/>
      <c r="J137"/>
      <c r="K137"/>
      <c r="L137"/>
      <c r="M137"/>
      <c r="N137"/>
      <c r="O137"/>
      <c r="P137" s="225"/>
      <c r="Q137" s="225"/>
      <c r="R137"/>
      <c r="S137"/>
      <c r="T137"/>
      <c r="U137"/>
      <c r="V137"/>
      <c r="W137"/>
      <c r="X137"/>
    </row>
    <row r="138" spans="5:24" x14ac:dyDescent="0.3">
      <c r="E138" s="173"/>
      <c r="F138" s="173"/>
      <c r="I138"/>
      <c r="J138"/>
      <c r="K138"/>
      <c r="L138"/>
      <c r="M138"/>
      <c r="N138"/>
      <c r="O138"/>
      <c r="P138" s="225"/>
      <c r="Q138" s="225"/>
      <c r="R138"/>
      <c r="S138"/>
      <c r="T138"/>
      <c r="U138"/>
      <c r="V138"/>
      <c r="W138"/>
      <c r="X138"/>
    </row>
    <row r="139" spans="5:24" x14ac:dyDescent="0.3">
      <c r="E139" s="173"/>
      <c r="F139" s="173"/>
      <c r="I139"/>
      <c r="J139"/>
      <c r="K139"/>
      <c r="L139"/>
      <c r="M139"/>
      <c r="N139"/>
      <c r="O139"/>
      <c r="P139" s="225"/>
      <c r="Q139" s="225"/>
      <c r="R139"/>
      <c r="S139"/>
      <c r="T139"/>
      <c r="U139"/>
      <c r="V139"/>
      <c r="W139"/>
      <c r="X139"/>
    </row>
    <row r="140" spans="5:24" x14ac:dyDescent="0.3">
      <c r="E140" s="173"/>
      <c r="F140" s="173"/>
      <c r="I140"/>
      <c r="J140"/>
      <c r="K140"/>
      <c r="L140"/>
      <c r="M140"/>
      <c r="N140"/>
      <c r="O140"/>
      <c r="P140" s="225"/>
      <c r="Q140" s="225"/>
      <c r="R140"/>
      <c r="S140"/>
      <c r="T140"/>
      <c r="U140"/>
      <c r="V140"/>
      <c r="W140"/>
      <c r="X140"/>
    </row>
    <row r="141" spans="5:24" x14ac:dyDescent="0.3">
      <c r="E141" s="173"/>
      <c r="F141" s="173"/>
      <c r="I141"/>
      <c r="J141"/>
      <c r="K141"/>
      <c r="L141"/>
      <c r="M141"/>
      <c r="N141"/>
      <c r="O141"/>
      <c r="P141" s="225"/>
      <c r="Q141" s="225"/>
      <c r="R141"/>
      <c r="S141"/>
      <c r="T141"/>
      <c r="U141"/>
      <c r="V141"/>
      <c r="W141"/>
      <c r="X141"/>
    </row>
    <row r="142" spans="5:24" x14ac:dyDescent="0.3">
      <c r="E142" s="173"/>
      <c r="F142" s="173"/>
      <c r="I142"/>
      <c r="J142"/>
      <c r="K142"/>
      <c r="L142"/>
      <c r="M142"/>
      <c r="N142"/>
      <c r="O142"/>
      <c r="P142" s="225"/>
      <c r="Q142" s="225"/>
      <c r="R142"/>
      <c r="S142"/>
      <c r="T142"/>
      <c r="U142"/>
      <c r="V142"/>
      <c r="W142"/>
      <c r="X142"/>
    </row>
    <row r="143" spans="5:24" x14ac:dyDescent="0.3">
      <c r="E143" s="173"/>
      <c r="F143" s="173"/>
      <c r="I143"/>
      <c r="J143"/>
      <c r="K143"/>
      <c r="L143"/>
      <c r="M143"/>
      <c r="N143"/>
      <c r="O143"/>
      <c r="P143" s="225"/>
      <c r="Q143" s="225"/>
      <c r="R143"/>
      <c r="S143"/>
      <c r="T143"/>
      <c r="U143"/>
      <c r="V143"/>
      <c r="W143"/>
      <c r="X143"/>
    </row>
    <row r="144" spans="5:24" x14ac:dyDescent="0.3">
      <c r="E144" s="173"/>
      <c r="F144" s="173"/>
      <c r="I144"/>
      <c r="J144"/>
      <c r="K144"/>
      <c r="L144"/>
      <c r="M144"/>
      <c r="N144"/>
      <c r="O144"/>
      <c r="P144" s="225"/>
      <c r="Q144" s="225"/>
      <c r="R144"/>
      <c r="S144"/>
      <c r="T144"/>
      <c r="U144"/>
      <c r="V144"/>
      <c r="W144"/>
      <c r="X144"/>
    </row>
    <row r="145" spans="5:24" x14ac:dyDescent="0.3">
      <c r="E145" s="173"/>
      <c r="F145" s="173"/>
      <c r="I145"/>
      <c r="J145"/>
      <c r="K145"/>
      <c r="L145"/>
      <c r="M145"/>
      <c r="N145"/>
      <c r="O145"/>
      <c r="P145" s="225"/>
      <c r="Q145" s="225"/>
      <c r="R145"/>
      <c r="S145"/>
      <c r="T145"/>
      <c r="U145"/>
      <c r="V145"/>
      <c r="W145"/>
      <c r="X145"/>
    </row>
    <row r="146" spans="5:24" x14ac:dyDescent="0.3">
      <c r="E146" s="173"/>
      <c r="F146" s="173"/>
      <c r="I146"/>
      <c r="J146"/>
      <c r="K146"/>
      <c r="L146"/>
      <c r="M146"/>
      <c r="N146"/>
      <c r="O146"/>
      <c r="P146" s="225"/>
      <c r="Q146" s="225"/>
      <c r="R146"/>
      <c r="S146"/>
      <c r="T146"/>
      <c r="U146"/>
      <c r="V146"/>
      <c r="W146"/>
      <c r="X146"/>
    </row>
    <row r="147" spans="5:24" x14ac:dyDescent="0.3">
      <c r="E147" s="173"/>
      <c r="F147" s="173"/>
      <c r="I147"/>
      <c r="J147"/>
      <c r="K147"/>
      <c r="L147"/>
      <c r="M147"/>
      <c r="N147"/>
      <c r="O147"/>
      <c r="P147" s="225"/>
      <c r="Q147" s="225"/>
      <c r="R147"/>
      <c r="S147"/>
      <c r="T147"/>
      <c r="U147"/>
      <c r="V147"/>
      <c r="W147"/>
      <c r="X147"/>
    </row>
    <row r="148" spans="5:24" x14ac:dyDescent="0.3">
      <c r="E148" s="173"/>
      <c r="F148" s="173"/>
      <c r="I148"/>
      <c r="J148"/>
      <c r="K148"/>
      <c r="L148"/>
      <c r="M148"/>
      <c r="N148"/>
      <c r="O148"/>
      <c r="P148" s="225"/>
      <c r="Q148" s="225"/>
      <c r="R148"/>
      <c r="S148"/>
      <c r="T148"/>
      <c r="U148"/>
      <c r="V148"/>
      <c r="W148"/>
      <c r="X148"/>
    </row>
    <row r="149" spans="5:24" x14ac:dyDescent="0.3">
      <c r="E149" s="173"/>
      <c r="F149" s="173"/>
      <c r="I149"/>
      <c r="J149"/>
      <c r="K149"/>
      <c r="L149"/>
      <c r="M149"/>
      <c r="N149"/>
      <c r="O149"/>
      <c r="P149" s="225"/>
      <c r="Q149" s="225"/>
      <c r="R149"/>
      <c r="S149"/>
      <c r="T149"/>
      <c r="U149"/>
      <c r="V149"/>
      <c r="W149"/>
      <c r="X149"/>
    </row>
    <row r="150" spans="5:24" x14ac:dyDescent="0.3">
      <c r="E150" s="173"/>
      <c r="F150" s="173"/>
      <c r="I150"/>
      <c r="J150"/>
      <c r="K150"/>
      <c r="L150"/>
      <c r="M150"/>
      <c r="N150"/>
      <c r="O150"/>
      <c r="P150" s="225"/>
      <c r="Q150" s="225"/>
      <c r="R150"/>
      <c r="S150"/>
      <c r="T150"/>
      <c r="U150"/>
      <c r="V150"/>
      <c r="W150"/>
      <c r="X150"/>
    </row>
    <row r="151" spans="5:24" x14ac:dyDescent="0.3">
      <c r="E151" s="173"/>
      <c r="F151" s="173"/>
      <c r="I151"/>
      <c r="J151"/>
      <c r="K151"/>
      <c r="L151"/>
      <c r="M151"/>
      <c r="N151"/>
      <c r="O151"/>
      <c r="P151" s="225"/>
      <c r="Q151" s="225"/>
      <c r="R151"/>
      <c r="S151"/>
      <c r="T151"/>
      <c r="U151"/>
      <c r="V151"/>
      <c r="W151"/>
      <c r="X151"/>
    </row>
    <row r="152" spans="5:24" x14ac:dyDescent="0.3">
      <c r="E152" s="173"/>
      <c r="F152" s="173"/>
      <c r="I152"/>
      <c r="J152"/>
      <c r="K152"/>
      <c r="L152"/>
      <c r="M152"/>
      <c r="N152"/>
      <c r="O152"/>
      <c r="P152" s="225"/>
      <c r="Q152" s="225"/>
      <c r="R152"/>
      <c r="S152"/>
      <c r="T152"/>
      <c r="U152"/>
      <c r="V152"/>
      <c r="W152"/>
      <c r="X152"/>
    </row>
    <row r="153" spans="5:24" x14ac:dyDescent="0.3">
      <c r="E153" s="173"/>
      <c r="F153" s="173"/>
      <c r="I153"/>
      <c r="J153"/>
      <c r="K153"/>
      <c r="L153"/>
      <c r="M153"/>
      <c r="N153"/>
      <c r="O153"/>
      <c r="P153" s="225"/>
      <c r="Q153" s="225"/>
      <c r="R153"/>
      <c r="S153"/>
      <c r="T153"/>
      <c r="U153"/>
      <c r="V153"/>
      <c r="W153"/>
      <c r="X153"/>
    </row>
    <row r="154" spans="5:24" x14ac:dyDescent="0.3">
      <c r="E154" s="173"/>
      <c r="F154" s="173"/>
      <c r="I154"/>
      <c r="J154"/>
      <c r="K154"/>
      <c r="L154"/>
      <c r="M154"/>
      <c r="N154"/>
      <c r="O154"/>
      <c r="P154" s="225"/>
      <c r="Q154" s="225"/>
      <c r="R154"/>
      <c r="S154"/>
      <c r="T154"/>
      <c r="U154"/>
      <c r="V154"/>
      <c r="W154"/>
      <c r="X154"/>
    </row>
    <row r="155" spans="5:24" x14ac:dyDescent="0.3">
      <c r="E155" s="173"/>
      <c r="F155" s="173"/>
      <c r="I155"/>
      <c r="J155"/>
      <c r="K155"/>
      <c r="L155"/>
      <c r="M155"/>
      <c r="N155"/>
      <c r="O155"/>
      <c r="P155" s="225"/>
      <c r="Q155" s="225"/>
      <c r="R155"/>
      <c r="S155"/>
      <c r="T155"/>
      <c r="U155"/>
      <c r="V155"/>
      <c r="W155"/>
      <c r="X155"/>
    </row>
    <row r="156" spans="5:24" x14ac:dyDescent="0.3">
      <c r="E156" s="173"/>
      <c r="F156" s="173"/>
      <c r="I156"/>
      <c r="J156"/>
      <c r="K156"/>
      <c r="L156"/>
      <c r="M156"/>
      <c r="N156"/>
      <c r="O156"/>
      <c r="P156" s="225"/>
      <c r="Q156" s="225"/>
      <c r="R156"/>
      <c r="S156"/>
      <c r="T156"/>
      <c r="U156"/>
      <c r="V156"/>
      <c r="W156"/>
      <c r="X156"/>
    </row>
    <row r="157" spans="5:24" x14ac:dyDescent="0.3">
      <c r="E157" s="173"/>
      <c r="F157" s="173"/>
      <c r="I157"/>
      <c r="J157"/>
      <c r="K157"/>
      <c r="L157"/>
      <c r="M157"/>
      <c r="N157"/>
      <c r="O157"/>
      <c r="P157" s="225"/>
      <c r="Q157" s="225"/>
      <c r="R157"/>
      <c r="S157"/>
      <c r="T157"/>
      <c r="U157"/>
      <c r="V157"/>
      <c r="W157"/>
      <c r="X157"/>
    </row>
    <row r="158" spans="5:24" x14ac:dyDescent="0.3">
      <c r="E158" s="173"/>
      <c r="F158" s="173"/>
      <c r="I158"/>
      <c r="J158"/>
      <c r="K158"/>
      <c r="L158"/>
      <c r="M158"/>
      <c r="N158"/>
      <c r="O158"/>
      <c r="P158" s="225"/>
      <c r="Q158" s="225"/>
      <c r="R158"/>
      <c r="S158"/>
      <c r="T158"/>
      <c r="U158"/>
      <c r="V158"/>
      <c r="W158"/>
      <c r="X158"/>
    </row>
    <row r="159" spans="5:24" x14ac:dyDescent="0.3">
      <c r="E159" s="173"/>
      <c r="F159" s="173"/>
      <c r="I159"/>
      <c r="J159"/>
      <c r="K159"/>
      <c r="L159"/>
      <c r="M159"/>
      <c r="N159"/>
      <c r="O159"/>
      <c r="P159" s="225"/>
      <c r="Q159" s="225"/>
      <c r="R159"/>
      <c r="S159"/>
      <c r="T159"/>
      <c r="U159"/>
      <c r="V159"/>
      <c r="W159"/>
      <c r="X159"/>
    </row>
    <row r="160" spans="5:24" x14ac:dyDescent="0.3">
      <c r="E160" s="173"/>
      <c r="F160" s="173"/>
      <c r="I160"/>
      <c r="J160"/>
      <c r="K160"/>
      <c r="L160"/>
      <c r="M160"/>
      <c r="N160"/>
      <c r="O160"/>
      <c r="P160" s="225"/>
      <c r="Q160" s="225"/>
      <c r="R160"/>
      <c r="S160"/>
      <c r="T160"/>
      <c r="U160"/>
      <c r="V160"/>
      <c r="W160"/>
      <c r="X160"/>
    </row>
    <row r="161" spans="5:24" x14ac:dyDescent="0.3">
      <c r="E161" s="173"/>
      <c r="F161" s="173"/>
      <c r="I161"/>
      <c r="J161"/>
      <c r="K161"/>
      <c r="L161"/>
      <c r="M161"/>
      <c r="N161"/>
      <c r="O161"/>
      <c r="P161" s="225"/>
      <c r="Q161" s="225"/>
      <c r="R161"/>
      <c r="S161"/>
      <c r="T161"/>
      <c r="U161"/>
      <c r="V161"/>
      <c r="W161"/>
      <c r="X161"/>
    </row>
    <row r="162" spans="5:24" x14ac:dyDescent="0.3">
      <c r="E162" s="173"/>
      <c r="F162" s="173"/>
      <c r="I162"/>
      <c r="J162"/>
      <c r="K162"/>
      <c r="L162"/>
      <c r="M162"/>
      <c r="N162"/>
      <c r="O162"/>
      <c r="P162" s="225"/>
      <c r="Q162" s="225"/>
      <c r="R162"/>
      <c r="S162"/>
      <c r="T162"/>
      <c r="U162"/>
      <c r="V162"/>
      <c r="W162"/>
      <c r="X162"/>
    </row>
    <row r="163" spans="5:24" x14ac:dyDescent="0.3">
      <c r="E163" s="173"/>
      <c r="F163" s="173"/>
      <c r="I163"/>
      <c r="J163"/>
      <c r="K163"/>
      <c r="L163"/>
      <c r="M163"/>
      <c r="N163"/>
      <c r="O163"/>
      <c r="P163" s="225"/>
      <c r="Q163" s="225"/>
      <c r="R163"/>
      <c r="S163"/>
      <c r="T163"/>
      <c r="U163"/>
      <c r="V163"/>
      <c r="W163"/>
      <c r="X163"/>
    </row>
    <row r="164" spans="5:24" x14ac:dyDescent="0.3">
      <c r="E164" s="173"/>
      <c r="F164" s="173"/>
      <c r="I164"/>
      <c r="J164"/>
      <c r="K164"/>
      <c r="L164"/>
      <c r="M164"/>
      <c r="N164"/>
      <c r="O164"/>
      <c r="P164" s="225"/>
      <c r="Q164" s="225"/>
      <c r="R164"/>
      <c r="S164"/>
      <c r="T164"/>
      <c r="U164"/>
      <c r="V164"/>
      <c r="W164"/>
      <c r="X164"/>
    </row>
    <row r="165" spans="5:24" x14ac:dyDescent="0.3">
      <c r="E165" s="173"/>
      <c r="F165" s="173"/>
      <c r="I165"/>
      <c r="J165"/>
      <c r="K165"/>
      <c r="L165"/>
      <c r="M165"/>
      <c r="N165"/>
      <c r="O165"/>
      <c r="P165" s="225"/>
      <c r="Q165" s="225"/>
      <c r="R165"/>
      <c r="S165"/>
      <c r="T165"/>
      <c r="U165"/>
      <c r="V165"/>
      <c r="W165"/>
      <c r="X165"/>
    </row>
    <row r="166" spans="5:24" x14ac:dyDescent="0.3">
      <c r="E166" s="173"/>
      <c r="F166" s="173"/>
      <c r="I166"/>
      <c r="J166"/>
      <c r="K166"/>
      <c r="L166"/>
      <c r="M166"/>
      <c r="N166"/>
      <c r="O166"/>
      <c r="P166" s="225"/>
      <c r="Q166" s="225"/>
      <c r="R166"/>
      <c r="S166"/>
      <c r="T166"/>
      <c r="U166"/>
      <c r="V166"/>
      <c r="W166"/>
      <c r="X166"/>
    </row>
    <row r="167" spans="5:24" x14ac:dyDescent="0.3">
      <c r="E167" s="173"/>
      <c r="F167" s="173"/>
      <c r="I167"/>
      <c r="J167"/>
      <c r="K167"/>
      <c r="L167"/>
      <c r="M167"/>
      <c r="N167"/>
      <c r="O167"/>
      <c r="P167" s="225"/>
      <c r="Q167" s="225"/>
      <c r="R167"/>
      <c r="S167"/>
      <c r="T167"/>
      <c r="U167"/>
      <c r="V167"/>
      <c r="W167"/>
      <c r="X167"/>
    </row>
    <row r="168" spans="5:24" x14ac:dyDescent="0.3">
      <c r="E168" s="173"/>
      <c r="F168" s="173"/>
      <c r="I168"/>
      <c r="J168"/>
      <c r="K168"/>
      <c r="L168"/>
      <c r="M168"/>
      <c r="N168"/>
      <c r="O168"/>
      <c r="P168" s="225"/>
      <c r="Q168" s="225"/>
      <c r="R168"/>
      <c r="S168"/>
      <c r="T168"/>
      <c r="U168"/>
      <c r="V168"/>
      <c r="W168"/>
      <c r="X168"/>
    </row>
    <row r="169" spans="5:24" x14ac:dyDescent="0.3">
      <c r="E169" s="173"/>
      <c r="F169" s="173"/>
      <c r="I169"/>
      <c r="J169"/>
      <c r="K169"/>
      <c r="L169"/>
      <c r="M169"/>
      <c r="N169"/>
      <c r="O169"/>
      <c r="P169" s="225"/>
      <c r="Q169" s="225"/>
      <c r="R169"/>
      <c r="S169"/>
      <c r="T169"/>
      <c r="U169"/>
      <c r="V169"/>
      <c r="W169"/>
      <c r="X169"/>
    </row>
    <row r="170" spans="5:24" x14ac:dyDescent="0.3">
      <c r="E170" s="173"/>
      <c r="F170" s="173"/>
      <c r="I170"/>
      <c r="J170"/>
      <c r="K170"/>
      <c r="L170"/>
      <c r="M170"/>
      <c r="N170"/>
      <c r="O170"/>
      <c r="P170" s="225"/>
      <c r="Q170" s="225"/>
      <c r="R170"/>
      <c r="S170"/>
      <c r="T170"/>
      <c r="U170"/>
      <c r="V170"/>
      <c r="W170"/>
      <c r="X170"/>
    </row>
    <row r="171" spans="5:24" x14ac:dyDescent="0.3">
      <c r="E171" s="173"/>
      <c r="F171" s="173"/>
      <c r="I171"/>
      <c r="J171"/>
      <c r="K171"/>
      <c r="L171"/>
      <c r="M171"/>
      <c r="N171"/>
      <c r="O171"/>
      <c r="P171" s="225"/>
      <c r="Q171" s="225"/>
      <c r="R171"/>
      <c r="S171"/>
      <c r="T171"/>
      <c r="U171"/>
      <c r="V171"/>
      <c r="W171"/>
      <c r="X171"/>
    </row>
    <row r="172" spans="5:24" x14ac:dyDescent="0.3">
      <c r="E172" s="173"/>
      <c r="F172" s="173"/>
      <c r="I172"/>
      <c r="J172"/>
      <c r="K172"/>
      <c r="L172"/>
      <c r="M172"/>
      <c r="N172"/>
      <c r="O172"/>
      <c r="P172" s="225"/>
      <c r="Q172" s="225"/>
      <c r="R172"/>
      <c r="S172"/>
      <c r="T172"/>
      <c r="U172"/>
      <c r="V172"/>
      <c r="W172"/>
      <c r="X172"/>
    </row>
    <row r="173" spans="5:24" x14ac:dyDescent="0.3">
      <c r="E173" s="173"/>
      <c r="F173" s="173"/>
      <c r="I173"/>
      <c r="J173"/>
      <c r="K173"/>
      <c r="L173"/>
      <c r="M173"/>
      <c r="N173"/>
      <c r="O173"/>
      <c r="P173" s="225"/>
      <c r="Q173" s="225"/>
      <c r="R173"/>
      <c r="S173"/>
      <c r="T173"/>
      <c r="U173"/>
      <c r="V173"/>
      <c r="W173"/>
      <c r="X173"/>
    </row>
    <row r="174" spans="5:24" x14ac:dyDescent="0.3">
      <c r="E174" s="173"/>
      <c r="F174" s="173"/>
      <c r="I174"/>
      <c r="J174"/>
      <c r="K174"/>
      <c r="L174"/>
      <c r="M174"/>
      <c r="N174"/>
      <c r="O174"/>
      <c r="P174" s="225"/>
      <c r="Q174" s="225"/>
      <c r="R174"/>
      <c r="S174"/>
      <c r="T174"/>
      <c r="U174"/>
      <c r="V174"/>
      <c r="W174"/>
      <c r="X174"/>
    </row>
    <row r="175" spans="5:24" x14ac:dyDescent="0.3">
      <c r="E175" s="173"/>
      <c r="F175" s="173"/>
      <c r="I175"/>
      <c r="J175"/>
      <c r="K175"/>
      <c r="L175"/>
      <c r="M175"/>
      <c r="N175"/>
      <c r="O175"/>
      <c r="P175" s="225"/>
      <c r="Q175" s="225"/>
      <c r="R175"/>
      <c r="S175"/>
      <c r="T175"/>
      <c r="U175"/>
      <c r="V175"/>
      <c r="W175"/>
      <c r="X175"/>
    </row>
    <row r="176" spans="5:24" x14ac:dyDescent="0.3">
      <c r="E176" s="173"/>
      <c r="F176" s="173"/>
      <c r="I176"/>
      <c r="J176"/>
      <c r="K176"/>
      <c r="L176"/>
      <c r="M176"/>
      <c r="N176"/>
      <c r="O176"/>
      <c r="P176" s="225"/>
      <c r="Q176" s="225"/>
      <c r="R176"/>
      <c r="S176"/>
      <c r="T176"/>
      <c r="U176"/>
      <c r="V176"/>
      <c r="W176"/>
      <c r="X176"/>
    </row>
    <row r="177" spans="5:24" x14ac:dyDescent="0.3">
      <c r="E177" s="173"/>
      <c r="F177" s="173"/>
      <c r="I177"/>
      <c r="J177"/>
      <c r="K177"/>
      <c r="L177"/>
      <c r="M177"/>
      <c r="N177"/>
      <c r="O177"/>
      <c r="P177" s="225"/>
      <c r="Q177" s="225"/>
      <c r="R177"/>
      <c r="S177"/>
      <c r="T177"/>
      <c r="U177"/>
      <c r="V177"/>
      <c r="W177"/>
      <c r="X177"/>
    </row>
    <row r="178" spans="5:24" x14ac:dyDescent="0.3">
      <c r="E178" s="173"/>
      <c r="F178" s="173"/>
      <c r="I178"/>
      <c r="J178"/>
      <c r="K178"/>
      <c r="L178"/>
      <c r="M178"/>
      <c r="N178"/>
      <c r="O178"/>
      <c r="P178" s="225"/>
      <c r="Q178" s="225"/>
      <c r="R178"/>
      <c r="S178"/>
      <c r="T178"/>
      <c r="U178"/>
      <c r="V178"/>
      <c r="W178"/>
      <c r="X178"/>
    </row>
    <row r="179" spans="5:24" x14ac:dyDescent="0.3">
      <c r="E179" s="173"/>
      <c r="F179" s="173"/>
      <c r="I179"/>
      <c r="J179"/>
      <c r="K179"/>
      <c r="L179"/>
      <c r="M179"/>
      <c r="N179"/>
      <c r="O179"/>
      <c r="P179" s="225"/>
      <c r="Q179" s="225"/>
      <c r="R179"/>
      <c r="S179"/>
      <c r="T179"/>
      <c r="U179"/>
      <c r="V179"/>
      <c r="W179"/>
      <c r="X179"/>
    </row>
    <row r="180" spans="5:24" x14ac:dyDescent="0.3">
      <c r="E180" s="173"/>
      <c r="F180" s="173"/>
      <c r="I180"/>
      <c r="J180"/>
      <c r="K180"/>
      <c r="L180"/>
      <c r="M180"/>
      <c r="N180"/>
      <c r="O180"/>
      <c r="P180" s="225"/>
      <c r="Q180" s="225"/>
      <c r="R180"/>
      <c r="S180"/>
      <c r="T180"/>
      <c r="U180"/>
      <c r="V180"/>
      <c r="W180"/>
      <c r="X180"/>
    </row>
    <row r="181" spans="5:24" x14ac:dyDescent="0.3">
      <c r="E181" s="173"/>
      <c r="F181" s="173"/>
      <c r="I181"/>
      <c r="J181"/>
      <c r="K181"/>
      <c r="L181"/>
      <c r="M181"/>
      <c r="N181"/>
      <c r="O181"/>
      <c r="P181" s="225"/>
      <c r="Q181" s="225"/>
      <c r="R181"/>
      <c r="S181"/>
      <c r="T181"/>
      <c r="U181"/>
      <c r="V181"/>
      <c r="W181"/>
      <c r="X181"/>
    </row>
    <row r="182" spans="5:24" x14ac:dyDescent="0.3">
      <c r="E182" s="173"/>
      <c r="F182" s="173"/>
      <c r="I182"/>
      <c r="J182"/>
      <c r="K182"/>
      <c r="L182"/>
      <c r="M182"/>
      <c r="N182"/>
      <c r="O182"/>
      <c r="P182" s="225"/>
      <c r="Q182" s="225"/>
      <c r="R182"/>
      <c r="S182"/>
      <c r="T182"/>
      <c r="U182"/>
      <c r="V182"/>
      <c r="W182"/>
      <c r="X182"/>
    </row>
    <row r="183" spans="5:24" x14ac:dyDescent="0.3">
      <c r="E183" s="173"/>
      <c r="F183" s="173"/>
      <c r="I183"/>
      <c r="J183"/>
      <c r="K183"/>
      <c r="L183"/>
      <c r="M183"/>
      <c r="N183"/>
      <c r="O183"/>
      <c r="P183" s="225"/>
      <c r="Q183" s="225"/>
      <c r="R183"/>
      <c r="S183"/>
      <c r="T183"/>
      <c r="U183"/>
      <c r="V183"/>
      <c r="W183"/>
      <c r="X183"/>
    </row>
    <row r="184" spans="5:24" x14ac:dyDescent="0.3">
      <c r="E184" s="173"/>
      <c r="F184" s="173"/>
      <c r="I184"/>
      <c r="J184"/>
      <c r="K184"/>
      <c r="L184"/>
      <c r="M184"/>
      <c r="N184"/>
      <c r="O184"/>
      <c r="P184" s="225"/>
      <c r="Q184" s="225"/>
      <c r="R184"/>
      <c r="S184"/>
      <c r="T184"/>
      <c r="U184"/>
      <c r="V184"/>
      <c r="W184"/>
      <c r="X184"/>
    </row>
    <row r="185" spans="5:24" x14ac:dyDescent="0.3">
      <c r="E185" s="173"/>
      <c r="F185" s="173"/>
      <c r="I185"/>
      <c r="J185"/>
      <c r="K185"/>
      <c r="L185"/>
      <c r="M185"/>
      <c r="N185"/>
      <c r="O185"/>
      <c r="P185" s="225"/>
      <c r="Q185" s="225"/>
      <c r="R185"/>
      <c r="S185"/>
      <c r="T185"/>
      <c r="U185"/>
      <c r="V185"/>
      <c r="W185"/>
      <c r="X185"/>
    </row>
    <row r="186" spans="5:24" x14ac:dyDescent="0.3">
      <c r="E186" s="173"/>
      <c r="F186" s="173"/>
      <c r="I186"/>
      <c r="J186"/>
      <c r="K186"/>
      <c r="L186"/>
      <c r="M186"/>
      <c r="N186"/>
      <c r="O186"/>
      <c r="P186" s="225"/>
      <c r="Q186" s="225"/>
      <c r="R186"/>
      <c r="S186"/>
      <c r="T186"/>
      <c r="U186"/>
      <c r="V186"/>
      <c r="W186"/>
      <c r="X186"/>
    </row>
    <row r="187" spans="5:24" x14ac:dyDescent="0.3">
      <c r="E187" s="173"/>
      <c r="F187" s="173"/>
      <c r="I187"/>
      <c r="J187"/>
      <c r="K187"/>
      <c r="L187"/>
      <c r="M187"/>
      <c r="N187"/>
      <c r="O187"/>
      <c r="P187" s="225"/>
      <c r="Q187" s="225"/>
      <c r="R187"/>
      <c r="S187"/>
      <c r="T187"/>
      <c r="U187"/>
      <c r="V187"/>
      <c r="W187"/>
      <c r="X187"/>
    </row>
    <row r="188" spans="5:24" x14ac:dyDescent="0.3">
      <c r="E188" s="173"/>
      <c r="F188" s="173"/>
      <c r="I188"/>
      <c r="J188"/>
      <c r="K188"/>
      <c r="L188"/>
      <c r="M188"/>
      <c r="N188"/>
      <c r="O188"/>
      <c r="P188" s="225"/>
      <c r="Q188" s="225"/>
      <c r="R188"/>
      <c r="S188"/>
      <c r="T188"/>
      <c r="U188"/>
      <c r="V188"/>
      <c r="W188"/>
      <c r="X188"/>
    </row>
    <row r="189" spans="5:24" x14ac:dyDescent="0.3">
      <c r="E189" s="173"/>
      <c r="F189" s="173"/>
      <c r="I189"/>
      <c r="J189"/>
      <c r="K189"/>
      <c r="L189"/>
      <c r="M189"/>
      <c r="N189"/>
      <c r="O189"/>
      <c r="P189" s="225"/>
      <c r="Q189" s="225"/>
      <c r="R189"/>
      <c r="S189"/>
      <c r="T189"/>
      <c r="U189"/>
      <c r="V189"/>
      <c r="W189"/>
      <c r="X189"/>
    </row>
    <row r="190" spans="5:24" x14ac:dyDescent="0.3">
      <c r="E190" s="173"/>
      <c r="F190" s="173"/>
      <c r="I190"/>
      <c r="J190"/>
      <c r="K190"/>
      <c r="L190"/>
      <c r="M190"/>
      <c r="N190"/>
      <c r="O190"/>
      <c r="P190" s="225"/>
      <c r="Q190" s="225"/>
      <c r="R190"/>
      <c r="S190"/>
      <c r="T190"/>
      <c r="U190"/>
      <c r="V190"/>
      <c r="W190"/>
      <c r="X190"/>
    </row>
    <row r="191" spans="5:24" x14ac:dyDescent="0.3">
      <c r="E191" s="173"/>
      <c r="F191" s="173"/>
      <c r="I191"/>
      <c r="J191"/>
      <c r="K191"/>
      <c r="L191"/>
      <c r="M191"/>
      <c r="N191"/>
      <c r="O191"/>
      <c r="P191" s="225"/>
      <c r="Q191" s="225"/>
      <c r="R191"/>
      <c r="S191"/>
      <c r="T191"/>
      <c r="U191"/>
      <c r="V191"/>
      <c r="W191"/>
      <c r="X191"/>
    </row>
    <row r="192" spans="5:24" x14ac:dyDescent="0.3">
      <c r="E192" s="173"/>
      <c r="F192" s="173"/>
      <c r="I192"/>
      <c r="J192"/>
      <c r="K192"/>
      <c r="L192"/>
      <c r="M192"/>
      <c r="N192"/>
      <c r="O192"/>
      <c r="P192" s="225"/>
      <c r="Q192" s="225"/>
      <c r="R192"/>
      <c r="S192"/>
      <c r="T192"/>
      <c r="U192"/>
      <c r="V192"/>
      <c r="W192"/>
      <c r="X192"/>
    </row>
    <row r="193" spans="5:24" x14ac:dyDescent="0.3">
      <c r="E193" s="173"/>
      <c r="F193" s="173"/>
      <c r="I193"/>
      <c r="J193"/>
      <c r="K193"/>
      <c r="L193"/>
      <c r="M193"/>
      <c r="N193"/>
      <c r="O193"/>
      <c r="P193" s="225"/>
      <c r="Q193" s="225"/>
      <c r="R193"/>
      <c r="S193"/>
      <c r="T193"/>
      <c r="U193"/>
      <c r="V193"/>
      <c r="W193"/>
      <c r="X193"/>
    </row>
    <row r="194" spans="5:24" x14ac:dyDescent="0.3">
      <c r="E194" s="173"/>
      <c r="F194" s="173"/>
      <c r="I194"/>
      <c r="J194"/>
      <c r="K194"/>
      <c r="L194"/>
      <c r="M194"/>
      <c r="N194"/>
      <c r="O194"/>
      <c r="P194" s="225"/>
      <c r="Q194" s="225"/>
      <c r="R194"/>
      <c r="S194"/>
      <c r="T194"/>
      <c r="U194"/>
      <c r="V194"/>
      <c r="W194"/>
      <c r="X194"/>
    </row>
    <row r="195" spans="5:24" x14ac:dyDescent="0.3">
      <c r="E195" s="173"/>
      <c r="F195" s="173"/>
      <c r="I195"/>
      <c r="J195"/>
      <c r="K195"/>
      <c r="L195"/>
      <c r="M195"/>
      <c r="N195"/>
      <c r="O195"/>
      <c r="P195" s="225"/>
      <c r="Q195" s="225"/>
      <c r="R195"/>
      <c r="S195"/>
      <c r="T195"/>
      <c r="U195"/>
      <c r="V195"/>
      <c r="W195"/>
      <c r="X195"/>
    </row>
    <row r="196" spans="5:24" x14ac:dyDescent="0.3">
      <c r="E196" s="173"/>
      <c r="F196" s="173"/>
      <c r="I196"/>
      <c r="J196"/>
      <c r="K196"/>
      <c r="L196"/>
      <c r="M196"/>
      <c r="N196"/>
      <c r="O196"/>
      <c r="P196" s="225"/>
      <c r="Q196" s="225"/>
      <c r="R196"/>
      <c r="S196"/>
      <c r="T196"/>
      <c r="U196"/>
      <c r="V196"/>
      <c r="W196"/>
      <c r="X196"/>
    </row>
    <row r="197" spans="5:24" x14ac:dyDescent="0.3">
      <c r="E197" s="173"/>
      <c r="F197" s="173"/>
      <c r="I197"/>
      <c r="J197"/>
      <c r="K197"/>
      <c r="L197"/>
      <c r="M197"/>
      <c r="N197"/>
      <c r="O197"/>
      <c r="P197" s="225"/>
      <c r="Q197" s="225"/>
      <c r="R197"/>
      <c r="S197"/>
      <c r="T197"/>
      <c r="U197"/>
      <c r="V197"/>
      <c r="W197"/>
      <c r="X197"/>
    </row>
    <row r="198" spans="5:24" x14ac:dyDescent="0.3">
      <c r="E198" s="173"/>
      <c r="F198" s="173"/>
      <c r="I198"/>
      <c r="J198"/>
      <c r="K198"/>
      <c r="L198"/>
      <c r="M198"/>
      <c r="N198"/>
      <c r="O198"/>
      <c r="P198" s="225"/>
      <c r="Q198" s="225"/>
      <c r="R198"/>
      <c r="S198"/>
      <c r="T198"/>
      <c r="U198"/>
      <c r="V198"/>
      <c r="W198"/>
      <c r="X198"/>
    </row>
    <row r="199" spans="5:24" x14ac:dyDescent="0.3">
      <c r="E199" s="173"/>
      <c r="F199" s="173"/>
      <c r="I199"/>
      <c r="J199"/>
      <c r="K199"/>
      <c r="L199"/>
      <c r="M199"/>
      <c r="N199"/>
      <c r="O199"/>
      <c r="P199" s="225"/>
      <c r="Q199" s="225"/>
      <c r="R199"/>
      <c r="S199"/>
      <c r="T199"/>
      <c r="U199"/>
      <c r="V199"/>
      <c r="W199"/>
      <c r="X199"/>
    </row>
    <row r="200" spans="5:24" x14ac:dyDescent="0.3">
      <c r="E200" s="173"/>
      <c r="F200" s="173"/>
      <c r="I200"/>
      <c r="J200"/>
      <c r="K200"/>
      <c r="L200"/>
      <c r="M200"/>
      <c r="N200"/>
      <c r="O200"/>
      <c r="P200" s="225"/>
      <c r="Q200" s="225"/>
      <c r="R200"/>
      <c r="S200"/>
      <c r="T200"/>
      <c r="U200"/>
      <c r="V200"/>
      <c r="W200"/>
      <c r="X200"/>
    </row>
    <row r="201" spans="5:24" x14ac:dyDescent="0.3">
      <c r="E201" s="173"/>
      <c r="F201" s="173"/>
      <c r="I201"/>
      <c r="J201"/>
      <c r="K201"/>
      <c r="L201"/>
      <c r="M201"/>
      <c r="N201"/>
      <c r="O201"/>
      <c r="P201" s="225"/>
      <c r="Q201" s="225"/>
      <c r="R201"/>
      <c r="S201"/>
      <c r="T201"/>
      <c r="U201"/>
      <c r="V201"/>
      <c r="W201"/>
      <c r="X201"/>
    </row>
    <row r="202" spans="5:24" x14ac:dyDescent="0.3">
      <c r="E202" s="173"/>
      <c r="F202" s="173"/>
      <c r="I202"/>
      <c r="J202"/>
      <c r="K202"/>
      <c r="L202"/>
      <c r="M202"/>
      <c r="N202"/>
      <c r="O202"/>
      <c r="P202" s="225"/>
      <c r="Q202" s="225"/>
      <c r="R202"/>
      <c r="S202"/>
      <c r="T202"/>
      <c r="U202"/>
      <c r="V202"/>
      <c r="W202"/>
      <c r="X202"/>
    </row>
    <row r="203" spans="5:24" x14ac:dyDescent="0.3">
      <c r="E203" s="173"/>
      <c r="F203" s="173"/>
      <c r="I203"/>
      <c r="J203"/>
      <c r="K203"/>
      <c r="L203"/>
      <c r="M203"/>
      <c r="N203"/>
      <c r="O203"/>
      <c r="P203" s="225"/>
      <c r="Q203" s="225"/>
      <c r="R203"/>
      <c r="S203"/>
      <c r="T203"/>
      <c r="U203"/>
      <c r="V203"/>
      <c r="W203"/>
      <c r="X203"/>
    </row>
    <row r="204" spans="5:24" x14ac:dyDescent="0.3">
      <c r="E204" s="173"/>
      <c r="F204" s="173"/>
      <c r="I204"/>
      <c r="J204"/>
      <c r="K204"/>
      <c r="L204"/>
      <c r="M204"/>
      <c r="N204"/>
      <c r="O204"/>
      <c r="P204" s="225"/>
      <c r="Q204" s="225"/>
      <c r="R204"/>
      <c r="S204"/>
      <c r="T204"/>
      <c r="U204"/>
      <c r="V204"/>
      <c r="W204"/>
      <c r="X204"/>
    </row>
    <row r="205" spans="5:24" x14ac:dyDescent="0.3">
      <c r="E205" s="173"/>
      <c r="F205" s="173"/>
      <c r="I205"/>
      <c r="J205"/>
      <c r="K205"/>
      <c r="L205"/>
      <c r="M205"/>
      <c r="N205"/>
      <c r="O205"/>
      <c r="P205" s="225"/>
      <c r="Q205" s="225"/>
      <c r="R205"/>
      <c r="S205"/>
      <c r="T205"/>
      <c r="U205"/>
      <c r="V205"/>
      <c r="W205"/>
      <c r="X205"/>
    </row>
    <row r="206" spans="5:24" x14ac:dyDescent="0.3">
      <c r="E206" s="173"/>
      <c r="F206" s="173"/>
      <c r="I206"/>
      <c r="J206"/>
      <c r="K206"/>
      <c r="L206"/>
      <c r="M206"/>
      <c r="N206"/>
      <c r="O206"/>
      <c r="P206" s="225"/>
      <c r="Q206" s="225"/>
      <c r="R206"/>
      <c r="S206"/>
      <c r="T206"/>
      <c r="U206"/>
      <c r="V206"/>
      <c r="W206"/>
      <c r="X206"/>
    </row>
    <row r="207" spans="5:24" x14ac:dyDescent="0.3">
      <c r="E207" s="173"/>
      <c r="F207" s="173"/>
      <c r="I207"/>
      <c r="J207"/>
      <c r="K207"/>
      <c r="L207"/>
      <c r="M207"/>
      <c r="N207"/>
      <c r="O207"/>
      <c r="P207" s="225"/>
      <c r="Q207" s="225"/>
      <c r="R207"/>
      <c r="S207"/>
      <c r="T207"/>
      <c r="U207"/>
      <c r="V207"/>
      <c r="W207"/>
      <c r="X207"/>
    </row>
    <row r="208" spans="5:24" x14ac:dyDescent="0.3">
      <c r="E208" s="173"/>
      <c r="F208" s="173"/>
      <c r="I208"/>
      <c r="J208"/>
      <c r="K208"/>
      <c r="L208"/>
      <c r="M208"/>
      <c r="N208"/>
      <c r="O208"/>
      <c r="P208" s="225"/>
      <c r="Q208" s="225"/>
      <c r="R208"/>
      <c r="S208"/>
      <c r="T208"/>
      <c r="U208"/>
      <c r="V208"/>
      <c r="W208"/>
      <c r="X208"/>
    </row>
    <row r="209" spans="5:24" x14ac:dyDescent="0.3">
      <c r="E209" s="173"/>
      <c r="F209" s="173"/>
      <c r="I209"/>
      <c r="J209"/>
      <c r="K209"/>
      <c r="L209"/>
      <c r="M209"/>
      <c r="N209"/>
      <c r="O209"/>
      <c r="P209" s="225"/>
      <c r="Q209" s="225"/>
      <c r="R209"/>
      <c r="S209"/>
      <c r="T209"/>
      <c r="U209"/>
      <c r="V209"/>
      <c r="W209"/>
      <c r="X209"/>
    </row>
    <row r="210" spans="5:24" x14ac:dyDescent="0.3">
      <c r="E210" s="173"/>
      <c r="F210" s="173"/>
      <c r="I210"/>
      <c r="J210"/>
      <c r="K210"/>
      <c r="L210"/>
      <c r="M210"/>
      <c r="N210"/>
      <c r="O210"/>
      <c r="P210" s="225"/>
      <c r="Q210" s="225"/>
      <c r="R210"/>
      <c r="S210"/>
      <c r="T210"/>
      <c r="U210"/>
      <c r="V210"/>
      <c r="W210"/>
      <c r="X210"/>
    </row>
    <row r="211" spans="5:24" x14ac:dyDescent="0.3">
      <c r="E211" s="173"/>
      <c r="F211" s="173"/>
      <c r="I211"/>
      <c r="J211"/>
      <c r="K211"/>
      <c r="L211"/>
      <c r="M211"/>
      <c r="N211"/>
      <c r="O211"/>
      <c r="P211" s="225"/>
      <c r="Q211" s="225"/>
      <c r="R211"/>
      <c r="S211"/>
      <c r="T211"/>
      <c r="U211"/>
      <c r="V211"/>
      <c r="W211"/>
      <c r="X211"/>
    </row>
    <row r="212" spans="5:24" x14ac:dyDescent="0.3">
      <c r="E212" s="173"/>
      <c r="F212" s="173"/>
      <c r="I212"/>
      <c r="J212"/>
      <c r="K212"/>
      <c r="L212"/>
      <c r="M212"/>
      <c r="N212"/>
      <c r="O212"/>
      <c r="P212" s="225"/>
      <c r="Q212" s="225"/>
      <c r="R212"/>
      <c r="S212"/>
      <c r="T212"/>
      <c r="U212"/>
      <c r="V212"/>
      <c r="W212"/>
      <c r="X212"/>
    </row>
    <row r="213" spans="5:24" x14ac:dyDescent="0.3">
      <c r="E213" s="173"/>
      <c r="F213" s="173"/>
      <c r="I213"/>
      <c r="J213"/>
      <c r="K213"/>
      <c r="L213"/>
      <c r="M213"/>
      <c r="N213"/>
      <c r="O213"/>
      <c r="P213" s="225"/>
      <c r="Q213" s="225"/>
      <c r="R213"/>
      <c r="S213"/>
      <c r="T213"/>
      <c r="U213"/>
      <c r="V213"/>
      <c r="W213"/>
      <c r="X213"/>
    </row>
    <row r="214" spans="5:24" x14ac:dyDescent="0.3">
      <c r="E214" s="173"/>
      <c r="F214" s="173"/>
      <c r="I214"/>
      <c r="J214"/>
      <c r="K214"/>
      <c r="L214"/>
      <c r="M214"/>
      <c r="N214"/>
      <c r="O214"/>
      <c r="P214" s="225"/>
      <c r="Q214" s="225"/>
      <c r="R214"/>
      <c r="S214"/>
      <c r="T214"/>
      <c r="U214"/>
      <c r="V214"/>
      <c r="W214"/>
      <c r="X214"/>
    </row>
    <row r="215" spans="5:24" x14ac:dyDescent="0.3">
      <c r="E215" s="173"/>
      <c r="F215" s="173"/>
      <c r="I215"/>
      <c r="J215"/>
      <c r="K215"/>
      <c r="L215"/>
      <c r="M215"/>
      <c r="N215"/>
      <c r="O215"/>
      <c r="P215" s="225"/>
      <c r="Q215" s="225"/>
      <c r="R215"/>
      <c r="S215"/>
      <c r="T215"/>
      <c r="U215"/>
      <c r="V215"/>
      <c r="W215"/>
      <c r="X215"/>
    </row>
    <row r="216" spans="5:24" x14ac:dyDescent="0.3">
      <c r="E216" s="173"/>
      <c r="F216" s="173"/>
      <c r="I216"/>
      <c r="J216"/>
      <c r="K216"/>
      <c r="L216"/>
      <c r="M216"/>
      <c r="N216"/>
      <c r="O216"/>
      <c r="P216" s="225"/>
      <c r="Q216" s="225"/>
      <c r="R216"/>
      <c r="S216"/>
      <c r="T216"/>
      <c r="U216"/>
      <c r="V216"/>
      <c r="W216"/>
      <c r="X216"/>
    </row>
    <row r="217" spans="5:24" x14ac:dyDescent="0.3">
      <c r="E217" s="173"/>
      <c r="F217" s="173"/>
      <c r="I217"/>
      <c r="J217"/>
      <c r="K217"/>
      <c r="L217"/>
      <c r="M217"/>
      <c r="N217"/>
      <c r="O217"/>
      <c r="P217" s="225"/>
      <c r="Q217" s="225"/>
      <c r="R217"/>
      <c r="S217"/>
      <c r="T217"/>
      <c r="U217"/>
      <c r="V217"/>
      <c r="W217"/>
      <c r="X217"/>
    </row>
    <row r="218" spans="5:24" x14ac:dyDescent="0.3">
      <c r="E218" s="173"/>
      <c r="F218" s="173"/>
      <c r="I218"/>
      <c r="J218"/>
      <c r="K218"/>
      <c r="L218"/>
      <c r="M218"/>
      <c r="N218"/>
      <c r="O218"/>
      <c r="P218" s="225"/>
      <c r="Q218" s="225"/>
      <c r="R218"/>
      <c r="S218"/>
      <c r="T218"/>
      <c r="U218"/>
      <c r="V218"/>
      <c r="W218"/>
      <c r="X218"/>
    </row>
    <row r="219" spans="5:24" x14ac:dyDescent="0.3">
      <c r="E219" s="173"/>
      <c r="F219" s="173"/>
      <c r="I219"/>
      <c r="J219"/>
      <c r="K219"/>
      <c r="L219"/>
      <c r="M219"/>
      <c r="N219"/>
      <c r="O219"/>
      <c r="P219" s="225"/>
      <c r="Q219" s="225"/>
      <c r="R219"/>
      <c r="S219"/>
      <c r="T219"/>
      <c r="U219"/>
      <c r="V219"/>
      <c r="W219"/>
      <c r="X219"/>
    </row>
    <row r="220" spans="5:24" x14ac:dyDescent="0.3">
      <c r="E220" s="173"/>
      <c r="F220" s="173"/>
      <c r="I220"/>
      <c r="J220"/>
      <c r="K220"/>
      <c r="L220"/>
      <c r="M220"/>
      <c r="N220"/>
      <c r="O220"/>
      <c r="P220" s="225"/>
      <c r="Q220" s="225"/>
      <c r="R220"/>
      <c r="S220"/>
      <c r="T220"/>
      <c r="U220"/>
      <c r="V220"/>
      <c r="W220"/>
      <c r="X220"/>
    </row>
    <row r="221" spans="5:24" x14ac:dyDescent="0.3">
      <c r="E221" s="173"/>
      <c r="F221" s="173"/>
      <c r="I221"/>
      <c r="J221"/>
      <c r="K221"/>
      <c r="L221"/>
      <c r="M221"/>
      <c r="N221"/>
      <c r="O221"/>
      <c r="P221" s="225"/>
      <c r="Q221" s="225"/>
      <c r="R221"/>
      <c r="S221"/>
      <c r="T221"/>
      <c r="U221"/>
      <c r="V221"/>
      <c r="W221"/>
      <c r="X221"/>
    </row>
    <row r="222" spans="5:24" x14ac:dyDescent="0.3">
      <c r="E222" s="173"/>
      <c r="F222" s="173"/>
      <c r="I222"/>
      <c r="J222"/>
      <c r="K222"/>
      <c r="L222"/>
      <c r="M222"/>
      <c r="N222"/>
      <c r="O222"/>
      <c r="P222" s="225"/>
      <c r="Q222" s="225"/>
      <c r="R222"/>
      <c r="S222"/>
      <c r="T222"/>
      <c r="U222"/>
      <c r="V222"/>
      <c r="W222"/>
      <c r="X222"/>
    </row>
    <row r="223" spans="5:24" x14ac:dyDescent="0.3">
      <c r="E223" s="173"/>
      <c r="F223" s="173"/>
      <c r="I223"/>
      <c r="J223"/>
      <c r="K223"/>
      <c r="L223"/>
      <c r="M223"/>
      <c r="N223"/>
      <c r="O223"/>
      <c r="P223" s="225"/>
      <c r="Q223" s="225"/>
      <c r="R223"/>
      <c r="S223"/>
      <c r="T223"/>
      <c r="U223"/>
      <c r="V223"/>
      <c r="W223"/>
      <c r="X223"/>
    </row>
    <row r="224" spans="5:24" x14ac:dyDescent="0.3">
      <c r="E224" s="173"/>
      <c r="F224" s="173"/>
      <c r="I224"/>
      <c r="J224"/>
      <c r="K224"/>
      <c r="L224"/>
      <c r="M224"/>
      <c r="N224"/>
      <c r="O224"/>
      <c r="P224" s="225"/>
      <c r="Q224" s="225"/>
      <c r="R224"/>
      <c r="S224"/>
      <c r="T224"/>
      <c r="U224"/>
      <c r="V224"/>
      <c r="W224"/>
      <c r="X224"/>
    </row>
    <row r="225" spans="5:24" x14ac:dyDescent="0.3">
      <c r="E225" s="173"/>
      <c r="F225" s="173"/>
      <c r="I225"/>
      <c r="J225"/>
      <c r="K225"/>
      <c r="L225"/>
      <c r="M225"/>
      <c r="N225"/>
      <c r="O225"/>
      <c r="P225" s="225"/>
      <c r="Q225" s="225"/>
      <c r="R225"/>
      <c r="S225"/>
      <c r="T225"/>
      <c r="U225"/>
      <c r="V225"/>
      <c r="W225"/>
      <c r="X225"/>
    </row>
    <row r="226" spans="5:24" x14ac:dyDescent="0.3">
      <c r="E226" s="173"/>
      <c r="F226" s="173"/>
      <c r="I226"/>
      <c r="J226"/>
      <c r="K226"/>
      <c r="L226"/>
      <c r="M226"/>
      <c r="N226"/>
      <c r="O226"/>
      <c r="P226" s="225"/>
      <c r="Q226" s="225"/>
      <c r="R226"/>
      <c r="S226"/>
      <c r="T226"/>
      <c r="U226"/>
      <c r="V226"/>
      <c r="W226"/>
      <c r="X226"/>
    </row>
    <row r="227" spans="5:24" x14ac:dyDescent="0.3">
      <c r="E227" s="173"/>
      <c r="F227" s="173"/>
      <c r="I227"/>
      <c r="J227"/>
      <c r="K227"/>
      <c r="L227"/>
      <c r="M227"/>
      <c r="N227"/>
      <c r="O227"/>
      <c r="P227" s="225"/>
      <c r="Q227" s="225"/>
      <c r="R227"/>
      <c r="S227"/>
      <c r="T227"/>
      <c r="U227"/>
      <c r="V227"/>
      <c r="W227"/>
      <c r="X227"/>
    </row>
    <row r="228" spans="5:24" x14ac:dyDescent="0.3">
      <c r="E228" s="173"/>
      <c r="F228" s="173"/>
      <c r="I228"/>
      <c r="J228"/>
      <c r="K228"/>
      <c r="L228"/>
      <c r="M228"/>
      <c r="N228"/>
      <c r="O228"/>
      <c r="P228" s="225"/>
      <c r="Q228" s="225"/>
      <c r="R228"/>
      <c r="S228"/>
      <c r="T228"/>
      <c r="U228"/>
      <c r="V228"/>
      <c r="W228"/>
      <c r="X228"/>
    </row>
    <row r="229" spans="5:24" x14ac:dyDescent="0.3">
      <c r="E229" s="173"/>
      <c r="F229" s="173"/>
      <c r="I229"/>
      <c r="J229"/>
      <c r="K229"/>
      <c r="L229"/>
      <c r="M229"/>
      <c r="N229"/>
      <c r="O229"/>
      <c r="P229" s="225"/>
      <c r="Q229" s="225"/>
      <c r="R229"/>
      <c r="S229"/>
      <c r="T229"/>
      <c r="U229"/>
      <c r="V229"/>
      <c r="W229"/>
      <c r="X229"/>
    </row>
    <row r="230" spans="5:24" x14ac:dyDescent="0.3">
      <c r="E230" s="173"/>
      <c r="F230" s="173"/>
      <c r="I230"/>
      <c r="J230"/>
      <c r="K230"/>
      <c r="L230"/>
      <c r="M230"/>
      <c r="N230"/>
      <c r="O230"/>
      <c r="P230" s="225"/>
      <c r="Q230" s="225"/>
      <c r="R230"/>
      <c r="S230"/>
      <c r="T230"/>
      <c r="U230"/>
      <c r="V230"/>
      <c r="W230"/>
      <c r="X230"/>
    </row>
    <row r="231" spans="5:24" x14ac:dyDescent="0.3">
      <c r="E231" s="173"/>
      <c r="F231" s="173"/>
      <c r="I231"/>
      <c r="J231"/>
      <c r="K231"/>
      <c r="L231"/>
      <c r="M231"/>
      <c r="N231"/>
      <c r="O231"/>
      <c r="P231" s="225"/>
      <c r="Q231" s="225"/>
      <c r="R231"/>
      <c r="S231"/>
      <c r="T231"/>
      <c r="U231"/>
      <c r="V231"/>
      <c r="W231"/>
      <c r="X231"/>
    </row>
    <row r="232" spans="5:24" x14ac:dyDescent="0.3">
      <c r="E232" s="173"/>
      <c r="F232" s="173"/>
      <c r="I232"/>
      <c r="J232"/>
      <c r="K232"/>
      <c r="L232"/>
      <c r="M232"/>
      <c r="N232"/>
      <c r="O232"/>
      <c r="P232" s="225"/>
      <c r="Q232" s="225"/>
      <c r="R232"/>
      <c r="S232"/>
      <c r="T232"/>
      <c r="U232"/>
      <c r="V232"/>
      <c r="W232"/>
      <c r="X232"/>
    </row>
    <row r="233" spans="5:24" x14ac:dyDescent="0.3">
      <c r="E233" s="173"/>
      <c r="F233" s="173"/>
      <c r="I233"/>
      <c r="J233"/>
      <c r="K233"/>
      <c r="L233"/>
      <c r="M233"/>
      <c r="N233"/>
      <c r="O233"/>
      <c r="P233" s="225"/>
      <c r="Q233" s="225"/>
      <c r="R233"/>
      <c r="S233"/>
      <c r="T233"/>
      <c r="U233"/>
      <c r="V233"/>
      <c r="W233"/>
      <c r="X233"/>
    </row>
    <row r="234" spans="5:24" x14ac:dyDescent="0.3">
      <c r="E234" s="173"/>
      <c r="F234" s="173"/>
      <c r="I234"/>
      <c r="J234"/>
      <c r="K234"/>
      <c r="L234"/>
      <c r="M234"/>
      <c r="N234"/>
      <c r="O234"/>
      <c r="P234" s="225"/>
      <c r="Q234" s="225"/>
      <c r="R234"/>
      <c r="S234"/>
      <c r="T234"/>
      <c r="U234"/>
      <c r="V234"/>
      <c r="W234"/>
      <c r="X234"/>
    </row>
    <row r="235" spans="5:24" x14ac:dyDescent="0.3">
      <c r="E235" s="173"/>
      <c r="F235" s="173"/>
      <c r="I235"/>
      <c r="J235"/>
      <c r="K235"/>
      <c r="L235"/>
      <c r="M235"/>
      <c r="N235"/>
      <c r="O235"/>
      <c r="P235" s="225"/>
      <c r="Q235" s="225"/>
      <c r="R235"/>
      <c r="S235"/>
      <c r="T235"/>
      <c r="U235"/>
      <c r="V235"/>
      <c r="W235"/>
      <c r="X235"/>
    </row>
    <row r="236" spans="5:24" x14ac:dyDescent="0.3">
      <c r="E236" s="173"/>
      <c r="F236" s="173"/>
      <c r="I236"/>
      <c r="J236"/>
      <c r="K236"/>
      <c r="L236"/>
      <c r="M236"/>
      <c r="N236"/>
      <c r="O236"/>
      <c r="P236" s="225"/>
      <c r="Q236" s="225"/>
      <c r="R236"/>
      <c r="S236"/>
      <c r="T236"/>
      <c r="U236"/>
      <c r="V236"/>
      <c r="W236"/>
      <c r="X236"/>
    </row>
    <row r="237" spans="5:24" x14ac:dyDescent="0.3">
      <c r="E237" s="173"/>
      <c r="F237" s="173"/>
      <c r="I237"/>
      <c r="J237"/>
      <c r="K237"/>
      <c r="L237"/>
      <c r="M237"/>
      <c r="N237"/>
      <c r="O237"/>
      <c r="P237" s="225"/>
      <c r="Q237" s="225"/>
      <c r="R237"/>
      <c r="S237"/>
      <c r="T237"/>
      <c r="U237"/>
      <c r="V237"/>
      <c r="W237"/>
      <c r="X237"/>
    </row>
    <row r="238" spans="5:24" x14ac:dyDescent="0.3">
      <c r="E238" s="173"/>
      <c r="F238" s="173"/>
      <c r="I238"/>
      <c r="J238"/>
      <c r="K238"/>
      <c r="L238"/>
      <c r="M238"/>
      <c r="N238"/>
      <c r="O238"/>
      <c r="P238" s="225"/>
      <c r="Q238" s="225"/>
      <c r="R238"/>
      <c r="S238"/>
      <c r="T238"/>
      <c r="U238"/>
      <c r="V238"/>
      <c r="W238"/>
      <c r="X238"/>
    </row>
    <row r="239" spans="5:24" x14ac:dyDescent="0.3">
      <c r="E239" s="173"/>
      <c r="F239" s="173"/>
      <c r="I239"/>
      <c r="J239"/>
      <c r="K239"/>
      <c r="L239"/>
      <c r="M239"/>
      <c r="N239"/>
      <c r="O239"/>
      <c r="P239" s="225"/>
      <c r="Q239" s="225"/>
      <c r="R239"/>
      <c r="S239"/>
      <c r="T239"/>
      <c r="U239"/>
      <c r="V239"/>
      <c r="W239"/>
      <c r="X239"/>
    </row>
    <row r="240" spans="5:24" x14ac:dyDescent="0.3">
      <c r="E240" s="173"/>
      <c r="F240" s="173"/>
      <c r="I240"/>
      <c r="J240"/>
      <c r="K240"/>
      <c r="L240"/>
      <c r="M240"/>
      <c r="N240"/>
      <c r="O240"/>
      <c r="P240" s="225"/>
      <c r="Q240" s="225"/>
      <c r="R240"/>
      <c r="S240"/>
      <c r="T240"/>
      <c r="U240"/>
      <c r="V240"/>
      <c r="W240"/>
      <c r="X240"/>
    </row>
    <row r="241" spans="5:24" x14ac:dyDescent="0.3">
      <c r="E241" s="173"/>
      <c r="F241" s="173"/>
      <c r="I241"/>
      <c r="J241"/>
      <c r="K241"/>
      <c r="L241"/>
      <c r="M241"/>
      <c r="N241"/>
      <c r="O241"/>
      <c r="P241" s="225"/>
      <c r="Q241" s="225"/>
      <c r="R241"/>
      <c r="S241"/>
      <c r="T241"/>
      <c r="U241"/>
      <c r="V241"/>
      <c r="W241"/>
      <c r="X241"/>
    </row>
    <row r="242" spans="5:24" x14ac:dyDescent="0.3">
      <c r="E242" s="173"/>
      <c r="F242" s="173"/>
      <c r="I242"/>
      <c r="J242"/>
      <c r="K242"/>
      <c r="L242"/>
      <c r="M242"/>
      <c r="N242"/>
      <c r="O242"/>
      <c r="P242" s="225"/>
      <c r="Q242" s="225"/>
      <c r="R242"/>
      <c r="S242"/>
      <c r="T242"/>
      <c r="U242"/>
      <c r="V242"/>
      <c r="W242"/>
      <c r="X242"/>
    </row>
    <row r="243" spans="5:24" x14ac:dyDescent="0.3">
      <c r="E243" s="173"/>
      <c r="F243" s="173"/>
      <c r="I243"/>
      <c r="J243"/>
      <c r="K243"/>
      <c r="L243"/>
      <c r="M243"/>
      <c r="N243"/>
      <c r="O243"/>
      <c r="P243" s="225"/>
      <c r="Q243" s="225"/>
      <c r="R243"/>
      <c r="S243"/>
      <c r="T243"/>
      <c r="U243"/>
      <c r="V243"/>
      <c r="W243"/>
      <c r="X243"/>
    </row>
    <row r="244" spans="5:24" x14ac:dyDescent="0.3">
      <c r="E244" s="173"/>
      <c r="F244" s="173"/>
      <c r="I244"/>
      <c r="J244"/>
      <c r="K244"/>
      <c r="L244"/>
      <c r="M244"/>
      <c r="N244"/>
      <c r="O244"/>
      <c r="P244" s="225"/>
      <c r="Q244" s="225"/>
      <c r="R244"/>
      <c r="S244"/>
      <c r="T244"/>
      <c r="U244"/>
      <c r="V244"/>
      <c r="W244"/>
      <c r="X244"/>
    </row>
    <row r="245" spans="5:24" x14ac:dyDescent="0.3">
      <c r="E245" s="173"/>
      <c r="F245" s="173"/>
      <c r="I245"/>
      <c r="J245"/>
      <c r="K245"/>
      <c r="L245"/>
      <c r="M245"/>
      <c r="N245"/>
      <c r="O245"/>
      <c r="P245" s="225"/>
      <c r="Q245" s="225"/>
      <c r="R245"/>
      <c r="S245"/>
      <c r="T245"/>
      <c r="U245"/>
      <c r="V245"/>
      <c r="W245"/>
      <c r="X245"/>
    </row>
    <row r="246" spans="5:24" x14ac:dyDescent="0.3">
      <c r="E246" s="173"/>
      <c r="F246" s="173"/>
      <c r="I246"/>
      <c r="J246"/>
      <c r="K246"/>
      <c r="L246"/>
      <c r="M246"/>
      <c r="N246"/>
      <c r="O246"/>
      <c r="P246" s="225"/>
      <c r="Q246" s="225"/>
      <c r="R246"/>
      <c r="S246"/>
      <c r="T246"/>
      <c r="U246"/>
      <c r="V246"/>
      <c r="W246"/>
      <c r="X246"/>
    </row>
    <row r="247" spans="5:24" x14ac:dyDescent="0.3">
      <c r="E247" s="173"/>
      <c r="F247" s="173"/>
      <c r="I247"/>
      <c r="J247"/>
      <c r="K247"/>
      <c r="L247"/>
      <c r="M247"/>
      <c r="N247"/>
      <c r="O247"/>
      <c r="P247" s="225"/>
      <c r="Q247" s="225"/>
      <c r="R247"/>
      <c r="S247"/>
      <c r="T247"/>
      <c r="U247"/>
      <c r="V247"/>
      <c r="W247"/>
      <c r="X247"/>
    </row>
    <row r="248" spans="5:24" x14ac:dyDescent="0.3">
      <c r="E248" s="173"/>
      <c r="F248" s="173"/>
      <c r="I248"/>
      <c r="J248"/>
      <c r="K248"/>
      <c r="L248"/>
      <c r="M248"/>
      <c r="N248"/>
      <c r="O248"/>
      <c r="P248" s="225"/>
      <c r="Q248" s="225"/>
      <c r="R248"/>
      <c r="S248"/>
      <c r="T248"/>
      <c r="U248"/>
      <c r="V248"/>
      <c r="W248"/>
      <c r="X248"/>
    </row>
    <row r="249" spans="5:24" x14ac:dyDescent="0.3">
      <c r="E249" s="173"/>
      <c r="F249" s="173"/>
      <c r="I249"/>
      <c r="J249"/>
      <c r="K249"/>
      <c r="L249"/>
      <c r="M249"/>
      <c r="N249"/>
      <c r="O249"/>
      <c r="P249" s="225"/>
      <c r="Q249" s="225"/>
      <c r="R249"/>
      <c r="S249"/>
      <c r="T249"/>
      <c r="U249"/>
      <c r="V249"/>
      <c r="W249"/>
      <c r="X249"/>
    </row>
    <row r="250" spans="5:24" x14ac:dyDescent="0.3">
      <c r="E250" s="173"/>
      <c r="F250" s="173"/>
      <c r="I250"/>
      <c r="J250"/>
      <c r="K250"/>
      <c r="L250"/>
      <c r="M250"/>
      <c r="N250"/>
      <c r="O250"/>
      <c r="P250" s="225"/>
      <c r="Q250" s="225"/>
      <c r="R250"/>
      <c r="S250"/>
      <c r="T250"/>
      <c r="U250"/>
      <c r="V250"/>
      <c r="W250"/>
      <c r="X250"/>
    </row>
    <row r="251" spans="5:24" x14ac:dyDescent="0.3">
      <c r="E251" s="173"/>
      <c r="F251" s="173"/>
      <c r="I251"/>
      <c r="J251"/>
      <c r="K251"/>
      <c r="L251"/>
      <c r="M251"/>
      <c r="N251"/>
      <c r="O251"/>
      <c r="P251" s="225"/>
      <c r="Q251" s="225"/>
      <c r="R251"/>
      <c r="S251"/>
      <c r="T251"/>
      <c r="U251"/>
      <c r="V251"/>
      <c r="W251"/>
      <c r="X251"/>
    </row>
    <row r="252" spans="5:24" x14ac:dyDescent="0.3">
      <c r="E252" s="173"/>
      <c r="F252" s="173"/>
      <c r="I252"/>
      <c r="J252"/>
      <c r="K252"/>
      <c r="L252"/>
      <c r="M252"/>
      <c r="N252"/>
      <c r="O252"/>
      <c r="P252" s="225"/>
      <c r="Q252" s="225"/>
      <c r="R252"/>
      <c r="S252"/>
      <c r="T252"/>
      <c r="U252"/>
      <c r="V252"/>
      <c r="W252"/>
      <c r="X252"/>
    </row>
    <row r="253" spans="5:24" x14ac:dyDescent="0.3">
      <c r="E253" s="173"/>
      <c r="F253" s="173"/>
      <c r="I253"/>
      <c r="J253"/>
      <c r="K253"/>
      <c r="L253"/>
      <c r="M253"/>
      <c r="N253"/>
      <c r="O253"/>
      <c r="P253" s="225"/>
      <c r="Q253" s="225"/>
      <c r="R253"/>
      <c r="S253"/>
      <c r="T253"/>
      <c r="U253"/>
      <c r="V253"/>
      <c r="W253"/>
      <c r="X253"/>
    </row>
    <row r="254" spans="5:24" x14ac:dyDescent="0.3">
      <c r="E254" s="173"/>
      <c r="F254" s="173"/>
      <c r="I254"/>
      <c r="J254"/>
      <c r="K254"/>
      <c r="L254"/>
      <c r="M254"/>
      <c r="N254"/>
      <c r="O254"/>
      <c r="P254" s="225"/>
      <c r="Q254" s="225"/>
      <c r="R254"/>
      <c r="S254"/>
      <c r="T254"/>
      <c r="U254"/>
      <c r="V254"/>
      <c r="W254"/>
      <c r="X254"/>
    </row>
    <row r="255" spans="5:24" x14ac:dyDescent="0.3">
      <c r="E255" s="173"/>
      <c r="F255" s="173"/>
      <c r="I255"/>
      <c r="J255"/>
      <c r="K255"/>
      <c r="L255"/>
      <c r="M255"/>
      <c r="N255"/>
      <c r="O255"/>
      <c r="P255" s="225"/>
      <c r="Q255" s="225"/>
      <c r="R255"/>
      <c r="S255"/>
      <c r="T255"/>
      <c r="U255"/>
      <c r="V255"/>
      <c r="W255"/>
      <c r="X255"/>
    </row>
    <row r="256" spans="5:24" x14ac:dyDescent="0.3">
      <c r="E256" s="173"/>
      <c r="F256" s="173"/>
      <c r="I256"/>
      <c r="J256"/>
      <c r="K256"/>
      <c r="L256"/>
      <c r="M256"/>
      <c r="N256"/>
      <c r="O256"/>
      <c r="P256" s="225"/>
      <c r="Q256" s="225"/>
      <c r="R256"/>
      <c r="S256"/>
      <c r="T256"/>
      <c r="U256"/>
      <c r="V256"/>
      <c r="W256"/>
      <c r="X256"/>
    </row>
    <row r="257" spans="5:24" x14ac:dyDescent="0.3">
      <c r="E257" s="173"/>
      <c r="F257" s="173"/>
      <c r="I257"/>
      <c r="J257"/>
      <c r="K257"/>
      <c r="L257"/>
      <c r="M257"/>
      <c r="N257"/>
      <c r="O257"/>
      <c r="P257" s="225"/>
      <c r="Q257" s="225"/>
      <c r="R257"/>
      <c r="S257"/>
      <c r="T257"/>
      <c r="U257"/>
      <c r="V257"/>
      <c r="W257"/>
      <c r="X257"/>
    </row>
    <row r="258" spans="5:24" x14ac:dyDescent="0.3">
      <c r="E258" s="173"/>
      <c r="F258" s="173"/>
      <c r="I258"/>
      <c r="J258"/>
      <c r="K258"/>
      <c r="L258"/>
      <c r="M258"/>
      <c r="N258"/>
      <c r="O258"/>
      <c r="P258" s="225"/>
      <c r="Q258" s="225"/>
      <c r="R258"/>
      <c r="S258"/>
      <c r="T258"/>
      <c r="U258"/>
      <c r="V258"/>
      <c r="W258"/>
      <c r="X258"/>
    </row>
    <row r="259" spans="5:24" x14ac:dyDescent="0.3">
      <c r="E259" s="173"/>
      <c r="F259" s="173"/>
      <c r="I259"/>
      <c r="J259"/>
      <c r="K259"/>
      <c r="L259"/>
      <c r="M259"/>
      <c r="N259"/>
      <c r="O259"/>
      <c r="P259" s="225"/>
      <c r="Q259" s="225"/>
      <c r="R259"/>
      <c r="S259"/>
      <c r="T259"/>
      <c r="U259"/>
      <c r="V259"/>
      <c r="W259"/>
      <c r="X259"/>
    </row>
    <row r="260" spans="5:24" x14ac:dyDescent="0.3">
      <c r="E260" s="173"/>
      <c r="F260" s="173"/>
      <c r="I260"/>
      <c r="J260"/>
      <c r="K260"/>
      <c r="L260"/>
      <c r="M260"/>
      <c r="N260"/>
      <c r="O260"/>
      <c r="P260" s="225"/>
      <c r="Q260" s="225"/>
      <c r="R260"/>
      <c r="S260"/>
      <c r="T260"/>
      <c r="U260"/>
      <c r="V260"/>
      <c r="W260"/>
      <c r="X260"/>
    </row>
    <row r="261" spans="5:24" x14ac:dyDescent="0.3">
      <c r="E261" s="173"/>
      <c r="F261" s="173"/>
      <c r="I261"/>
      <c r="J261"/>
      <c r="K261"/>
      <c r="L261"/>
      <c r="M261"/>
      <c r="N261"/>
      <c r="O261"/>
      <c r="P261" s="225"/>
      <c r="Q261" s="225"/>
      <c r="R261"/>
      <c r="S261"/>
      <c r="T261"/>
      <c r="U261"/>
      <c r="V261"/>
      <c r="W261"/>
      <c r="X261"/>
    </row>
    <row r="262" spans="5:24" x14ac:dyDescent="0.3">
      <c r="E262" s="173"/>
      <c r="F262" s="173"/>
      <c r="I262"/>
      <c r="J262"/>
      <c r="K262"/>
      <c r="L262"/>
      <c r="M262"/>
      <c r="N262"/>
      <c r="O262"/>
      <c r="P262" s="225"/>
      <c r="Q262" s="225"/>
      <c r="R262"/>
      <c r="S262"/>
      <c r="T262"/>
      <c r="U262"/>
      <c r="V262"/>
      <c r="W262"/>
      <c r="X262"/>
    </row>
    <row r="263" spans="5:24" x14ac:dyDescent="0.3">
      <c r="E263" s="173"/>
      <c r="F263" s="173"/>
      <c r="I263"/>
      <c r="J263"/>
      <c r="K263"/>
      <c r="L263"/>
      <c r="M263"/>
      <c r="N263"/>
      <c r="O263"/>
      <c r="P263" s="225"/>
      <c r="Q263" s="225"/>
      <c r="R263"/>
      <c r="S263"/>
      <c r="T263"/>
      <c r="U263"/>
      <c r="V263"/>
      <c r="W263"/>
      <c r="X263"/>
    </row>
    <row r="264" spans="5:24" x14ac:dyDescent="0.3">
      <c r="E264" s="173"/>
      <c r="F264" s="173"/>
      <c r="I264"/>
      <c r="J264"/>
      <c r="K264"/>
      <c r="L264"/>
      <c r="M264"/>
      <c r="N264"/>
      <c r="O264"/>
      <c r="P264" s="225"/>
      <c r="Q264" s="225"/>
      <c r="R264"/>
      <c r="S264"/>
      <c r="T264"/>
      <c r="U264"/>
      <c r="V264"/>
      <c r="W264"/>
      <c r="X264"/>
    </row>
    <row r="265" spans="5:24" x14ac:dyDescent="0.3">
      <c r="E265" s="173"/>
      <c r="F265" s="173"/>
      <c r="I265"/>
      <c r="J265"/>
      <c r="K265"/>
      <c r="L265"/>
      <c r="M265"/>
      <c r="N265"/>
      <c r="O265"/>
      <c r="P265" s="225"/>
      <c r="Q265" s="225"/>
      <c r="R265"/>
      <c r="S265"/>
      <c r="T265"/>
      <c r="U265"/>
      <c r="V265"/>
      <c r="W265"/>
      <c r="X265"/>
    </row>
    <row r="266" spans="5:24" x14ac:dyDescent="0.3">
      <c r="E266" s="173"/>
      <c r="F266" s="173"/>
      <c r="I266"/>
      <c r="J266"/>
      <c r="K266"/>
      <c r="L266"/>
      <c r="M266"/>
      <c r="N266"/>
      <c r="O266"/>
      <c r="P266" s="225"/>
      <c r="Q266" s="225"/>
      <c r="R266"/>
      <c r="S266"/>
      <c r="T266"/>
      <c r="U266"/>
      <c r="V266"/>
      <c r="W266"/>
      <c r="X266"/>
    </row>
    <row r="267" spans="5:24" x14ac:dyDescent="0.3">
      <c r="E267" s="173"/>
      <c r="F267" s="173"/>
      <c r="I267"/>
      <c r="J267"/>
      <c r="K267"/>
      <c r="L267"/>
      <c r="M267"/>
      <c r="N267"/>
      <c r="O267"/>
      <c r="P267" s="225"/>
      <c r="Q267" s="225"/>
      <c r="R267"/>
      <c r="S267"/>
      <c r="T267"/>
      <c r="U267"/>
      <c r="V267"/>
      <c r="W267"/>
      <c r="X267"/>
    </row>
    <row r="268" spans="5:24" x14ac:dyDescent="0.3">
      <c r="E268" s="173"/>
      <c r="F268" s="173"/>
      <c r="I268"/>
      <c r="J268"/>
      <c r="K268"/>
      <c r="L268"/>
      <c r="M268"/>
      <c r="N268"/>
      <c r="O268"/>
      <c r="P268" s="225"/>
      <c r="Q268" s="225"/>
      <c r="R268"/>
      <c r="S268"/>
      <c r="T268"/>
      <c r="U268"/>
      <c r="V268"/>
      <c r="W268"/>
      <c r="X268"/>
    </row>
    <row r="269" spans="5:24" x14ac:dyDescent="0.3">
      <c r="E269" s="173"/>
      <c r="F269" s="173"/>
      <c r="I269"/>
      <c r="J269"/>
      <c r="K269"/>
      <c r="L269"/>
      <c r="M269"/>
      <c r="N269"/>
      <c r="O269"/>
      <c r="P269" s="225"/>
      <c r="Q269" s="225"/>
      <c r="R269"/>
      <c r="S269"/>
      <c r="T269"/>
      <c r="U269"/>
      <c r="V269"/>
      <c r="W269"/>
      <c r="X269"/>
    </row>
    <row r="270" spans="5:24" x14ac:dyDescent="0.3">
      <c r="E270" s="173"/>
      <c r="F270" s="173"/>
      <c r="I270"/>
      <c r="J270"/>
      <c r="K270"/>
      <c r="L270"/>
      <c r="M270"/>
      <c r="N270"/>
      <c r="O270"/>
      <c r="P270" s="225"/>
      <c r="Q270" s="225"/>
      <c r="R270"/>
      <c r="S270"/>
      <c r="T270"/>
      <c r="U270"/>
      <c r="V270"/>
      <c r="W270"/>
      <c r="X270"/>
    </row>
    <row r="271" spans="5:24" x14ac:dyDescent="0.3">
      <c r="E271" s="173"/>
      <c r="F271" s="173"/>
      <c r="I271"/>
      <c r="J271"/>
      <c r="K271"/>
      <c r="L271"/>
      <c r="M271"/>
      <c r="N271"/>
      <c r="O271"/>
      <c r="P271" s="225"/>
      <c r="Q271" s="225"/>
      <c r="R271"/>
      <c r="S271"/>
      <c r="T271"/>
      <c r="U271"/>
      <c r="V271"/>
      <c r="W271"/>
      <c r="X271"/>
    </row>
    <row r="272" spans="5:24" x14ac:dyDescent="0.3">
      <c r="E272" s="173"/>
      <c r="F272" s="173"/>
      <c r="I272"/>
      <c r="J272"/>
      <c r="K272"/>
      <c r="L272"/>
      <c r="M272"/>
      <c r="N272"/>
      <c r="O272"/>
      <c r="P272" s="225"/>
      <c r="Q272" s="225"/>
      <c r="R272"/>
      <c r="S272"/>
      <c r="T272"/>
      <c r="U272"/>
      <c r="V272"/>
      <c r="W272"/>
      <c r="X272"/>
    </row>
    <row r="273" spans="5:24" x14ac:dyDescent="0.3">
      <c r="E273" s="173"/>
      <c r="F273" s="173"/>
      <c r="I273"/>
      <c r="J273"/>
      <c r="K273"/>
      <c r="L273"/>
      <c r="M273"/>
      <c r="N273"/>
      <c r="O273"/>
      <c r="P273" s="225"/>
      <c r="Q273" s="225"/>
      <c r="R273"/>
      <c r="S273"/>
      <c r="T273"/>
      <c r="U273"/>
      <c r="V273"/>
      <c r="W273"/>
      <c r="X273"/>
    </row>
    <row r="274" spans="5:24" x14ac:dyDescent="0.3">
      <c r="E274" s="173"/>
      <c r="F274" s="173"/>
      <c r="I274"/>
      <c r="J274"/>
      <c r="K274"/>
      <c r="L274"/>
      <c r="M274"/>
      <c r="N274"/>
      <c r="O274"/>
      <c r="P274" s="225"/>
      <c r="Q274" s="225"/>
      <c r="R274"/>
      <c r="S274"/>
      <c r="T274"/>
      <c r="U274"/>
      <c r="V274"/>
      <c r="W274"/>
      <c r="X274"/>
    </row>
    <row r="275" spans="5:24" x14ac:dyDescent="0.3">
      <c r="E275" s="173"/>
      <c r="F275" s="173"/>
      <c r="I275"/>
      <c r="J275"/>
      <c r="K275"/>
      <c r="L275"/>
      <c r="M275"/>
      <c r="N275"/>
      <c r="O275"/>
      <c r="P275" s="225"/>
      <c r="Q275" s="225"/>
      <c r="R275"/>
      <c r="S275"/>
      <c r="T275"/>
      <c r="U275"/>
      <c r="V275"/>
      <c r="W275"/>
      <c r="X275"/>
    </row>
    <row r="276" spans="5:24" x14ac:dyDescent="0.3">
      <c r="E276" s="173"/>
      <c r="F276" s="173"/>
      <c r="I276"/>
      <c r="J276"/>
      <c r="K276"/>
      <c r="L276"/>
      <c r="M276"/>
      <c r="N276"/>
      <c r="O276"/>
      <c r="P276" s="225"/>
      <c r="Q276" s="225"/>
      <c r="R276"/>
      <c r="S276"/>
      <c r="T276"/>
      <c r="U276"/>
      <c r="V276"/>
      <c r="W276"/>
      <c r="X276"/>
    </row>
    <row r="277" spans="5:24" x14ac:dyDescent="0.3">
      <c r="E277" s="173"/>
      <c r="F277" s="173"/>
      <c r="I277"/>
      <c r="J277"/>
      <c r="K277"/>
      <c r="L277"/>
      <c r="M277"/>
      <c r="N277"/>
      <c r="O277"/>
      <c r="P277" s="225"/>
      <c r="Q277" s="225"/>
      <c r="R277"/>
      <c r="S277"/>
      <c r="T277"/>
      <c r="U277"/>
      <c r="V277"/>
      <c r="W277"/>
      <c r="X277"/>
    </row>
    <row r="278" spans="5:24" x14ac:dyDescent="0.3">
      <c r="E278" s="173"/>
      <c r="F278" s="173"/>
      <c r="I278"/>
      <c r="J278"/>
      <c r="K278"/>
      <c r="L278"/>
      <c r="M278"/>
      <c r="N278"/>
      <c r="O278"/>
      <c r="P278" s="225"/>
      <c r="Q278" s="225"/>
      <c r="R278"/>
      <c r="S278"/>
      <c r="T278"/>
      <c r="U278"/>
      <c r="V278"/>
      <c r="W278"/>
      <c r="X278"/>
    </row>
    <row r="279" spans="5:24" x14ac:dyDescent="0.3">
      <c r="E279" s="173"/>
      <c r="F279" s="173"/>
      <c r="I279"/>
      <c r="J279"/>
      <c r="K279"/>
      <c r="L279"/>
      <c r="M279"/>
      <c r="N279"/>
      <c r="O279"/>
      <c r="P279" s="225"/>
      <c r="Q279" s="225"/>
      <c r="R279"/>
      <c r="S279"/>
      <c r="T279"/>
      <c r="U279"/>
      <c r="V279"/>
      <c r="W279"/>
      <c r="X279"/>
    </row>
    <row r="280" spans="5:24" x14ac:dyDescent="0.3">
      <c r="E280" s="173"/>
      <c r="F280" s="173"/>
      <c r="I280"/>
      <c r="J280"/>
      <c r="K280"/>
      <c r="L280"/>
      <c r="M280"/>
      <c r="N280"/>
      <c r="O280"/>
      <c r="P280" s="225"/>
      <c r="Q280" s="225"/>
      <c r="R280"/>
      <c r="S280"/>
      <c r="T280"/>
      <c r="U280"/>
      <c r="V280"/>
      <c r="W280"/>
      <c r="X280"/>
    </row>
    <row r="281" spans="5:24" x14ac:dyDescent="0.3">
      <c r="E281" s="173"/>
      <c r="F281" s="173"/>
      <c r="I281"/>
      <c r="J281"/>
      <c r="K281"/>
      <c r="L281"/>
      <c r="M281"/>
      <c r="N281"/>
      <c r="O281"/>
      <c r="P281" s="225"/>
      <c r="Q281" s="225"/>
      <c r="R281"/>
      <c r="S281"/>
      <c r="T281"/>
      <c r="U281"/>
      <c r="V281"/>
      <c r="W281"/>
      <c r="X281"/>
    </row>
    <row r="282" spans="5:24" x14ac:dyDescent="0.3">
      <c r="E282" s="173"/>
      <c r="F282" s="173"/>
      <c r="I282"/>
      <c r="J282"/>
      <c r="K282"/>
      <c r="L282"/>
      <c r="M282"/>
      <c r="N282"/>
      <c r="O282"/>
      <c r="P282" s="225"/>
      <c r="Q282" s="225"/>
      <c r="R282"/>
      <c r="S282"/>
      <c r="T282"/>
      <c r="U282"/>
      <c r="V282"/>
      <c r="W282"/>
      <c r="X282"/>
    </row>
    <row r="283" spans="5:24" x14ac:dyDescent="0.3">
      <c r="E283" s="173"/>
      <c r="F283" s="173"/>
      <c r="I283"/>
      <c r="J283"/>
      <c r="K283"/>
      <c r="L283"/>
      <c r="M283"/>
      <c r="N283"/>
      <c r="O283"/>
      <c r="P283" s="225"/>
      <c r="Q283" s="225"/>
      <c r="R283"/>
      <c r="S283"/>
      <c r="T283"/>
      <c r="U283"/>
      <c r="V283"/>
      <c r="W283"/>
      <c r="X283"/>
    </row>
    <row r="284" spans="5:24" x14ac:dyDescent="0.3">
      <c r="E284" s="173"/>
      <c r="F284" s="173"/>
      <c r="I284"/>
      <c r="J284"/>
      <c r="K284"/>
      <c r="L284"/>
      <c r="M284"/>
      <c r="N284"/>
      <c r="O284"/>
      <c r="P284" s="225"/>
      <c r="Q284" s="225"/>
      <c r="R284"/>
      <c r="S284"/>
      <c r="T284"/>
      <c r="U284"/>
      <c r="V284"/>
      <c r="W284"/>
      <c r="X284"/>
    </row>
    <row r="285" spans="5:24" x14ac:dyDescent="0.3">
      <c r="E285" s="173"/>
      <c r="F285" s="173"/>
      <c r="I285"/>
      <c r="J285"/>
      <c r="K285"/>
      <c r="L285"/>
      <c r="M285"/>
      <c r="N285"/>
      <c r="O285"/>
      <c r="P285" s="225"/>
      <c r="Q285" s="225"/>
      <c r="R285"/>
      <c r="S285"/>
      <c r="T285"/>
      <c r="U285"/>
      <c r="V285"/>
      <c r="W285"/>
      <c r="X285"/>
    </row>
    <row r="286" spans="5:24" x14ac:dyDescent="0.3">
      <c r="E286" s="173"/>
      <c r="F286" s="173"/>
      <c r="I286"/>
      <c r="J286"/>
      <c r="K286"/>
      <c r="L286"/>
      <c r="M286"/>
      <c r="N286"/>
      <c r="O286"/>
      <c r="P286" s="225"/>
      <c r="Q286" s="225"/>
      <c r="R286"/>
      <c r="S286"/>
      <c r="T286"/>
      <c r="U286"/>
      <c r="V286"/>
      <c r="W286"/>
      <c r="X286"/>
    </row>
    <row r="287" spans="5:24" x14ac:dyDescent="0.3">
      <c r="E287" s="173"/>
      <c r="F287" s="173"/>
      <c r="I287"/>
      <c r="J287"/>
      <c r="K287"/>
      <c r="L287"/>
      <c r="M287"/>
      <c r="N287"/>
      <c r="O287"/>
      <c r="P287" s="225"/>
      <c r="Q287" s="225"/>
      <c r="R287"/>
      <c r="S287"/>
      <c r="T287"/>
      <c r="U287"/>
      <c r="V287"/>
      <c r="W287"/>
      <c r="X287"/>
    </row>
    <row r="288" spans="5:24" x14ac:dyDescent="0.3">
      <c r="E288" s="173"/>
      <c r="F288" s="173"/>
      <c r="I288"/>
      <c r="J288"/>
      <c r="K288"/>
      <c r="L288"/>
      <c r="M288"/>
      <c r="N288"/>
      <c r="O288"/>
      <c r="P288" s="225"/>
      <c r="Q288" s="225"/>
      <c r="R288"/>
      <c r="S288"/>
      <c r="T288"/>
      <c r="U288"/>
      <c r="V288"/>
      <c r="W288"/>
      <c r="X288"/>
    </row>
    <row r="289" spans="5:24" x14ac:dyDescent="0.3">
      <c r="E289" s="173"/>
      <c r="F289" s="173"/>
      <c r="I289"/>
      <c r="J289"/>
      <c r="K289"/>
      <c r="L289"/>
      <c r="M289"/>
      <c r="N289"/>
      <c r="O289"/>
      <c r="P289" s="225"/>
      <c r="Q289" s="225"/>
      <c r="R289"/>
      <c r="S289"/>
      <c r="T289"/>
      <c r="U289"/>
      <c r="V289"/>
      <c r="W289"/>
      <c r="X289"/>
    </row>
    <row r="290" spans="5:24" x14ac:dyDescent="0.3">
      <c r="E290" s="173"/>
      <c r="F290" s="173"/>
      <c r="I290"/>
      <c r="J290"/>
      <c r="K290"/>
      <c r="L290"/>
      <c r="M290"/>
      <c r="N290"/>
      <c r="O290"/>
      <c r="P290" s="225"/>
      <c r="Q290" s="225"/>
      <c r="R290"/>
      <c r="S290"/>
      <c r="T290"/>
      <c r="U290"/>
      <c r="V290"/>
      <c r="W290"/>
      <c r="X290"/>
    </row>
    <row r="291" spans="5:24" x14ac:dyDescent="0.3">
      <c r="E291" s="173"/>
      <c r="F291" s="173"/>
      <c r="I291"/>
      <c r="J291"/>
      <c r="K291"/>
      <c r="L291"/>
      <c r="M291"/>
      <c r="N291"/>
      <c r="O291"/>
      <c r="P291" s="225"/>
      <c r="Q291" s="225"/>
      <c r="R291"/>
      <c r="S291"/>
      <c r="T291"/>
      <c r="U291"/>
      <c r="V291"/>
      <c r="W291"/>
      <c r="X291"/>
    </row>
    <row r="292" spans="5:24" x14ac:dyDescent="0.3">
      <c r="E292" s="173"/>
      <c r="F292" s="173"/>
      <c r="I292"/>
      <c r="J292"/>
      <c r="K292"/>
      <c r="L292"/>
      <c r="M292"/>
      <c r="N292"/>
      <c r="O292"/>
      <c r="P292" s="225"/>
      <c r="Q292" s="225"/>
      <c r="R292"/>
      <c r="S292"/>
      <c r="T292"/>
      <c r="U292"/>
      <c r="V292"/>
      <c r="W292"/>
      <c r="X292"/>
    </row>
    <row r="293" spans="5:24" x14ac:dyDescent="0.3">
      <c r="E293" s="173"/>
      <c r="F293" s="173"/>
      <c r="I293"/>
      <c r="J293"/>
      <c r="K293"/>
      <c r="L293"/>
      <c r="M293"/>
      <c r="N293"/>
      <c r="O293"/>
      <c r="P293" s="225"/>
      <c r="Q293" s="225"/>
      <c r="R293"/>
      <c r="S293"/>
      <c r="T293"/>
      <c r="U293"/>
      <c r="V293"/>
      <c r="W293"/>
      <c r="X293"/>
    </row>
    <row r="294" spans="5:24" x14ac:dyDescent="0.3">
      <c r="E294" s="173"/>
      <c r="F294" s="173"/>
      <c r="I294"/>
      <c r="J294"/>
      <c r="K294"/>
      <c r="L294"/>
      <c r="M294"/>
      <c r="N294"/>
      <c r="O294"/>
      <c r="P294" s="225"/>
      <c r="Q294" s="225"/>
      <c r="R294"/>
      <c r="S294"/>
      <c r="T294"/>
      <c r="U294"/>
      <c r="V294"/>
      <c r="W294"/>
      <c r="X294"/>
    </row>
    <row r="295" spans="5:24" x14ac:dyDescent="0.3">
      <c r="E295" s="173"/>
      <c r="F295" s="173"/>
      <c r="I295"/>
      <c r="J295"/>
      <c r="K295"/>
      <c r="L295"/>
      <c r="M295"/>
      <c r="N295"/>
      <c r="O295"/>
      <c r="P295" s="225"/>
      <c r="Q295" s="225"/>
      <c r="R295"/>
      <c r="S295"/>
      <c r="T295"/>
      <c r="U295"/>
      <c r="V295"/>
      <c r="W295"/>
      <c r="X295"/>
    </row>
    <row r="296" spans="5:24" x14ac:dyDescent="0.3">
      <c r="E296" s="173"/>
      <c r="F296" s="173"/>
      <c r="I296"/>
      <c r="J296"/>
      <c r="K296"/>
      <c r="L296"/>
      <c r="M296"/>
      <c r="N296"/>
      <c r="O296"/>
      <c r="P296" s="225"/>
      <c r="Q296" s="225"/>
      <c r="R296"/>
      <c r="S296"/>
      <c r="T296"/>
      <c r="U296"/>
      <c r="V296"/>
      <c r="W296"/>
      <c r="X296"/>
    </row>
    <row r="297" spans="5:24" x14ac:dyDescent="0.3">
      <c r="E297" s="173"/>
      <c r="F297" s="173"/>
      <c r="I297"/>
      <c r="J297"/>
      <c r="K297"/>
      <c r="L297"/>
      <c r="M297"/>
      <c r="N297"/>
      <c r="O297"/>
      <c r="P297" s="225"/>
      <c r="Q297" s="225"/>
      <c r="R297"/>
      <c r="S297"/>
      <c r="T297"/>
      <c r="U297"/>
      <c r="V297"/>
      <c r="W297"/>
      <c r="X297"/>
    </row>
    <row r="298" spans="5:24" x14ac:dyDescent="0.3">
      <c r="E298" s="173"/>
      <c r="F298" s="173"/>
      <c r="I298"/>
      <c r="J298"/>
      <c r="K298"/>
      <c r="L298"/>
      <c r="M298"/>
      <c r="N298"/>
      <c r="O298"/>
      <c r="P298" s="225"/>
      <c r="Q298" s="225"/>
      <c r="R298"/>
      <c r="S298"/>
      <c r="T298"/>
      <c r="U298"/>
      <c r="V298"/>
      <c r="W298"/>
      <c r="X298"/>
    </row>
    <row r="299" spans="5:24" x14ac:dyDescent="0.3">
      <c r="E299" s="173"/>
      <c r="F299" s="173"/>
      <c r="I299"/>
      <c r="J299"/>
      <c r="K299"/>
      <c r="L299"/>
      <c r="M299"/>
      <c r="N299"/>
      <c r="O299"/>
      <c r="P299" s="225"/>
      <c r="Q299" s="225"/>
      <c r="R299"/>
      <c r="S299"/>
      <c r="T299"/>
      <c r="U299"/>
      <c r="V299"/>
      <c r="W299"/>
      <c r="X299"/>
    </row>
    <row r="300" spans="5:24" x14ac:dyDescent="0.3">
      <c r="E300" s="173"/>
      <c r="F300" s="173"/>
      <c r="I300"/>
      <c r="J300"/>
      <c r="K300"/>
      <c r="L300"/>
      <c r="M300"/>
      <c r="N300"/>
      <c r="O300"/>
      <c r="P300" s="225"/>
      <c r="Q300" s="225"/>
      <c r="R300"/>
      <c r="S300"/>
      <c r="T300"/>
      <c r="U300"/>
      <c r="V300"/>
      <c r="W300"/>
      <c r="X300"/>
    </row>
    <row r="301" spans="5:24" x14ac:dyDescent="0.3">
      <c r="E301" s="173"/>
      <c r="F301" s="173"/>
      <c r="I301"/>
      <c r="J301"/>
      <c r="K301"/>
      <c r="L301"/>
      <c r="M301"/>
      <c r="N301"/>
      <c r="O301"/>
      <c r="P301" s="225"/>
      <c r="Q301" s="225"/>
      <c r="R301"/>
      <c r="S301"/>
      <c r="T301"/>
      <c r="U301"/>
      <c r="V301"/>
      <c r="W301"/>
      <c r="X301"/>
    </row>
    <row r="302" spans="5:24" x14ac:dyDescent="0.3">
      <c r="E302" s="173"/>
      <c r="F302" s="173"/>
      <c r="I302"/>
      <c r="J302"/>
      <c r="K302"/>
      <c r="L302"/>
      <c r="M302"/>
      <c r="N302"/>
      <c r="O302"/>
      <c r="P302" s="225"/>
      <c r="Q302" s="225"/>
      <c r="R302"/>
      <c r="S302"/>
      <c r="T302"/>
      <c r="U302"/>
      <c r="V302"/>
      <c r="W302"/>
      <c r="X302"/>
    </row>
    <row r="303" spans="5:24" x14ac:dyDescent="0.3">
      <c r="E303" s="173"/>
      <c r="F303" s="173"/>
      <c r="I303"/>
      <c r="J303"/>
      <c r="K303"/>
      <c r="L303"/>
      <c r="M303"/>
      <c r="N303"/>
      <c r="O303"/>
      <c r="P303" s="225"/>
      <c r="Q303" s="225"/>
      <c r="R303"/>
      <c r="S303"/>
      <c r="T303"/>
      <c r="U303"/>
      <c r="V303"/>
      <c r="W303"/>
      <c r="X303"/>
    </row>
    <row r="304" spans="5:24" x14ac:dyDescent="0.3">
      <c r="E304" s="173"/>
      <c r="F304" s="173"/>
      <c r="I304"/>
      <c r="J304"/>
      <c r="K304"/>
      <c r="L304"/>
      <c r="M304"/>
      <c r="N304"/>
      <c r="O304"/>
      <c r="P304" s="225"/>
      <c r="Q304" s="225"/>
      <c r="R304"/>
      <c r="S304"/>
      <c r="T304"/>
      <c r="U304"/>
      <c r="V304"/>
      <c r="W304"/>
      <c r="X304"/>
    </row>
    <row r="305" spans="5:24" x14ac:dyDescent="0.3">
      <c r="E305" s="173"/>
      <c r="F305" s="173"/>
      <c r="I305"/>
      <c r="J305"/>
      <c r="K305"/>
      <c r="L305"/>
      <c r="M305"/>
      <c r="N305"/>
      <c r="O305"/>
      <c r="P305" s="225"/>
      <c r="Q305" s="225"/>
      <c r="R305"/>
      <c r="S305"/>
      <c r="T305"/>
      <c r="U305"/>
      <c r="V305"/>
      <c r="W305"/>
      <c r="X305"/>
    </row>
    <row r="306" spans="5:24" x14ac:dyDescent="0.3">
      <c r="E306" s="173"/>
      <c r="F306" s="173"/>
      <c r="I306"/>
      <c r="J306"/>
      <c r="K306"/>
      <c r="L306"/>
      <c r="M306"/>
      <c r="N306"/>
      <c r="O306"/>
      <c r="P306" s="225"/>
      <c r="Q306" s="225"/>
      <c r="R306"/>
      <c r="S306"/>
      <c r="T306"/>
      <c r="U306"/>
      <c r="V306"/>
      <c r="W306"/>
      <c r="X306"/>
    </row>
    <row r="307" spans="5:24" x14ac:dyDescent="0.3">
      <c r="E307" s="173"/>
      <c r="F307" s="173"/>
      <c r="I307"/>
      <c r="J307"/>
      <c r="K307"/>
      <c r="L307"/>
      <c r="M307"/>
      <c r="N307"/>
      <c r="O307"/>
      <c r="P307" s="225"/>
      <c r="Q307" s="225"/>
      <c r="R307"/>
      <c r="S307"/>
      <c r="T307"/>
      <c r="U307"/>
      <c r="V307"/>
      <c r="W307"/>
      <c r="X307"/>
    </row>
    <row r="308" spans="5:24" x14ac:dyDescent="0.3">
      <c r="E308" s="173"/>
      <c r="F308" s="173"/>
      <c r="I308"/>
      <c r="J308"/>
      <c r="K308"/>
      <c r="L308"/>
      <c r="M308"/>
      <c r="N308"/>
      <c r="O308"/>
      <c r="P308" s="225"/>
      <c r="Q308" s="225"/>
      <c r="R308"/>
      <c r="S308"/>
      <c r="T308"/>
      <c r="U308"/>
      <c r="V308"/>
      <c r="W308"/>
      <c r="X308"/>
    </row>
    <row r="309" spans="5:24" x14ac:dyDescent="0.3">
      <c r="E309" s="173"/>
      <c r="F309" s="173"/>
      <c r="I309"/>
      <c r="J309"/>
      <c r="K309"/>
      <c r="L309"/>
      <c r="M309"/>
      <c r="N309"/>
      <c r="O309"/>
      <c r="P309" s="225"/>
      <c r="Q309" s="225"/>
      <c r="R309"/>
      <c r="S309"/>
      <c r="T309"/>
      <c r="U309"/>
      <c r="V309"/>
      <c r="W309"/>
      <c r="X309"/>
    </row>
    <row r="310" spans="5:24" x14ac:dyDescent="0.3">
      <c r="E310" s="173"/>
      <c r="F310" s="173"/>
      <c r="I310"/>
      <c r="J310"/>
      <c r="K310"/>
      <c r="L310"/>
      <c r="M310"/>
      <c r="N310"/>
      <c r="O310"/>
      <c r="P310" s="225"/>
      <c r="Q310" s="225"/>
      <c r="R310"/>
      <c r="S310"/>
      <c r="T310"/>
      <c r="U310"/>
      <c r="V310"/>
      <c r="W310"/>
      <c r="X310"/>
    </row>
    <row r="311" spans="5:24" x14ac:dyDescent="0.3">
      <c r="E311" s="173"/>
      <c r="F311" s="173"/>
      <c r="I311"/>
      <c r="J311"/>
      <c r="K311"/>
      <c r="L311"/>
      <c r="M311"/>
      <c r="N311"/>
      <c r="O311"/>
      <c r="P311" s="225"/>
      <c r="Q311" s="225"/>
      <c r="R311"/>
      <c r="S311"/>
      <c r="T311"/>
      <c r="U311"/>
      <c r="V311"/>
      <c r="W311"/>
      <c r="X311"/>
    </row>
    <row r="312" spans="5:24" x14ac:dyDescent="0.3">
      <c r="E312" s="173"/>
      <c r="F312" s="173"/>
      <c r="I312"/>
      <c r="J312"/>
      <c r="K312"/>
      <c r="L312"/>
      <c r="M312"/>
      <c r="N312"/>
      <c r="O312"/>
      <c r="P312" s="225"/>
      <c r="Q312" s="225"/>
      <c r="R312"/>
      <c r="S312"/>
      <c r="T312"/>
      <c r="U312"/>
      <c r="V312"/>
      <c r="W312"/>
      <c r="X312"/>
    </row>
    <row r="313" spans="5:24" x14ac:dyDescent="0.3">
      <c r="E313" s="173"/>
      <c r="F313" s="173"/>
      <c r="I313"/>
      <c r="J313"/>
      <c r="K313"/>
      <c r="L313"/>
      <c r="M313"/>
      <c r="N313"/>
      <c r="O313"/>
      <c r="P313" s="225"/>
      <c r="Q313" s="225"/>
      <c r="R313"/>
      <c r="S313"/>
      <c r="T313"/>
      <c r="U313"/>
      <c r="V313"/>
      <c r="W313"/>
      <c r="X313"/>
    </row>
    <row r="314" spans="5:24" x14ac:dyDescent="0.3">
      <c r="E314" s="173"/>
      <c r="F314" s="173"/>
      <c r="I314"/>
      <c r="J314"/>
      <c r="K314"/>
      <c r="L314"/>
      <c r="M314"/>
      <c r="N314"/>
      <c r="O314"/>
      <c r="P314" s="225"/>
      <c r="Q314" s="225"/>
      <c r="R314"/>
      <c r="S314"/>
      <c r="T314"/>
      <c r="U314"/>
      <c r="V314"/>
      <c r="W314"/>
      <c r="X314"/>
    </row>
    <row r="315" spans="5:24" x14ac:dyDescent="0.3">
      <c r="E315" s="173"/>
      <c r="F315" s="173"/>
      <c r="I315"/>
      <c r="J315"/>
      <c r="K315"/>
      <c r="L315"/>
      <c r="M315"/>
      <c r="N315"/>
      <c r="O315"/>
      <c r="P315" s="225"/>
      <c r="Q315" s="225"/>
      <c r="R315"/>
      <c r="S315"/>
      <c r="T315"/>
      <c r="U315"/>
      <c r="V315"/>
      <c r="W315"/>
      <c r="X315"/>
    </row>
    <row r="316" spans="5:24" x14ac:dyDescent="0.3">
      <c r="E316" s="173"/>
      <c r="F316" s="173"/>
      <c r="I316"/>
      <c r="J316"/>
      <c r="K316"/>
      <c r="L316"/>
      <c r="M316"/>
      <c r="N316"/>
      <c r="O316"/>
      <c r="P316" s="225"/>
      <c r="Q316" s="225"/>
      <c r="R316"/>
      <c r="S316"/>
      <c r="T316"/>
      <c r="U316"/>
      <c r="V316"/>
      <c r="W316"/>
      <c r="X316"/>
    </row>
    <row r="317" spans="5:24" x14ac:dyDescent="0.3">
      <c r="E317" s="173"/>
      <c r="F317" s="173"/>
      <c r="I317"/>
      <c r="J317"/>
      <c r="K317"/>
      <c r="L317"/>
      <c r="M317"/>
      <c r="N317"/>
      <c r="O317"/>
      <c r="P317" s="225"/>
      <c r="Q317" s="225"/>
      <c r="R317"/>
      <c r="S317"/>
      <c r="T317"/>
      <c r="U317"/>
      <c r="V317"/>
      <c r="W317"/>
      <c r="X317"/>
    </row>
    <row r="318" spans="5:24" x14ac:dyDescent="0.3">
      <c r="E318" s="173"/>
      <c r="F318" s="173"/>
      <c r="I318"/>
      <c r="J318"/>
      <c r="K318"/>
      <c r="L318"/>
      <c r="M318"/>
      <c r="N318"/>
      <c r="O318"/>
      <c r="P318" s="225"/>
      <c r="Q318" s="225"/>
      <c r="R318"/>
      <c r="S318"/>
      <c r="T318"/>
      <c r="U318"/>
      <c r="V318"/>
      <c r="W318"/>
      <c r="X318"/>
    </row>
    <row r="319" spans="5:24" x14ac:dyDescent="0.3">
      <c r="E319" s="173"/>
      <c r="F319" s="173"/>
      <c r="I319"/>
      <c r="J319"/>
      <c r="K319"/>
      <c r="L319"/>
      <c r="M319"/>
      <c r="N319"/>
      <c r="O319"/>
      <c r="P319" s="225"/>
      <c r="Q319" s="225"/>
      <c r="R319"/>
      <c r="S319"/>
      <c r="T319"/>
      <c r="U319"/>
      <c r="V319"/>
      <c r="W319"/>
      <c r="X319"/>
    </row>
    <row r="320" spans="5:24" x14ac:dyDescent="0.3">
      <c r="E320" s="173"/>
      <c r="F320" s="173"/>
      <c r="I320"/>
      <c r="J320"/>
      <c r="K320"/>
      <c r="L320"/>
      <c r="M320"/>
      <c r="N320"/>
      <c r="O320"/>
      <c r="P320" s="225"/>
      <c r="Q320" s="225"/>
      <c r="R320"/>
      <c r="S320"/>
      <c r="T320"/>
      <c r="U320"/>
      <c r="V320"/>
      <c r="W320"/>
      <c r="X320"/>
    </row>
    <row r="321" spans="5:24" x14ac:dyDescent="0.3">
      <c r="E321" s="173"/>
      <c r="F321" s="173"/>
      <c r="I321"/>
      <c r="J321"/>
      <c r="K321"/>
      <c r="L321"/>
      <c r="M321"/>
      <c r="N321"/>
      <c r="O321"/>
      <c r="P321" s="225"/>
      <c r="Q321" s="225"/>
      <c r="R321"/>
      <c r="S321"/>
      <c r="T321"/>
      <c r="U321"/>
      <c r="V321"/>
      <c r="W321"/>
      <c r="X321"/>
    </row>
    <row r="322" spans="5:24" x14ac:dyDescent="0.3">
      <c r="E322" s="173"/>
      <c r="F322" s="173"/>
      <c r="I322"/>
      <c r="J322"/>
      <c r="K322"/>
      <c r="L322"/>
      <c r="M322"/>
      <c r="N322"/>
      <c r="O322"/>
      <c r="P322" s="225"/>
      <c r="Q322" s="225"/>
      <c r="R322"/>
      <c r="S322"/>
      <c r="T322"/>
      <c r="U322"/>
      <c r="V322"/>
      <c r="W322"/>
      <c r="X322"/>
    </row>
    <row r="323" spans="5:24" x14ac:dyDescent="0.3">
      <c r="E323" s="173"/>
      <c r="F323" s="173"/>
      <c r="I323"/>
      <c r="J323"/>
      <c r="K323"/>
      <c r="L323"/>
      <c r="M323"/>
      <c r="N323"/>
      <c r="O323"/>
      <c r="P323" s="225"/>
      <c r="Q323" s="225"/>
      <c r="R323"/>
      <c r="S323"/>
      <c r="T323"/>
      <c r="U323"/>
      <c r="V323"/>
      <c r="W323"/>
      <c r="X323"/>
    </row>
    <row r="324" spans="5:24" x14ac:dyDescent="0.3">
      <c r="E324" s="173"/>
      <c r="F324" s="173"/>
      <c r="I324"/>
      <c r="J324"/>
      <c r="K324"/>
      <c r="L324"/>
      <c r="M324"/>
      <c r="N324"/>
      <c r="O324"/>
      <c r="P324" s="225"/>
      <c r="Q324" s="225"/>
      <c r="R324"/>
      <c r="S324"/>
      <c r="T324"/>
      <c r="U324"/>
      <c r="V324"/>
      <c r="W324"/>
      <c r="X324"/>
    </row>
    <row r="325" spans="5:24" x14ac:dyDescent="0.3">
      <c r="E325" s="173"/>
      <c r="F325" s="173"/>
      <c r="I325"/>
      <c r="J325"/>
      <c r="K325"/>
      <c r="L325"/>
      <c r="M325"/>
      <c r="N325"/>
      <c r="O325"/>
      <c r="P325" s="225"/>
      <c r="Q325" s="225"/>
      <c r="R325"/>
      <c r="S325"/>
      <c r="T325"/>
      <c r="U325"/>
      <c r="V325"/>
      <c r="W325"/>
      <c r="X325"/>
    </row>
    <row r="326" spans="5:24" x14ac:dyDescent="0.3">
      <c r="E326" s="173"/>
      <c r="F326" s="173"/>
      <c r="I326"/>
      <c r="J326"/>
      <c r="K326"/>
      <c r="L326"/>
      <c r="M326"/>
      <c r="N326"/>
      <c r="O326"/>
      <c r="P326" s="225"/>
      <c r="Q326" s="225"/>
      <c r="R326"/>
      <c r="S326"/>
      <c r="T326"/>
      <c r="U326"/>
      <c r="V326"/>
      <c r="W326"/>
      <c r="X326"/>
    </row>
    <row r="327" spans="5:24" x14ac:dyDescent="0.3">
      <c r="E327" s="173"/>
      <c r="F327" s="173"/>
      <c r="I327"/>
      <c r="J327"/>
      <c r="K327"/>
      <c r="L327"/>
      <c r="M327"/>
      <c r="N327"/>
      <c r="O327"/>
      <c r="P327" s="225"/>
      <c r="Q327" s="225"/>
      <c r="R327"/>
      <c r="S327"/>
      <c r="T327"/>
      <c r="U327"/>
      <c r="V327"/>
      <c r="W327"/>
      <c r="X327"/>
    </row>
    <row r="328" spans="5:24" x14ac:dyDescent="0.3">
      <c r="E328" s="173"/>
      <c r="F328" s="173"/>
      <c r="I328"/>
      <c r="J328"/>
      <c r="K328"/>
      <c r="L328"/>
      <c r="M328"/>
      <c r="N328"/>
      <c r="O328"/>
      <c r="P328" s="225"/>
      <c r="Q328" s="225"/>
      <c r="R328"/>
      <c r="S328"/>
      <c r="T328"/>
      <c r="U328"/>
      <c r="V328"/>
      <c r="W328"/>
      <c r="X328"/>
    </row>
    <row r="329" spans="5:24" x14ac:dyDescent="0.3">
      <c r="E329" s="173"/>
      <c r="F329" s="173"/>
      <c r="I329"/>
      <c r="J329"/>
      <c r="K329"/>
      <c r="L329"/>
      <c r="M329"/>
      <c r="N329"/>
      <c r="O329"/>
      <c r="P329" s="225"/>
      <c r="Q329" s="225"/>
      <c r="R329"/>
      <c r="S329"/>
      <c r="T329"/>
      <c r="U329"/>
      <c r="V329"/>
      <c r="W329"/>
      <c r="X329"/>
    </row>
    <row r="330" spans="5:24" x14ac:dyDescent="0.3">
      <c r="E330" s="173"/>
      <c r="F330" s="173"/>
      <c r="I330"/>
      <c r="J330"/>
      <c r="K330"/>
      <c r="L330"/>
      <c r="M330"/>
      <c r="N330"/>
      <c r="O330"/>
      <c r="P330" s="225"/>
      <c r="Q330" s="225"/>
      <c r="R330"/>
      <c r="S330"/>
      <c r="T330"/>
      <c r="U330"/>
      <c r="V330"/>
      <c r="W330"/>
      <c r="X330"/>
    </row>
    <row r="331" spans="5:24" x14ac:dyDescent="0.3">
      <c r="E331" s="173"/>
      <c r="F331" s="173"/>
      <c r="I331"/>
      <c r="J331"/>
      <c r="K331"/>
      <c r="L331"/>
      <c r="M331"/>
      <c r="N331"/>
      <c r="O331"/>
      <c r="P331" s="225"/>
      <c r="Q331" s="225"/>
      <c r="R331"/>
      <c r="S331"/>
      <c r="T331"/>
      <c r="U331"/>
      <c r="V331"/>
      <c r="W331"/>
      <c r="X331"/>
    </row>
    <row r="332" spans="5:24" x14ac:dyDescent="0.3">
      <c r="E332" s="173"/>
      <c r="F332" s="173"/>
      <c r="I332"/>
      <c r="J332"/>
      <c r="K332"/>
      <c r="L332"/>
      <c r="M332"/>
      <c r="N332"/>
      <c r="O332"/>
      <c r="P332" s="225"/>
      <c r="Q332" s="225"/>
      <c r="R332"/>
      <c r="S332"/>
      <c r="T332"/>
      <c r="U332"/>
      <c r="V332"/>
      <c r="W332"/>
      <c r="X332"/>
    </row>
    <row r="333" spans="5:24" x14ac:dyDescent="0.3">
      <c r="E333" s="173"/>
      <c r="F333" s="173"/>
      <c r="I333"/>
      <c r="J333"/>
      <c r="K333"/>
      <c r="L333"/>
      <c r="M333"/>
      <c r="N333"/>
      <c r="O333"/>
      <c r="P333" s="225"/>
      <c r="Q333" s="225"/>
      <c r="R333"/>
      <c r="S333"/>
      <c r="T333"/>
      <c r="U333"/>
      <c r="V333"/>
      <c r="W333"/>
      <c r="X333"/>
    </row>
    <row r="334" spans="5:24" x14ac:dyDescent="0.3">
      <c r="E334" s="173"/>
      <c r="F334" s="173"/>
      <c r="I334"/>
      <c r="J334"/>
      <c r="K334"/>
      <c r="L334"/>
      <c r="M334"/>
      <c r="N334"/>
      <c r="O334"/>
      <c r="P334" s="225"/>
      <c r="Q334" s="225"/>
      <c r="R334"/>
      <c r="S334"/>
      <c r="T334"/>
      <c r="U334"/>
      <c r="V334"/>
      <c r="W334"/>
      <c r="X334"/>
    </row>
    <row r="335" spans="5:24" x14ac:dyDescent="0.3">
      <c r="E335" s="173"/>
      <c r="F335" s="173"/>
      <c r="I335"/>
      <c r="J335"/>
      <c r="K335"/>
      <c r="L335"/>
      <c r="M335"/>
      <c r="N335"/>
      <c r="O335"/>
      <c r="P335" s="225"/>
      <c r="Q335" s="225"/>
      <c r="R335"/>
      <c r="S335"/>
      <c r="T335"/>
      <c r="U335"/>
      <c r="V335"/>
      <c r="W335"/>
      <c r="X335"/>
    </row>
    <row r="336" spans="5:24" x14ac:dyDescent="0.3">
      <c r="E336" s="173"/>
      <c r="F336" s="173"/>
      <c r="I336"/>
      <c r="J336"/>
      <c r="K336"/>
      <c r="L336"/>
      <c r="M336"/>
      <c r="N336"/>
      <c r="O336"/>
      <c r="P336" s="225"/>
      <c r="Q336" s="225"/>
      <c r="R336"/>
      <c r="S336"/>
      <c r="T336"/>
      <c r="U336"/>
      <c r="V336"/>
      <c r="W336"/>
      <c r="X336"/>
    </row>
    <row r="337" spans="5:24" x14ac:dyDescent="0.3">
      <c r="E337" s="173"/>
      <c r="F337" s="173"/>
      <c r="I337"/>
      <c r="J337"/>
      <c r="K337"/>
      <c r="L337"/>
      <c r="M337"/>
      <c r="N337"/>
      <c r="O337"/>
      <c r="P337" s="225"/>
      <c r="Q337" s="225"/>
      <c r="R337"/>
      <c r="S337"/>
      <c r="T337"/>
      <c r="U337"/>
      <c r="V337"/>
      <c r="W337"/>
      <c r="X337"/>
    </row>
    <row r="338" spans="5:24" x14ac:dyDescent="0.3">
      <c r="E338" s="173"/>
      <c r="F338" s="173"/>
      <c r="I338"/>
      <c r="J338"/>
      <c r="K338"/>
      <c r="L338"/>
      <c r="M338"/>
      <c r="N338"/>
      <c r="O338"/>
      <c r="P338" s="225"/>
      <c r="Q338" s="225"/>
      <c r="R338"/>
      <c r="S338"/>
      <c r="T338"/>
      <c r="U338"/>
      <c r="V338"/>
      <c r="W338"/>
      <c r="X338"/>
    </row>
    <row r="339" spans="5:24" x14ac:dyDescent="0.3">
      <c r="E339" s="173"/>
      <c r="F339" s="173"/>
      <c r="I339"/>
      <c r="J339"/>
      <c r="K339"/>
      <c r="L339"/>
      <c r="M339"/>
      <c r="N339"/>
      <c r="O339"/>
      <c r="P339" s="225"/>
      <c r="Q339" s="225"/>
      <c r="R339"/>
      <c r="S339"/>
      <c r="T339"/>
      <c r="U339"/>
      <c r="V339"/>
      <c r="W339"/>
      <c r="X339"/>
    </row>
    <row r="340" spans="5:24" x14ac:dyDescent="0.3">
      <c r="E340" s="173"/>
      <c r="F340" s="173"/>
      <c r="I340"/>
      <c r="J340"/>
      <c r="K340"/>
      <c r="L340"/>
      <c r="M340"/>
      <c r="N340"/>
      <c r="O340"/>
      <c r="P340" s="225"/>
      <c r="Q340" s="225"/>
      <c r="R340"/>
      <c r="S340"/>
      <c r="T340"/>
      <c r="U340"/>
      <c r="V340"/>
      <c r="W340"/>
      <c r="X340"/>
    </row>
    <row r="341" spans="5:24" x14ac:dyDescent="0.3">
      <c r="E341" s="173"/>
      <c r="F341" s="173"/>
      <c r="I341"/>
      <c r="J341"/>
      <c r="K341"/>
      <c r="L341"/>
      <c r="M341"/>
      <c r="N341"/>
      <c r="O341"/>
      <c r="P341" s="225"/>
      <c r="Q341" s="225"/>
      <c r="R341"/>
      <c r="S341"/>
      <c r="T341"/>
      <c r="U341"/>
      <c r="V341"/>
      <c r="W341"/>
      <c r="X341"/>
    </row>
    <row r="342" spans="5:24" x14ac:dyDescent="0.3">
      <c r="E342" s="173"/>
      <c r="F342" s="173"/>
      <c r="I342"/>
      <c r="J342"/>
      <c r="K342"/>
      <c r="L342"/>
      <c r="M342"/>
      <c r="N342"/>
      <c r="O342"/>
      <c r="P342" s="225"/>
      <c r="Q342" s="225"/>
      <c r="R342"/>
      <c r="S342"/>
      <c r="T342"/>
      <c r="U342"/>
      <c r="V342"/>
      <c r="W342"/>
      <c r="X342"/>
    </row>
    <row r="343" spans="5:24" x14ac:dyDescent="0.3">
      <c r="E343" s="173"/>
      <c r="F343" s="173"/>
      <c r="I343"/>
      <c r="J343"/>
      <c r="K343"/>
      <c r="L343"/>
      <c r="M343"/>
      <c r="N343"/>
      <c r="O343"/>
      <c r="P343" s="225"/>
      <c r="Q343" s="225"/>
      <c r="R343"/>
      <c r="S343"/>
      <c r="T343"/>
      <c r="U343"/>
      <c r="V343"/>
      <c r="W343"/>
      <c r="X343"/>
    </row>
    <row r="344" spans="5:24" x14ac:dyDescent="0.3">
      <c r="E344" s="173"/>
      <c r="F344" s="173"/>
      <c r="I344"/>
      <c r="J344"/>
      <c r="K344"/>
      <c r="L344"/>
      <c r="M344"/>
      <c r="N344"/>
      <c r="O344"/>
      <c r="P344" s="225"/>
      <c r="Q344" s="225"/>
      <c r="R344"/>
      <c r="S344"/>
      <c r="T344"/>
      <c r="U344"/>
      <c r="V344"/>
      <c r="W344"/>
      <c r="X344"/>
    </row>
    <row r="345" spans="5:24" x14ac:dyDescent="0.3">
      <c r="E345" s="173"/>
      <c r="F345" s="173"/>
      <c r="I345"/>
      <c r="J345"/>
      <c r="K345"/>
      <c r="L345"/>
      <c r="M345"/>
      <c r="N345"/>
      <c r="O345"/>
      <c r="P345" s="225"/>
      <c r="Q345" s="225"/>
      <c r="R345"/>
      <c r="S345"/>
      <c r="T345"/>
      <c r="U345"/>
      <c r="V345"/>
      <c r="W345"/>
      <c r="X345"/>
    </row>
    <row r="346" spans="5:24" x14ac:dyDescent="0.3">
      <c r="E346" s="173"/>
      <c r="F346" s="173"/>
      <c r="I346"/>
      <c r="J346"/>
      <c r="K346"/>
      <c r="L346"/>
      <c r="M346"/>
      <c r="N346"/>
      <c r="O346"/>
      <c r="P346" s="225"/>
      <c r="Q346" s="225"/>
      <c r="R346"/>
      <c r="S346"/>
      <c r="T346"/>
      <c r="U346"/>
      <c r="V346"/>
      <c r="W346"/>
      <c r="X346"/>
    </row>
    <row r="347" spans="5:24" x14ac:dyDescent="0.3">
      <c r="E347" s="173"/>
      <c r="F347" s="173"/>
      <c r="I347"/>
      <c r="J347"/>
      <c r="K347"/>
      <c r="L347"/>
      <c r="M347"/>
      <c r="N347"/>
      <c r="O347"/>
      <c r="P347" s="225"/>
      <c r="Q347" s="225"/>
      <c r="R347"/>
      <c r="S347"/>
      <c r="T347"/>
      <c r="U347"/>
      <c r="V347"/>
      <c r="W347"/>
      <c r="X347"/>
    </row>
    <row r="348" spans="5:24" x14ac:dyDescent="0.3">
      <c r="E348" s="173"/>
      <c r="F348" s="173"/>
      <c r="I348"/>
      <c r="J348"/>
      <c r="K348"/>
      <c r="L348"/>
      <c r="M348"/>
      <c r="N348"/>
      <c r="O348"/>
      <c r="P348" s="225"/>
      <c r="Q348" s="225"/>
      <c r="R348"/>
      <c r="S348"/>
      <c r="T348"/>
      <c r="U348"/>
      <c r="V348"/>
      <c r="W348"/>
      <c r="X348"/>
    </row>
    <row r="349" spans="5:24" x14ac:dyDescent="0.3">
      <c r="E349" s="173"/>
      <c r="F349" s="173"/>
      <c r="I349"/>
      <c r="J349"/>
      <c r="K349"/>
      <c r="L349"/>
      <c r="M349"/>
      <c r="N349"/>
      <c r="O349"/>
      <c r="P349" s="225"/>
      <c r="Q349" s="225"/>
      <c r="R349"/>
      <c r="S349"/>
      <c r="T349"/>
      <c r="U349"/>
      <c r="V349"/>
      <c r="W349"/>
      <c r="X349"/>
    </row>
    <row r="350" spans="5:24" x14ac:dyDescent="0.3">
      <c r="E350" s="173"/>
      <c r="F350" s="173"/>
      <c r="I350"/>
      <c r="J350"/>
      <c r="K350"/>
      <c r="L350"/>
      <c r="M350"/>
      <c r="N350"/>
      <c r="O350"/>
      <c r="P350" s="225"/>
      <c r="Q350" s="225"/>
      <c r="R350"/>
      <c r="S350"/>
      <c r="T350"/>
      <c r="U350"/>
      <c r="V350"/>
      <c r="W350"/>
      <c r="X350"/>
    </row>
    <row r="351" spans="5:24" x14ac:dyDescent="0.3">
      <c r="E351" s="173"/>
      <c r="F351" s="173"/>
      <c r="I351"/>
      <c r="J351"/>
      <c r="K351"/>
      <c r="L351"/>
      <c r="M351"/>
      <c r="N351"/>
      <c r="O351"/>
      <c r="P351" s="225"/>
      <c r="Q351" s="225"/>
      <c r="R351"/>
      <c r="S351"/>
      <c r="T351"/>
      <c r="U351"/>
      <c r="V351"/>
      <c r="W351"/>
      <c r="X351"/>
    </row>
    <row r="352" spans="5:24" x14ac:dyDescent="0.3">
      <c r="E352" s="173"/>
      <c r="F352" s="173"/>
      <c r="I352"/>
      <c r="J352"/>
      <c r="K352"/>
      <c r="L352"/>
      <c r="M352"/>
      <c r="N352"/>
      <c r="O352"/>
      <c r="P352" s="225"/>
      <c r="Q352" s="225"/>
      <c r="R352"/>
      <c r="S352"/>
      <c r="T352"/>
      <c r="U352"/>
      <c r="V352"/>
      <c r="W352"/>
      <c r="X352"/>
    </row>
    <row r="353" spans="5:24" x14ac:dyDescent="0.3">
      <c r="E353" s="173"/>
      <c r="F353" s="173"/>
      <c r="I353"/>
      <c r="J353"/>
      <c r="K353"/>
      <c r="L353"/>
      <c r="M353"/>
      <c r="N353"/>
      <c r="O353"/>
      <c r="P353" s="225"/>
      <c r="Q353" s="225"/>
      <c r="R353"/>
      <c r="S353"/>
      <c r="T353"/>
      <c r="U353"/>
      <c r="V353"/>
      <c r="W353"/>
      <c r="X353"/>
    </row>
    <row r="354" spans="5:24" x14ac:dyDescent="0.3">
      <c r="E354" s="173"/>
      <c r="F354" s="173"/>
      <c r="I354"/>
      <c r="J354"/>
      <c r="K354"/>
      <c r="L354"/>
      <c r="M354"/>
      <c r="N354"/>
      <c r="O354"/>
      <c r="P354" s="225"/>
      <c r="Q354" s="225"/>
      <c r="R354"/>
      <c r="S354"/>
      <c r="T354"/>
      <c r="U354"/>
      <c r="V354"/>
      <c r="W354"/>
      <c r="X354"/>
    </row>
    <row r="355" spans="5:24" x14ac:dyDescent="0.3">
      <c r="E355" s="173"/>
      <c r="F355" s="173"/>
      <c r="I355"/>
      <c r="J355"/>
      <c r="K355"/>
      <c r="L355"/>
      <c r="M355"/>
      <c r="N355"/>
      <c r="O355"/>
      <c r="P355" s="225"/>
      <c r="Q355" s="225"/>
      <c r="R355"/>
      <c r="S355"/>
      <c r="T355"/>
      <c r="U355"/>
      <c r="V355"/>
      <c r="W355"/>
      <c r="X355"/>
    </row>
    <row r="356" spans="5:24" x14ac:dyDescent="0.3">
      <c r="E356" s="173"/>
      <c r="F356" s="173"/>
      <c r="I356"/>
      <c r="J356"/>
      <c r="K356"/>
      <c r="L356"/>
      <c r="M356"/>
      <c r="N356"/>
      <c r="O356"/>
      <c r="P356" s="225"/>
      <c r="Q356" s="225"/>
      <c r="R356"/>
      <c r="S356"/>
      <c r="T356"/>
      <c r="U356"/>
      <c r="V356"/>
      <c r="W356"/>
      <c r="X356"/>
    </row>
    <row r="357" spans="5:24" x14ac:dyDescent="0.3">
      <c r="E357" s="173"/>
      <c r="F357" s="173"/>
      <c r="I357"/>
      <c r="J357"/>
      <c r="K357"/>
      <c r="L357"/>
      <c r="M357"/>
      <c r="N357"/>
      <c r="O357"/>
      <c r="P357" s="225"/>
      <c r="Q357" s="225"/>
      <c r="R357"/>
      <c r="S357"/>
      <c r="T357"/>
      <c r="U357"/>
      <c r="V357"/>
      <c r="W357"/>
      <c r="X357"/>
    </row>
    <row r="358" spans="5:24" x14ac:dyDescent="0.3">
      <c r="E358" s="173"/>
      <c r="F358" s="173"/>
      <c r="I358"/>
      <c r="J358"/>
      <c r="K358"/>
      <c r="L358"/>
      <c r="M358"/>
      <c r="N358"/>
      <c r="O358"/>
      <c r="P358" s="225"/>
      <c r="Q358" s="225"/>
      <c r="R358"/>
      <c r="S358"/>
      <c r="T358"/>
      <c r="U358"/>
      <c r="V358"/>
      <c r="W358"/>
      <c r="X358"/>
    </row>
    <row r="359" spans="5:24" x14ac:dyDescent="0.3">
      <c r="E359" s="173"/>
      <c r="F359" s="173"/>
      <c r="I359"/>
      <c r="J359"/>
      <c r="K359"/>
      <c r="L359"/>
      <c r="M359"/>
      <c r="N359"/>
      <c r="O359"/>
      <c r="P359" s="225"/>
      <c r="Q359" s="225"/>
      <c r="R359"/>
      <c r="S359"/>
      <c r="T359"/>
      <c r="U359"/>
      <c r="V359"/>
      <c r="W359"/>
      <c r="X359"/>
    </row>
    <row r="360" spans="5:24" x14ac:dyDescent="0.3">
      <c r="E360" s="173"/>
      <c r="F360" s="173"/>
      <c r="I360"/>
      <c r="J360"/>
      <c r="K360"/>
      <c r="L360"/>
      <c r="M360"/>
      <c r="N360"/>
      <c r="O360"/>
      <c r="P360" s="225"/>
      <c r="Q360" s="225"/>
      <c r="R360"/>
      <c r="S360"/>
      <c r="T360"/>
      <c r="U360"/>
      <c r="V360"/>
      <c r="W360"/>
      <c r="X360"/>
    </row>
    <row r="361" spans="5:24" x14ac:dyDescent="0.3">
      <c r="E361" s="173"/>
      <c r="F361" s="173"/>
      <c r="I361"/>
      <c r="J361"/>
      <c r="K361"/>
      <c r="L361"/>
      <c r="M361"/>
      <c r="N361"/>
      <c r="O361"/>
      <c r="P361" s="225"/>
      <c r="Q361" s="225"/>
      <c r="R361"/>
      <c r="S361"/>
      <c r="T361"/>
      <c r="U361"/>
      <c r="V361"/>
      <c r="W361"/>
      <c r="X361"/>
    </row>
    <row r="362" spans="5:24" x14ac:dyDescent="0.3">
      <c r="E362" s="173"/>
      <c r="F362" s="173"/>
      <c r="I362"/>
      <c r="J362"/>
      <c r="K362"/>
      <c r="L362"/>
      <c r="M362"/>
      <c r="N362"/>
      <c r="O362"/>
      <c r="P362" s="225"/>
      <c r="Q362" s="225"/>
      <c r="R362"/>
      <c r="S362"/>
      <c r="T362"/>
      <c r="U362"/>
      <c r="V362"/>
      <c r="W362"/>
      <c r="X362"/>
    </row>
    <row r="363" spans="5:24" x14ac:dyDescent="0.3">
      <c r="E363" s="173"/>
      <c r="F363" s="173"/>
      <c r="I363"/>
      <c r="J363"/>
      <c r="K363"/>
      <c r="L363"/>
      <c r="M363"/>
      <c r="N363"/>
      <c r="O363"/>
      <c r="P363" s="225"/>
      <c r="Q363" s="225"/>
      <c r="R363"/>
      <c r="S363"/>
      <c r="T363"/>
      <c r="U363"/>
      <c r="V363"/>
      <c r="W363"/>
      <c r="X363"/>
    </row>
    <row r="364" spans="5:24" x14ac:dyDescent="0.3">
      <c r="E364" s="173"/>
      <c r="F364" s="173"/>
      <c r="I364"/>
      <c r="J364"/>
      <c r="K364"/>
      <c r="L364"/>
      <c r="M364"/>
      <c r="N364"/>
      <c r="O364"/>
      <c r="P364" s="225"/>
      <c r="Q364" s="225"/>
      <c r="R364"/>
      <c r="S364"/>
      <c r="T364"/>
      <c r="U364"/>
      <c r="V364"/>
      <c r="W364"/>
      <c r="X364"/>
    </row>
    <row r="365" spans="5:24" x14ac:dyDescent="0.3">
      <c r="E365" s="173"/>
      <c r="F365" s="173"/>
      <c r="I365"/>
      <c r="J365"/>
      <c r="K365"/>
      <c r="L365"/>
      <c r="M365"/>
      <c r="N365"/>
      <c r="O365"/>
      <c r="P365" s="225"/>
      <c r="Q365" s="225"/>
      <c r="R365"/>
      <c r="S365"/>
      <c r="T365"/>
      <c r="U365"/>
      <c r="V365"/>
      <c r="W365"/>
      <c r="X365"/>
    </row>
    <row r="366" spans="5:24" x14ac:dyDescent="0.3">
      <c r="E366" s="173"/>
      <c r="F366" s="173"/>
      <c r="I366"/>
      <c r="J366"/>
      <c r="K366"/>
      <c r="L366"/>
      <c r="M366"/>
      <c r="N366"/>
      <c r="O366"/>
      <c r="P366" s="225"/>
      <c r="Q366" s="225"/>
      <c r="R366"/>
      <c r="S366"/>
      <c r="T366"/>
      <c r="U366"/>
      <c r="V366"/>
      <c r="W366"/>
      <c r="X366"/>
    </row>
    <row r="367" spans="5:24" x14ac:dyDescent="0.3">
      <c r="E367" s="173"/>
      <c r="F367" s="173"/>
      <c r="I367"/>
      <c r="J367"/>
      <c r="K367"/>
      <c r="L367"/>
      <c r="M367"/>
      <c r="N367"/>
      <c r="O367"/>
      <c r="P367" s="225"/>
      <c r="Q367" s="225"/>
      <c r="R367"/>
      <c r="S367"/>
      <c r="T367"/>
      <c r="U367"/>
      <c r="V367"/>
      <c r="W367"/>
      <c r="X367"/>
    </row>
    <row r="368" spans="5:24" x14ac:dyDescent="0.3">
      <c r="E368" s="173"/>
      <c r="F368" s="173"/>
      <c r="I368"/>
      <c r="J368"/>
      <c r="K368"/>
      <c r="L368"/>
      <c r="M368"/>
      <c r="N368"/>
      <c r="O368"/>
      <c r="P368" s="225"/>
      <c r="Q368" s="225"/>
      <c r="R368"/>
      <c r="S368"/>
      <c r="T368"/>
      <c r="U368"/>
      <c r="V368"/>
      <c r="W368"/>
      <c r="X368"/>
    </row>
    <row r="369" spans="5:24" x14ac:dyDescent="0.3">
      <c r="E369" s="173"/>
      <c r="F369" s="173"/>
      <c r="I369"/>
      <c r="J369"/>
      <c r="K369"/>
      <c r="L369"/>
      <c r="M369"/>
      <c r="N369"/>
      <c r="O369"/>
      <c r="P369" s="225"/>
      <c r="Q369" s="225"/>
      <c r="R369"/>
      <c r="S369"/>
      <c r="T369"/>
      <c r="U369"/>
      <c r="V369"/>
      <c r="W369"/>
      <c r="X369"/>
    </row>
    <row r="370" spans="5:24" x14ac:dyDescent="0.3">
      <c r="E370" s="173"/>
      <c r="F370" s="173"/>
      <c r="I370"/>
      <c r="J370"/>
      <c r="K370"/>
      <c r="L370"/>
      <c r="M370"/>
      <c r="N370"/>
      <c r="O370"/>
      <c r="P370" s="225"/>
      <c r="Q370" s="225"/>
      <c r="R370"/>
      <c r="S370"/>
      <c r="T370"/>
      <c r="U370"/>
      <c r="V370"/>
      <c r="W370"/>
      <c r="X370"/>
    </row>
    <row r="371" spans="5:24" x14ac:dyDescent="0.3">
      <c r="E371" s="173"/>
      <c r="F371" s="173"/>
      <c r="I371"/>
      <c r="J371"/>
      <c r="K371"/>
      <c r="L371"/>
      <c r="M371"/>
      <c r="N371"/>
      <c r="O371"/>
      <c r="P371" s="225"/>
      <c r="Q371" s="225"/>
      <c r="R371"/>
      <c r="S371"/>
      <c r="T371"/>
      <c r="U371"/>
      <c r="V371"/>
      <c r="W371"/>
      <c r="X371"/>
    </row>
    <row r="372" spans="5:24" x14ac:dyDescent="0.3">
      <c r="E372" s="173"/>
      <c r="F372" s="173"/>
      <c r="I372"/>
      <c r="J372"/>
      <c r="K372"/>
      <c r="L372"/>
      <c r="M372"/>
      <c r="N372"/>
      <c r="O372"/>
      <c r="P372" s="225"/>
      <c r="Q372" s="225"/>
      <c r="R372"/>
      <c r="S372"/>
      <c r="T372"/>
      <c r="U372"/>
      <c r="V372"/>
      <c r="W372"/>
      <c r="X372"/>
    </row>
    <row r="373" spans="5:24" x14ac:dyDescent="0.3">
      <c r="E373" s="173"/>
      <c r="F373" s="173"/>
      <c r="I373"/>
      <c r="J373"/>
      <c r="K373"/>
      <c r="L373"/>
      <c r="M373"/>
      <c r="N373"/>
      <c r="O373"/>
      <c r="P373" s="225"/>
      <c r="Q373" s="225"/>
      <c r="R373"/>
      <c r="S373"/>
      <c r="T373"/>
      <c r="U373"/>
      <c r="V373"/>
      <c r="W373"/>
      <c r="X373"/>
    </row>
    <row r="374" spans="5:24" x14ac:dyDescent="0.3">
      <c r="E374" s="173"/>
      <c r="F374" s="173"/>
      <c r="I374"/>
      <c r="J374"/>
      <c r="K374"/>
      <c r="L374"/>
      <c r="M374"/>
      <c r="N374"/>
      <c r="O374"/>
      <c r="P374" s="225"/>
      <c r="Q374" s="225"/>
      <c r="R374"/>
      <c r="S374"/>
      <c r="T374"/>
      <c r="U374"/>
      <c r="V374"/>
      <c r="W374"/>
      <c r="X374"/>
    </row>
    <row r="375" spans="5:24" x14ac:dyDescent="0.3">
      <c r="E375" s="173"/>
      <c r="F375" s="173"/>
      <c r="I375"/>
      <c r="J375"/>
      <c r="K375"/>
      <c r="L375"/>
      <c r="M375"/>
      <c r="N375"/>
      <c r="O375"/>
      <c r="P375" s="225"/>
      <c r="Q375" s="225"/>
      <c r="R375"/>
      <c r="S375"/>
      <c r="T375"/>
      <c r="U375"/>
      <c r="V375"/>
      <c r="W375"/>
      <c r="X375"/>
    </row>
    <row r="376" spans="5:24" x14ac:dyDescent="0.3">
      <c r="E376" s="173"/>
      <c r="F376" s="173"/>
      <c r="I376"/>
      <c r="J376"/>
      <c r="K376"/>
      <c r="L376"/>
      <c r="M376"/>
      <c r="N376"/>
      <c r="O376"/>
      <c r="P376" s="225"/>
      <c r="Q376" s="225"/>
      <c r="R376"/>
      <c r="S376"/>
      <c r="T376"/>
      <c r="U376"/>
      <c r="V376"/>
      <c r="W376"/>
      <c r="X376"/>
    </row>
    <row r="377" spans="5:24" x14ac:dyDescent="0.3">
      <c r="E377" s="173"/>
      <c r="F377" s="173"/>
      <c r="I377"/>
      <c r="J377"/>
      <c r="K377"/>
      <c r="L377"/>
      <c r="M377"/>
      <c r="N377"/>
      <c r="O377"/>
      <c r="P377" s="225"/>
      <c r="Q377" s="225"/>
      <c r="R377"/>
      <c r="S377"/>
      <c r="T377"/>
      <c r="U377"/>
      <c r="V377"/>
      <c r="W377"/>
      <c r="X377"/>
    </row>
    <row r="378" spans="5:24" x14ac:dyDescent="0.3">
      <c r="E378" s="173"/>
      <c r="F378" s="173"/>
      <c r="I378"/>
      <c r="J378"/>
      <c r="K378"/>
      <c r="L378"/>
      <c r="M378"/>
      <c r="N378"/>
      <c r="O378"/>
      <c r="P378" s="225"/>
      <c r="Q378" s="225"/>
      <c r="R378"/>
      <c r="S378"/>
      <c r="T378"/>
      <c r="U378"/>
      <c r="V378"/>
      <c r="W378"/>
      <c r="X378"/>
    </row>
    <row r="379" spans="5:24" x14ac:dyDescent="0.3">
      <c r="E379" s="173"/>
      <c r="F379" s="173"/>
      <c r="I379"/>
      <c r="J379"/>
      <c r="K379"/>
      <c r="L379"/>
      <c r="M379"/>
      <c r="N379"/>
      <c r="O379"/>
      <c r="P379" s="225"/>
      <c r="Q379" s="225"/>
      <c r="R379"/>
      <c r="S379"/>
      <c r="T379"/>
      <c r="U379"/>
      <c r="V379"/>
      <c r="W379"/>
      <c r="X379"/>
    </row>
    <row r="380" spans="5:24" x14ac:dyDescent="0.3">
      <c r="E380" s="173"/>
      <c r="F380" s="173"/>
      <c r="I380"/>
      <c r="J380"/>
      <c r="K380"/>
      <c r="L380"/>
      <c r="M380"/>
      <c r="N380"/>
      <c r="O380"/>
      <c r="P380" s="225"/>
      <c r="Q380" s="225"/>
      <c r="R380"/>
      <c r="S380"/>
      <c r="T380"/>
      <c r="U380"/>
      <c r="V380"/>
      <c r="W380"/>
      <c r="X380"/>
    </row>
    <row r="381" spans="5:24" x14ac:dyDescent="0.3">
      <c r="E381" s="173"/>
      <c r="F381" s="173"/>
      <c r="I381"/>
      <c r="J381"/>
      <c r="K381"/>
      <c r="L381"/>
      <c r="M381"/>
      <c r="N381"/>
      <c r="O381"/>
      <c r="P381" s="225"/>
      <c r="Q381" s="225"/>
      <c r="R381"/>
      <c r="S381"/>
      <c r="T381"/>
      <c r="U381"/>
      <c r="V381"/>
      <c r="W381"/>
      <c r="X381"/>
    </row>
    <row r="382" spans="5:24" x14ac:dyDescent="0.3">
      <c r="E382" s="173"/>
      <c r="F382" s="173"/>
      <c r="I382"/>
      <c r="J382"/>
      <c r="K382"/>
      <c r="L382"/>
      <c r="M382"/>
      <c r="N382"/>
      <c r="O382"/>
      <c r="P382" s="225"/>
      <c r="Q382" s="225"/>
      <c r="R382"/>
      <c r="S382"/>
      <c r="T382"/>
      <c r="U382"/>
      <c r="V382"/>
      <c r="W382"/>
      <c r="X382"/>
    </row>
    <row r="383" spans="5:24" x14ac:dyDescent="0.3">
      <c r="E383" s="173"/>
      <c r="F383" s="173"/>
      <c r="I383"/>
      <c r="J383"/>
      <c r="K383"/>
      <c r="L383"/>
      <c r="M383"/>
      <c r="N383"/>
      <c r="O383"/>
      <c r="P383" s="225"/>
      <c r="Q383" s="225"/>
      <c r="R383"/>
      <c r="S383"/>
      <c r="T383"/>
      <c r="U383"/>
      <c r="V383"/>
      <c r="W383"/>
      <c r="X383"/>
    </row>
    <row r="384" spans="5:24" x14ac:dyDescent="0.3">
      <c r="E384" s="173"/>
      <c r="F384" s="173"/>
      <c r="I384"/>
      <c r="J384"/>
      <c r="K384"/>
      <c r="L384"/>
      <c r="M384"/>
      <c r="N384"/>
      <c r="O384"/>
      <c r="P384" s="225"/>
      <c r="Q384" s="225"/>
      <c r="R384"/>
      <c r="S384"/>
      <c r="T384"/>
      <c r="U384"/>
      <c r="V384"/>
      <c r="W384"/>
      <c r="X384"/>
    </row>
    <row r="385" spans="5:24" x14ac:dyDescent="0.3">
      <c r="E385" s="173"/>
      <c r="F385" s="173"/>
      <c r="I385"/>
      <c r="J385"/>
      <c r="K385"/>
      <c r="L385"/>
      <c r="M385"/>
      <c r="N385"/>
      <c r="O385"/>
      <c r="P385" s="225"/>
      <c r="Q385" s="225"/>
      <c r="R385"/>
      <c r="S385"/>
      <c r="T385"/>
      <c r="U385"/>
      <c r="V385"/>
      <c r="W385"/>
      <c r="X385"/>
    </row>
    <row r="386" spans="5:24" x14ac:dyDescent="0.3">
      <c r="E386" s="173"/>
      <c r="F386" s="173"/>
      <c r="I386"/>
      <c r="J386"/>
      <c r="K386"/>
      <c r="L386"/>
      <c r="M386"/>
      <c r="N386"/>
      <c r="O386"/>
      <c r="P386" s="225"/>
      <c r="Q386" s="225"/>
      <c r="R386"/>
      <c r="S386"/>
      <c r="T386"/>
      <c r="U386"/>
      <c r="V386"/>
      <c r="W386"/>
      <c r="X386"/>
    </row>
    <row r="387" spans="5:24" x14ac:dyDescent="0.3">
      <c r="E387" s="173"/>
      <c r="F387" s="173"/>
      <c r="I387"/>
      <c r="J387"/>
      <c r="K387"/>
      <c r="L387"/>
      <c r="M387"/>
      <c r="N387"/>
      <c r="O387"/>
      <c r="P387" s="225"/>
      <c r="Q387" s="225"/>
      <c r="R387"/>
      <c r="S387"/>
      <c r="T387"/>
      <c r="U387"/>
      <c r="V387"/>
      <c r="W387"/>
      <c r="X387"/>
    </row>
    <row r="388" spans="5:24" x14ac:dyDescent="0.3">
      <c r="E388" s="173"/>
      <c r="F388" s="173"/>
      <c r="I388"/>
      <c r="J388"/>
      <c r="K388"/>
      <c r="L388"/>
      <c r="M388"/>
      <c r="N388"/>
      <c r="O388"/>
      <c r="P388" s="225"/>
      <c r="Q388" s="225"/>
      <c r="R388"/>
      <c r="S388"/>
      <c r="T388"/>
      <c r="U388"/>
      <c r="V388"/>
      <c r="W388"/>
      <c r="X388"/>
    </row>
    <row r="389" spans="5:24" x14ac:dyDescent="0.3">
      <c r="E389" s="173"/>
      <c r="F389" s="173"/>
      <c r="I389"/>
      <c r="J389"/>
      <c r="K389"/>
      <c r="L389"/>
      <c r="M389"/>
      <c r="N389"/>
      <c r="O389"/>
      <c r="P389" s="225"/>
      <c r="Q389" s="225"/>
      <c r="R389"/>
      <c r="S389"/>
      <c r="T389"/>
      <c r="U389"/>
      <c r="V389"/>
      <c r="W389"/>
      <c r="X389"/>
    </row>
    <row r="390" spans="5:24" x14ac:dyDescent="0.3">
      <c r="E390" s="173"/>
      <c r="F390" s="173"/>
      <c r="I390"/>
      <c r="J390"/>
      <c r="K390"/>
      <c r="L390"/>
      <c r="M390"/>
      <c r="N390"/>
      <c r="O390"/>
      <c r="P390" s="225"/>
      <c r="Q390" s="225"/>
      <c r="R390"/>
      <c r="S390"/>
      <c r="T390"/>
      <c r="U390"/>
      <c r="V390"/>
      <c r="W390"/>
      <c r="X390"/>
    </row>
    <row r="391" spans="5:24" x14ac:dyDescent="0.3">
      <c r="E391" s="173"/>
      <c r="F391" s="173"/>
      <c r="I391"/>
      <c r="J391"/>
      <c r="K391"/>
      <c r="L391"/>
      <c r="M391"/>
      <c r="N391"/>
      <c r="O391"/>
      <c r="P391" s="225"/>
      <c r="Q391" s="225"/>
      <c r="R391"/>
      <c r="S391"/>
      <c r="T391"/>
      <c r="U391"/>
      <c r="V391"/>
      <c r="W391"/>
      <c r="X391"/>
    </row>
    <row r="392" spans="5:24" x14ac:dyDescent="0.3">
      <c r="E392" s="173"/>
      <c r="F392" s="173"/>
      <c r="I392"/>
      <c r="J392"/>
      <c r="K392"/>
      <c r="L392"/>
      <c r="M392"/>
      <c r="N392"/>
      <c r="O392"/>
      <c r="P392" s="225"/>
      <c r="Q392" s="225"/>
      <c r="R392"/>
      <c r="S392"/>
      <c r="T392"/>
      <c r="U392"/>
      <c r="V392"/>
      <c r="W392"/>
      <c r="X392"/>
    </row>
    <row r="393" spans="5:24" x14ac:dyDescent="0.3">
      <c r="E393" s="173"/>
      <c r="F393" s="173"/>
      <c r="I393"/>
      <c r="J393"/>
      <c r="K393"/>
      <c r="L393"/>
      <c r="M393"/>
      <c r="N393"/>
      <c r="O393"/>
      <c r="P393" s="225"/>
      <c r="Q393" s="225"/>
      <c r="R393"/>
      <c r="S393"/>
      <c r="T393"/>
      <c r="U393"/>
      <c r="V393"/>
      <c r="W393"/>
      <c r="X393"/>
    </row>
    <row r="394" spans="5:24" x14ac:dyDescent="0.3">
      <c r="E394" s="173"/>
      <c r="F394" s="173"/>
      <c r="I394"/>
      <c r="J394"/>
      <c r="K394"/>
      <c r="L394"/>
      <c r="M394"/>
      <c r="N394"/>
      <c r="O394"/>
      <c r="P394" s="225"/>
      <c r="Q394" s="225"/>
      <c r="R394"/>
      <c r="S394"/>
      <c r="T394"/>
      <c r="U394"/>
      <c r="V394"/>
      <c r="W394"/>
      <c r="X394"/>
    </row>
    <row r="395" spans="5:24" x14ac:dyDescent="0.3">
      <c r="E395" s="173"/>
      <c r="F395" s="173"/>
      <c r="I395"/>
      <c r="J395"/>
      <c r="K395"/>
      <c r="L395"/>
      <c r="M395"/>
      <c r="N395"/>
      <c r="O395"/>
      <c r="P395" s="225"/>
      <c r="Q395" s="225"/>
      <c r="R395"/>
      <c r="S395"/>
      <c r="T395"/>
      <c r="U395"/>
      <c r="V395"/>
      <c r="W395"/>
      <c r="X395"/>
    </row>
    <row r="396" spans="5:24" x14ac:dyDescent="0.3">
      <c r="E396" s="173"/>
      <c r="F396" s="173"/>
      <c r="I396"/>
      <c r="J396"/>
      <c r="K396"/>
      <c r="L396"/>
      <c r="M396"/>
      <c r="N396"/>
      <c r="O396"/>
      <c r="P396" s="225"/>
      <c r="Q396" s="225"/>
      <c r="R396"/>
      <c r="S396"/>
      <c r="T396"/>
      <c r="U396"/>
      <c r="V396"/>
      <c r="W396"/>
      <c r="X396"/>
    </row>
    <row r="397" spans="5:24" x14ac:dyDescent="0.3">
      <c r="E397" s="173"/>
      <c r="F397" s="173"/>
      <c r="I397"/>
      <c r="J397"/>
      <c r="K397"/>
      <c r="L397"/>
      <c r="M397"/>
      <c r="N397"/>
      <c r="O397"/>
      <c r="P397" s="225"/>
      <c r="Q397" s="225"/>
      <c r="R397"/>
      <c r="S397"/>
      <c r="T397"/>
      <c r="U397"/>
      <c r="V397"/>
      <c r="W397"/>
      <c r="X397"/>
    </row>
    <row r="398" spans="5:24" x14ac:dyDescent="0.3">
      <c r="E398" s="173"/>
      <c r="F398" s="173"/>
      <c r="I398"/>
      <c r="J398"/>
      <c r="K398"/>
      <c r="L398"/>
      <c r="M398"/>
      <c r="N398"/>
      <c r="O398"/>
      <c r="P398" s="225"/>
      <c r="Q398" s="225"/>
      <c r="R398"/>
      <c r="S398"/>
      <c r="T398"/>
      <c r="U398"/>
      <c r="V398"/>
      <c r="W398"/>
      <c r="X398"/>
    </row>
    <row r="399" spans="5:24" x14ac:dyDescent="0.3">
      <c r="E399" s="173"/>
      <c r="F399" s="173"/>
      <c r="I399"/>
      <c r="J399"/>
      <c r="K399"/>
      <c r="L399"/>
      <c r="M399"/>
      <c r="N399"/>
      <c r="O399"/>
      <c r="P399" s="225"/>
      <c r="Q399" s="225"/>
      <c r="R399"/>
      <c r="S399"/>
      <c r="T399"/>
      <c r="U399"/>
      <c r="V399"/>
      <c r="W399"/>
      <c r="X399"/>
    </row>
    <row r="400" spans="5:24" x14ac:dyDescent="0.3">
      <c r="E400" s="173"/>
      <c r="F400" s="173"/>
      <c r="I400"/>
      <c r="J400"/>
      <c r="K400"/>
      <c r="L400"/>
      <c r="M400"/>
      <c r="N400"/>
      <c r="O400"/>
      <c r="P400" s="225"/>
      <c r="Q400" s="225"/>
      <c r="R400"/>
      <c r="S400"/>
      <c r="T400"/>
      <c r="U400"/>
      <c r="V400"/>
      <c r="W400"/>
      <c r="X400"/>
    </row>
    <row r="401" spans="5:24" x14ac:dyDescent="0.3">
      <c r="E401" s="173"/>
      <c r="F401" s="173"/>
      <c r="I401"/>
      <c r="J401"/>
      <c r="K401"/>
      <c r="L401"/>
      <c r="M401"/>
      <c r="N401"/>
      <c r="O401"/>
      <c r="P401" s="225"/>
      <c r="Q401" s="225"/>
      <c r="R401"/>
      <c r="S401"/>
      <c r="T401"/>
      <c r="U401"/>
      <c r="V401"/>
      <c r="W401"/>
      <c r="X401"/>
    </row>
    <row r="402" spans="5:24" x14ac:dyDescent="0.3">
      <c r="E402" s="173"/>
      <c r="F402" s="173"/>
      <c r="I402"/>
      <c r="J402"/>
      <c r="K402"/>
      <c r="L402"/>
      <c r="M402"/>
      <c r="N402"/>
      <c r="O402"/>
      <c r="P402" s="225"/>
      <c r="Q402" s="225"/>
      <c r="R402"/>
      <c r="S402"/>
      <c r="T402"/>
      <c r="U402"/>
      <c r="V402"/>
      <c r="W402"/>
      <c r="X402"/>
    </row>
    <row r="403" spans="5:24" x14ac:dyDescent="0.3">
      <c r="E403" s="173"/>
      <c r="F403" s="173"/>
      <c r="I403"/>
      <c r="J403"/>
      <c r="K403"/>
      <c r="L403"/>
      <c r="M403"/>
      <c r="N403"/>
      <c r="O403"/>
      <c r="P403" s="225"/>
      <c r="Q403" s="225"/>
      <c r="R403"/>
      <c r="S403"/>
      <c r="T403"/>
      <c r="U403"/>
      <c r="V403"/>
      <c r="W403"/>
      <c r="X403"/>
    </row>
    <row r="404" spans="5:24" x14ac:dyDescent="0.3">
      <c r="E404" s="173"/>
      <c r="F404" s="173"/>
      <c r="I404"/>
      <c r="J404"/>
      <c r="K404"/>
      <c r="L404"/>
      <c r="M404"/>
      <c r="N404"/>
      <c r="O404"/>
      <c r="P404" s="225"/>
      <c r="Q404" s="225"/>
      <c r="R404"/>
      <c r="S404"/>
      <c r="T404"/>
      <c r="U404"/>
      <c r="V404"/>
      <c r="W404"/>
      <c r="X404"/>
    </row>
    <row r="405" spans="5:24" x14ac:dyDescent="0.3">
      <c r="E405" s="173"/>
      <c r="F405" s="173"/>
      <c r="I405"/>
      <c r="J405"/>
      <c r="K405"/>
      <c r="L405"/>
      <c r="M405"/>
      <c r="N405"/>
      <c r="O405"/>
      <c r="P405" s="225"/>
      <c r="Q405" s="225"/>
      <c r="R405"/>
      <c r="S405"/>
      <c r="T405"/>
      <c r="U405"/>
      <c r="V405"/>
      <c r="W405"/>
      <c r="X405"/>
    </row>
    <row r="406" spans="5:24" x14ac:dyDescent="0.3">
      <c r="E406" s="173"/>
      <c r="F406" s="173"/>
      <c r="I406"/>
      <c r="J406"/>
      <c r="K406"/>
      <c r="L406"/>
      <c r="M406"/>
      <c r="N406"/>
      <c r="O406"/>
      <c r="P406" s="225"/>
      <c r="Q406" s="225"/>
      <c r="R406"/>
      <c r="S406"/>
      <c r="T406"/>
      <c r="U406"/>
      <c r="V406"/>
      <c r="W406"/>
      <c r="X406"/>
    </row>
    <row r="407" spans="5:24" x14ac:dyDescent="0.3">
      <c r="E407" s="173"/>
      <c r="F407" s="173"/>
      <c r="I407"/>
      <c r="J407"/>
      <c r="K407"/>
      <c r="L407"/>
      <c r="M407"/>
      <c r="N407"/>
      <c r="O407"/>
      <c r="P407" s="225"/>
      <c r="Q407" s="225"/>
      <c r="R407"/>
      <c r="S407"/>
      <c r="T407"/>
      <c r="U407"/>
      <c r="V407"/>
      <c r="W407"/>
      <c r="X407"/>
    </row>
    <row r="408" spans="5:24" x14ac:dyDescent="0.3">
      <c r="E408" s="173"/>
      <c r="F408" s="173"/>
      <c r="I408"/>
      <c r="J408"/>
      <c r="K408"/>
      <c r="L408"/>
      <c r="M408"/>
      <c r="N408"/>
      <c r="O408"/>
      <c r="P408" s="225"/>
      <c r="Q408" s="225"/>
      <c r="R408"/>
      <c r="S408"/>
      <c r="T408"/>
      <c r="U408"/>
      <c r="V408"/>
      <c r="W408"/>
      <c r="X408"/>
    </row>
    <row r="409" spans="5:24" x14ac:dyDescent="0.3">
      <c r="E409" s="173"/>
      <c r="F409" s="173"/>
      <c r="I409"/>
      <c r="J409"/>
      <c r="K409"/>
      <c r="L409"/>
      <c r="M409"/>
      <c r="N409"/>
      <c r="O409"/>
      <c r="P409" s="225"/>
      <c r="Q409" s="225"/>
      <c r="R409"/>
      <c r="S409"/>
      <c r="T409"/>
      <c r="U409"/>
      <c r="V409"/>
      <c r="W409"/>
      <c r="X409"/>
    </row>
    <row r="410" spans="5:24" x14ac:dyDescent="0.3">
      <c r="E410" s="173"/>
      <c r="F410" s="173"/>
      <c r="I410"/>
      <c r="J410"/>
      <c r="K410"/>
      <c r="L410"/>
      <c r="M410"/>
      <c r="N410"/>
      <c r="O410"/>
      <c r="P410" s="225"/>
      <c r="Q410" s="225"/>
      <c r="R410"/>
      <c r="S410"/>
      <c r="T410"/>
      <c r="U410"/>
      <c r="V410"/>
      <c r="W410"/>
      <c r="X410"/>
    </row>
    <row r="411" spans="5:24" x14ac:dyDescent="0.3">
      <c r="E411" s="173"/>
      <c r="F411" s="173"/>
      <c r="I411"/>
      <c r="J411"/>
      <c r="K411"/>
      <c r="L411"/>
      <c r="M411"/>
      <c r="N411"/>
      <c r="O411"/>
      <c r="P411" s="225"/>
      <c r="Q411" s="225"/>
      <c r="R411"/>
      <c r="S411"/>
      <c r="T411"/>
      <c r="U411"/>
      <c r="V411"/>
      <c r="W411"/>
      <c r="X411"/>
    </row>
    <row r="412" spans="5:24" x14ac:dyDescent="0.3">
      <c r="E412" s="173"/>
      <c r="F412" s="173"/>
      <c r="I412"/>
      <c r="J412"/>
      <c r="K412"/>
      <c r="L412"/>
      <c r="M412"/>
      <c r="N412"/>
      <c r="O412"/>
      <c r="P412" s="225"/>
      <c r="Q412" s="225"/>
      <c r="R412"/>
      <c r="S412"/>
      <c r="T412"/>
      <c r="U412"/>
      <c r="V412"/>
      <c r="W412"/>
      <c r="X412"/>
    </row>
    <row r="413" spans="5:24" x14ac:dyDescent="0.3">
      <c r="E413" s="173"/>
      <c r="F413" s="173"/>
      <c r="I413"/>
      <c r="J413"/>
      <c r="K413"/>
      <c r="L413"/>
      <c r="M413"/>
      <c r="N413"/>
      <c r="O413"/>
      <c r="P413" s="225"/>
      <c r="Q413" s="225"/>
      <c r="R413"/>
      <c r="S413"/>
      <c r="T413"/>
      <c r="U413"/>
      <c r="V413"/>
      <c r="W413"/>
      <c r="X413"/>
    </row>
    <row r="414" spans="5:24" x14ac:dyDescent="0.3">
      <c r="E414" s="173"/>
      <c r="F414" s="173"/>
      <c r="I414"/>
      <c r="J414"/>
      <c r="K414"/>
      <c r="L414"/>
      <c r="M414"/>
      <c r="N414"/>
      <c r="O414"/>
      <c r="P414" s="225"/>
      <c r="Q414" s="225"/>
      <c r="R414"/>
      <c r="S414"/>
      <c r="T414"/>
      <c r="U414"/>
      <c r="V414"/>
      <c r="W414"/>
      <c r="X414"/>
    </row>
    <row r="415" spans="5:24" x14ac:dyDescent="0.3">
      <c r="E415" s="173"/>
      <c r="F415" s="173"/>
      <c r="I415"/>
      <c r="J415"/>
      <c r="K415"/>
      <c r="L415"/>
      <c r="M415"/>
      <c r="N415"/>
      <c r="O415"/>
      <c r="P415" s="225"/>
      <c r="Q415" s="225"/>
      <c r="R415"/>
      <c r="S415"/>
      <c r="T415"/>
      <c r="U415"/>
      <c r="V415"/>
      <c r="W415"/>
      <c r="X415"/>
    </row>
    <row r="416" spans="5:24" x14ac:dyDescent="0.3">
      <c r="E416" s="173"/>
      <c r="F416" s="173"/>
      <c r="I416"/>
      <c r="J416"/>
      <c r="K416"/>
      <c r="L416"/>
      <c r="M416"/>
      <c r="N416"/>
      <c r="O416"/>
      <c r="P416" s="225"/>
      <c r="Q416" s="225"/>
      <c r="R416"/>
      <c r="S416"/>
      <c r="T416"/>
      <c r="U416"/>
      <c r="V416"/>
      <c r="W416"/>
      <c r="X416"/>
    </row>
    <row r="417" spans="5:24" x14ac:dyDescent="0.3">
      <c r="E417" s="173"/>
      <c r="F417" s="173"/>
      <c r="I417"/>
      <c r="J417"/>
      <c r="K417"/>
      <c r="L417"/>
      <c r="M417"/>
      <c r="N417"/>
      <c r="O417"/>
      <c r="P417" s="225"/>
      <c r="Q417" s="225"/>
      <c r="R417"/>
      <c r="S417"/>
      <c r="T417"/>
      <c r="U417"/>
      <c r="V417"/>
      <c r="W417"/>
      <c r="X417"/>
    </row>
    <row r="418" spans="5:24" x14ac:dyDescent="0.3">
      <c r="E418" s="173"/>
      <c r="F418" s="173"/>
      <c r="I418"/>
      <c r="J418"/>
      <c r="K418"/>
      <c r="L418"/>
      <c r="M418"/>
      <c r="N418"/>
      <c r="O418"/>
      <c r="P418" s="225"/>
      <c r="Q418" s="225"/>
      <c r="R418"/>
      <c r="S418"/>
      <c r="T418"/>
      <c r="U418"/>
      <c r="V418"/>
      <c r="W418"/>
      <c r="X418"/>
    </row>
    <row r="419" spans="5:24" x14ac:dyDescent="0.3">
      <c r="E419" s="173"/>
      <c r="F419" s="173"/>
      <c r="I419"/>
      <c r="J419"/>
      <c r="K419"/>
      <c r="L419"/>
      <c r="M419"/>
      <c r="N419"/>
      <c r="O419"/>
      <c r="P419" s="225"/>
      <c r="Q419" s="225"/>
      <c r="R419"/>
      <c r="S419"/>
      <c r="T419"/>
      <c r="U419"/>
      <c r="V419"/>
      <c r="W419"/>
      <c r="X419"/>
    </row>
    <row r="420" spans="5:24" x14ac:dyDescent="0.3">
      <c r="E420" s="173"/>
      <c r="F420" s="173"/>
      <c r="I420"/>
      <c r="J420"/>
      <c r="K420"/>
      <c r="L420"/>
      <c r="M420"/>
      <c r="N420"/>
      <c r="O420"/>
      <c r="P420" s="225"/>
      <c r="Q420" s="225"/>
      <c r="R420"/>
      <c r="S420"/>
      <c r="T420"/>
      <c r="U420"/>
      <c r="V420"/>
      <c r="W420"/>
      <c r="X420"/>
    </row>
    <row r="421" spans="5:24" x14ac:dyDescent="0.3">
      <c r="E421" s="173"/>
      <c r="F421" s="173"/>
      <c r="I421"/>
      <c r="J421"/>
      <c r="K421"/>
      <c r="L421"/>
      <c r="M421"/>
      <c r="N421"/>
      <c r="O421"/>
      <c r="P421" s="225"/>
      <c r="Q421" s="225"/>
      <c r="R421"/>
      <c r="S421"/>
      <c r="T421"/>
      <c r="U421"/>
      <c r="V421"/>
      <c r="W421"/>
      <c r="X421"/>
    </row>
    <row r="422" spans="5:24" x14ac:dyDescent="0.3">
      <c r="E422" s="173"/>
      <c r="F422" s="173"/>
      <c r="I422"/>
      <c r="J422"/>
      <c r="K422"/>
      <c r="L422"/>
      <c r="M422"/>
      <c r="N422"/>
      <c r="O422"/>
      <c r="P422" s="225"/>
      <c r="Q422" s="225"/>
      <c r="R422"/>
      <c r="S422"/>
      <c r="T422"/>
      <c r="U422"/>
      <c r="V422"/>
      <c r="W422"/>
      <c r="X422"/>
    </row>
    <row r="423" spans="5:24" x14ac:dyDescent="0.3">
      <c r="E423" s="173"/>
      <c r="F423" s="173"/>
      <c r="I423"/>
      <c r="J423"/>
      <c r="K423"/>
      <c r="L423"/>
      <c r="M423"/>
      <c r="N423"/>
      <c r="O423"/>
      <c r="P423" s="225"/>
      <c r="Q423" s="225"/>
      <c r="R423"/>
      <c r="S423"/>
      <c r="T423"/>
      <c r="U423"/>
      <c r="V423"/>
      <c r="W423"/>
      <c r="X423"/>
    </row>
    <row r="424" spans="5:24" x14ac:dyDescent="0.3">
      <c r="E424" s="173"/>
      <c r="F424" s="173"/>
      <c r="I424"/>
      <c r="J424"/>
      <c r="K424"/>
      <c r="L424"/>
      <c r="M424"/>
      <c r="N424"/>
      <c r="O424"/>
      <c r="P424" s="225"/>
      <c r="Q424" s="225"/>
      <c r="R424"/>
      <c r="S424"/>
      <c r="T424"/>
      <c r="U424"/>
      <c r="V424"/>
      <c r="W424"/>
      <c r="X424"/>
    </row>
    <row r="425" spans="5:24" x14ac:dyDescent="0.3">
      <c r="E425" s="173"/>
      <c r="F425" s="173"/>
      <c r="I425"/>
      <c r="J425"/>
      <c r="K425"/>
      <c r="L425"/>
      <c r="M425"/>
      <c r="N425"/>
      <c r="O425"/>
      <c r="P425" s="225"/>
      <c r="Q425" s="225"/>
      <c r="R425"/>
      <c r="S425"/>
      <c r="T425"/>
      <c r="U425"/>
      <c r="V425"/>
      <c r="W425"/>
      <c r="X425"/>
    </row>
    <row r="426" spans="5:24" x14ac:dyDescent="0.3">
      <c r="E426" s="173"/>
      <c r="F426" s="173"/>
      <c r="I426"/>
      <c r="J426"/>
      <c r="K426"/>
      <c r="L426"/>
      <c r="M426"/>
      <c r="N426"/>
      <c r="O426"/>
      <c r="P426" s="225"/>
      <c r="Q426" s="225"/>
      <c r="R426"/>
      <c r="S426"/>
      <c r="T426"/>
      <c r="U426"/>
      <c r="V426"/>
      <c r="W426"/>
      <c r="X426"/>
    </row>
    <row r="427" spans="5:24" x14ac:dyDescent="0.3">
      <c r="E427" s="173"/>
      <c r="F427" s="173"/>
      <c r="I427"/>
      <c r="J427"/>
      <c r="K427"/>
      <c r="L427"/>
      <c r="M427"/>
      <c r="N427"/>
      <c r="O427"/>
      <c r="P427" s="225"/>
      <c r="Q427" s="225"/>
      <c r="R427"/>
      <c r="S427"/>
      <c r="T427"/>
      <c r="U427"/>
      <c r="V427"/>
      <c r="W427"/>
      <c r="X427"/>
    </row>
    <row r="428" spans="5:24" x14ac:dyDescent="0.3">
      <c r="E428" s="173"/>
      <c r="F428" s="173"/>
      <c r="I428"/>
      <c r="J428"/>
      <c r="K428"/>
      <c r="L428"/>
      <c r="M428"/>
      <c r="N428"/>
      <c r="O428"/>
      <c r="P428" s="225"/>
      <c r="Q428" s="225"/>
      <c r="R428"/>
      <c r="S428"/>
      <c r="T428"/>
      <c r="U428"/>
      <c r="V428"/>
      <c r="W428"/>
      <c r="X428"/>
    </row>
    <row r="429" spans="5:24" x14ac:dyDescent="0.3">
      <c r="E429" s="173"/>
      <c r="F429" s="173"/>
      <c r="I429"/>
      <c r="J429"/>
      <c r="K429"/>
      <c r="L429"/>
      <c r="M429"/>
      <c r="N429"/>
      <c r="O429"/>
      <c r="P429" s="225"/>
      <c r="Q429" s="225"/>
      <c r="R429"/>
      <c r="S429"/>
      <c r="T429"/>
      <c r="U429"/>
      <c r="V429"/>
      <c r="W429"/>
      <c r="X429"/>
    </row>
    <row r="430" spans="5:24" x14ac:dyDescent="0.3">
      <c r="E430" s="173"/>
      <c r="F430" s="173"/>
      <c r="I430"/>
      <c r="J430"/>
      <c r="K430"/>
      <c r="L430"/>
      <c r="M430"/>
      <c r="N430"/>
      <c r="O430"/>
      <c r="P430" s="225"/>
      <c r="Q430" s="225"/>
      <c r="R430"/>
      <c r="S430"/>
      <c r="T430"/>
      <c r="U430"/>
      <c r="V430"/>
      <c r="W430"/>
      <c r="X430"/>
    </row>
    <row r="431" spans="5:24" x14ac:dyDescent="0.3">
      <c r="E431" s="173"/>
      <c r="F431" s="173"/>
      <c r="I431"/>
      <c r="J431"/>
      <c r="K431"/>
      <c r="L431"/>
      <c r="M431"/>
      <c r="N431"/>
      <c r="O431"/>
      <c r="P431" s="225"/>
      <c r="Q431" s="225"/>
      <c r="R431"/>
      <c r="S431"/>
      <c r="T431"/>
      <c r="U431"/>
      <c r="V431"/>
      <c r="W431"/>
      <c r="X431"/>
    </row>
    <row r="432" spans="5:24" x14ac:dyDescent="0.3">
      <c r="E432" s="173"/>
      <c r="F432" s="173"/>
      <c r="I432"/>
      <c r="J432"/>
      <c r="K432"/>
      <c r="L432"/>
      <c r="M432"/>
      <c r="N432"/>
      <c r="O432"/>
      <c r="P432" s="225"/>
      <c r="Q432" s="225"/>
      <c r="R432"/>
      <c r="S432"/>
      <c r="T432"/>
      <c r="U432"/>
      <c r="V432"/>
      <c r="W432"/>
      <c r="X432"/>
    </row>
    <row r="433" spans="5:24" x14ac:dyDescent="0.3">
      <c r="E433" s="173"/>
      <c r="F433" s="173"/>
      <c r="I433"/>
      <c r="J433"/>
      <c r="K433"/>
      <c r="L433"/>
      <c r="M433"/>
      <c r="N433"/>
      <c r="O433"/>
      <c r="P433" s="225"/>
      <c r="Q433" s="225"/>
      <c r="R433"/>
      <c r="S433"/>
      <c r="T433"/>
      <c r="U433"/>
      <c r="V433"/>
      <c r="W433"/>
      <c r="X433"/>
    </row>
    <row r="434" spans="5:24" x14ac:dyDescent="0.3">
      <c r="E434" s="173"/>
      <c r="F434" s="173"/>
      <c r="I434"/>
      <c r="J434"/>
      <c r="K434"/>
      <c r="L434"/>
      <c r="M434"/>
      <c r="N434"/>
      <c r="O434"/>
      <c r="P434" s="225"/>
      <c r="Q434" s="225"/>
      <c r="R434"/>
      <c r="S434"/>
      <c r="T434"/>
      <c r="U434"/>
      <c r="V434"/>
      <c r="W434"/>
      <c r="X434"/>
    </row>
    <row r="435" spans="5:24" x14ac:dyDescent="0.3">
      <c r="E435" s="173"/>
      <c r="F435" s="173"/>
      <c r="I435"/>
      <c r="J435"/>
      <c r="K435"/>
      <c r="L435"/>
      <c r="M435"/>
      <c r="N435"/>
      <c r="O435"/>
      <c r="P435" s="225"/>
      <c r="Q435" s="225"/>
      <c r="R435"/>
      <c r="S435"/>
      <c r="T435"/>
      <c r="U435"/>
      <c r="V435"/>
      <c r="W435"/>
      <c r="X435"/>
    </row>
    <row r="436" spans="5:24" x14ac:dyDescent="0.3">
      <c r="E436" s="173"/>
      <c r="F436" s="173"/>
      <c r="I436"/>
      <c r="J436"/>
      <c r="K436"/>
      <c r="L436"/>
      <c r="M436"/>
      <c r="N436"/>
      <c r="O436"/>
      <c r="P436" s="225"/>
      <c r="Q436" s="225"/>
      <c r="R436"/>
      <c r="S436"/>
      <c r="T436"/>
      <c r="U436"/>
      <c r="V436"/>
      <c r="W436"/>
      <c r="X436"/>
    </row>
    <row r="437" spans="5:24" x14ac:dyDescent="0.3">
      <c r="E437" s="173"/>
      <c r="F437" s="173"/>
      <c r="I437"/>
      <c r="J437"/>
      <c r="K437"/>
      <c r="L437"/>
      <c r="M437"/>
      <c r="N437"/>
      <c r="O437"/>
      <c r="P437" s="225"/>
      <c r="Q437" s="225"/>
      <c r="R437"/>
      <c r="S437"/>
      <c r="T437"/>
      <c r="U437"/>
      <c r="V437"/>
      <c r="W437"/>
      <c r="X437"/>
    </row>
    <row r="438" spans="5:24" x14ac:dyDescent="0.3">
      <c r="E438" s="173"/>
      <c r="F438" s="173"/>
      <c r="I438"/>
      <c r="J438"/>
      <c r="K438"/>
      <c r="L438"/>
      <c r="M438"/>
      <c r="N438"/>
      <c r="O438"/>
      <c r="P438" s="225"/>
      <c r="Q438" s="225"/>
      <c r="R438"/>
      <c r="S438"/>
      <c r="T438"/>
      <c r="U438"/>
      <c r="V438"/>
      <c r="W438"/>
      <c r="X438"/>
    </row>
    <row r="439" spans="5:24" x14ac:dyDescent="0.3">
      <c r="E439" s="173"/>
      <c r="F439" s="173"/>
      <c r="I439"/>
      <c r="J439"/>
      <c r="K439"/>
      <c r="L439"/>
      <c r="M439"/>
      <c r="N439"/>
      <c r="O439"/>
      <c r="P439" s="225"/>
      <c r="Q439" s="225"/>
      <c r="R439"/>
      <c r="S439"/>
      <c r="T439"/>
      <c r="U439"/>
      <c r="V439"/>
      <c r="W439"/>
      <c r="X439"/>
    </row>
    <row r="440" spans="5:24" x14ac:dyDescent="0.3">
      <c r="E440" s="173"/>
      <c r="F440" s="173"/>
      <c r="I440"/>
      <c r="J440"/>
      <c r="K440"/>
      <c r="L440"/>
      <c r="M440"/>
      <c r="N440"/>
      <c r="O440"/>
      <c r="P440" s="225"/>
      <c r="Q440" s="225"/>
      <c r="R440"/>
      <c r="S440"/>
      <c r="T440"/>
      <c r="U440"/>
      <c r="V440"/>
      <c r="W440"/>
      <c r="X440"/>
    </row>
    <row r="441" spans="5:24" x14ac:dyDescent="0.3">
      <c r="E441" s="173"/>
      <c r="F441" s="173"/>
      <c r="I441"/>
      <c r="J441"/>
      <c r="K441"/>
      <c r="L441"/>
      <c r="M441"/>
      <c r="N441"/>
      <c r="O441"/>
      <c r="P441" s="225"/>
      <c r="Q441" s="225"/>
      <c r="R441"/>
      <c r="S441"/>
      <c r="T441"/>
      <c r="U441"/>
      <c r="V441"/>
      <c r="W441"/>
      <c r="X441"/>
    </row>
    <row r="442" spans="5:24" x14ac:dyDescent="0.3">
      <c r="E442" s="173"/>
      <c r="F442" s="173"/>
      <c r="I442"/>
      <c r="J442"/>
      <c r="K442"/>
      <c r="L442"/>
      <c r="M442"/>
      <c r="N442"/>
      <c r="O442"/>
      <c r="P442" s="225"/>
      <c r="Q442" s="225"/>
      <c r="R442"/>
      <c r="S442"/>
      <c r="T442"/>
      <c r="U442"/>
      <c r="V442"/>
      <c r="W442"/>
      <c r="X442"/>
    </row>
    <row r="443" spans="5:24" x14ac:dyDescent="0.3">
      <c r="E443" s="173"/>
      <c r="F443" s="173"/>
      <c r="I443"/>
      <c r="J443"/>
      <c r="K443"/>
      <c r="L443"/>
      <c r="M443"/>
      <c r="N443"/>
      <c r="O443"/>
      <c r="P443" s="225"/>
      <c r="Q443" s="225"/>
      <c r="R443"/>
      <c r="S443"/>
      <c r="T443"/>
      <c r="U443"/>
      <c r="V443"/>
      <c r="W443"/>
      <c r="X443"/>
    </row>
    <row r="444" spans="5:24" x14ac:dyDescent="0.3">
      <c r="E444" s="173"/>
      <c r="F444" s="173"/>
      <c r="I444"/>
      <c r="J444"/>
      <c r="K444"/>
      <c r="L444"/>
      <c r="M444"/>
      <c r="N444"/>
      <c r="O444"/>
      <c r="P444" s="225"/>
      <c r="Q444" s="225"/>
      <c r="R444"/>
      <c r="S444"/>
      <c r="T444"/>
      <c r="U444"/>
      <c r="V444"/>
      <c r="W444"/>
      <c r="X444"/>
    </row>
    <row r="445" spans="5:24" x14ac:dyDescent="0.3">
      <c r="E445" s="173"/>
      <c r="F445" s="173"/>
      <c r="I445"/>
      <c r="J445"/>
      <c r="K445"/>
      <c r="L445"/>
      <c r="M445"/>
      <c r="N445"/>
      <c r="O445"/>
      <c r="P445" s="225"/>
      <c r="Q445" s="225"/>
      <c r="R445"/>
      <c r="S445"/>
      <c r="T445"/>
      <c r="U445"/>
      <c r="V445"/>
      <c r="W445"/>
      <c r="X445"/>
    </row>
    <row r="446" spans="5:24" x14ac:dyDescent="0.3">
      <c r="E446" s="173"/>
      <c r="F446" s="173"/>
      <c r="I446"/>
      <c r="J446"/>
      <c r="K446"/>
      <c r="L446"/>
      <c r="M446"/>
      <c r="N446"/>
      <c r="O446"/>
      <c r="P446" s="225"/>
      <c r="Q446" s="225"/>
      <c r="R446"/>
      <c r="S446"/>
      <c r="T446"/>
      <c r="U446"/>
      <c r="V446"/>
      <c r="W446"/>
      <c r="X446"/>
    </row>
    <row r="447" spans="5:24" x14ac:dyDescent="0.3">
      <c r="E447" s="173"/>
      <c r="F447" s="173"/>
      <c r="I447"/>
      <c r="J447"/>
      <c r="K447"/>
      <c r="L447"/>
      <c r="M447"/>
      <c r="N447"/>
      <c r="O447"/>
      <c r="P447" s="225"/>
      <c r="Q447" s="225"/>
      <c r="R447"/>
      <c r="S447"/>
      <c r="T447"/>
      <c r="U447"/>
      <c r="V447"/>
      <c r="W447"/>
      <c r="X447"/>
    </row>
    <row r="448" spans="5:24" x14ac:dyDescent="0.3">
      <c r="E448" s="173"/>
      <c r="F448" s="173"/>
      <c r="I448"/>
      <c r="J448"/>
      <c r="K448"/>
      <c r="L448"/>
      <c r="M448"/>
      <c r="N448"/>
      <c r="O448"/>
      <c r="P448" s="225"/>
      <c r="Q448" s="225"/>
      <c r="R448"/>
      <c r="S448"/>
      <c r="T448"/>
      <c r="U448"/>
      <c r="V448"/>
      <c r="W448"/>
      <c r="X448"/>
    </row>
    <row r="449" spans="5:24" x14ac:dyDescent="0.3">
      <c r="E449" s="173"/>
      <c r="F449" s="173"/>
      <c r="I449"/>
      <c r="J449"/>
      <c r="K449"/>
      <c r="L449"/>
      <c r="M449"/>
      <c r="N449"/>
      <c r="O449"/>
      <c r="P449" s="225"/>
      <c r="Q449" s="225"/>
      <c r="R449"/>
      <c r="S449"/>
      <c r="T449"/>
      <c r="U449"/>
      <c r="V449"/>
      <c r="W449"/>
      <c r="X449"/>
    </row>
    <row r="450" spans="5:24" x14ac:dyDescent="0.3">
      <c r="E450" s="173"/>
      <c r="F450" s="173"/>
      <c r="I450"/>
      <c r="J450"/>
      <c r="K450"/>
      <c r="L450"/>
      <c r="M450"/>
      <c r="N450"/>
      <c r="O450"/>
      <c r="P450" s="225"/>
      <c r="Q450" s="225"/>
      <c r="R450"/>
      <c r="S450"/>
      <c r="T450"/>
      <c r="U450"/>
      <c r="V450"/>
      <c r="W450"/>
      <c r="X450"/>
    </row>
    <row r="451" spans="5:24" x14ac:dyDescent="0.3">
      <c r="E451" s="173"/>
      <c r="F451" s="173"/>
      <c r="I451"/>
      <c r="J451"/>
      <c r="K451"/>
      <c r="L451"/>
      <c r="M451"/>
      <c r="N451"/>
      <c r="O451"/>
      <c r="P451" s="225"/>
      <c r="Q451" s="225"/>
      <c r="R451"/>
      <c r="S451"/>
      <c r="T451"/>
      <c r="U451"/>
      <c r="V451"/>
      <c r="W451"/>
      <c r="X451"/>
    </row>
    <row r="452" spans="5:24" x14ac:dyDescent="0.3">
      <c r="E452" s="173"/>
      <c r="F452" s="173"/>
      <c r="I452"/>
      <c r="J452"/>
      <c r="K452"/>
      <c r="L452"/>
      <c r="M452"/>
      <c r="N452"/>
      <c r="O452"/>
      <c r="P452" s="225"/>
      <c r="Q452" s="225"/>
      <c r="R452"/>
      <c r="S452"/>
      <c r="T452"/>
      <c r="U452"/>
      <c r="V452"/>
      <c r="W452"/>
      <c r="X452"/>
    </row>
    <row r="453" spans="5:24" x14ac:dyDescent="0.3">
      <c r="E453" s="173"/>
      <c r="F453" s="173"/>
      <c r="I453"/>
      <c r="J453"/>
      <c r="K453"/>
      <c r="L453"/>
      <c r="M453"/>
      <c r="N453"/>
      <c r="O453"/>
      <c r="P453" s="225"/>
      <c r="Q453" s="225"/>
      <c r="R453"/>
      <c r="S453"/>
      <c r="T453"/>
      <c r="U453"/>
      <c r="V453"/>
      <c r="W453"/>
      <c r="X453"/>
    </row>
    <row r="454" spans="5:24" x14ac:dyDescent="0.3">
      <c r="E454" s="173"/>
      <c r="F454" s="173"/>
      <c r="I454"/>
      <c r="J454"/>
      <c r="K454"/>
      <c r="L454"/>
      <c r="M454"/>
      <c r="N454"/>
      <c r="O454"/>
      <c r="P454" s="225"/>
      <c r="Q454" s="225"/>
      <c r="R454"/>
      <c r="S454"/>
      <c r="T454"/>
      <c r="U454"/>
      <c r="V454"/>
      <c r="W454"/>
      <c r="X454"/>
    </row>
    <row r="455" spans="5:24" x14ac:dyDescent="0.3">
      <c r="E455" s="173"/>
      <c r="F455" s="173"/>
      <c r="I455"/>
      <c r="J455"/>
      <c r="K455"/>
      <c r="L455"/>
      <c r="M455"/>
      <c r="N455"/>
      <c r="O455"/>
      <c r="P455" s="225"/>
      <c r="Q455" s="225"/>
      <c r="R455"/>
      <c r="S455"/>
      <c r="T455"/>
      <c r="U455"/>
      <c r="V455"/>
      <c r="W455"/>
      <c r="X455"/>
    </row>
    <row r="456" spans="5:24" x14ac:dyDescent="0.3">
      <c r="E456" s="173"/>
      <c r="F456" s="173"/>
      <c r="I456"/>
      <c r="J456"/>
      <c r="K456"/>
      <c r="L456"/>
      <c r="M456"/>
      <c r="N456"/>
      <c r="O456"/>
      <c r="P456" s="225"/>
      <c r="Q456" s="225"/>
      <c r="R456"/>
      <c r="S456"/>
      <c r="T456"/>
      <c r="U456"/>
      <c r="V456"/>
      <c r="W456"/>
      <c r="X456"/>
    </row>
    <row r="457" spans="5:24" x14ac:dyDescent="0.3">
      <c r="E457" s="173"/>
      <c r="F457" s="173"/>
      <c r="I457"/>
      <c r="J457"/>
      <c r="K457"/>
      <c r="L457"/>
      <c r="M457"/>
      <c r="N457"/>
      <c r="O457"/>
      <c r="P457" s="225"/>
      <c r="Q457" s="225"/>
      <c r="R457"/>
      <c r="S457"/>
      <c r="T457"/>
      <c r="U457"/>
      <c r="V457"/>
      <c r="W457"/>
      <c r="X457"/>
    </row>
    <row r="458" spans="5:24" x14ac:dyDescent="0.3">
      <c r="E458" s="173"/>
      <c r="F458" s="173"/>
      <c r="I458"/>
      <c r="J458"/>
      <c r="K458"/>
      <c r="L458"/>
      <c r="M458"/>
      <c r="N458"/>
      <c r="O458"/>
      <c r="P458" s="225"/>
      <c r="Q458" s="225"/>
      <c r="R458"/>
      <c r="S458"/>
      <c r="T458"/>
      <c r="U458"/>
      <c r="V458"/>
      <c r="W458"/>
      <c r="X458"/>
    </row>
    <row r="459" spans="5:24" x14ac:dyDescent="0.3">
      <c r="E459" s="173"/>
      <c r="F459" s="173"/>
      <c r="I459"/>
      <c r="J459"/>
      <c r="K459"/>
      <c r="L459"/>
      <c r="M459"/>
      <c r="N459"/>
      <c r="O459"/>
      <c r="P459" s="225"/>
      <c r="Q459" s="225"/>
      <c r="R459"/>
      <c r="S459"/>
      <c r="T459"/>
      <c r="U459"/>
      <c r="V459"/>
      <c r="W459"/>
      <c r="X459"/>
    </row>
    <row r="460" spans="5:24" x14ac:dyDescent="0.3">
      <c r="E460" s="173"/>
      <c r="F460" s="173"/>
      <c r="I460"/>
      <c r="J460"/>
      <c r="K460"/>
      <c r="L460"/>
      <c r="M460"/>
      <c r="N460"/>
      <c r="O460"/>
      <c r="P460" s="225"/>
      <c r="Q460" s="225"/>
      <c r="R460"/>
      <c r="S460"/>
      <c r="T460"/>
      <c r="U460"/>
      <c r="V460"/>
      <c r="W460"/>
      <c r="X460"/>
    </row>
    <row r="461" spans="5:24" x14ac:dyDescent="0.3">
      <c r="E461" s="173"/>
      <c r="F461" s="173"/>
      <c r="I461"/>
      <c r="J461"/>
      <c r="K461"/>
      <c r="L461"/>
      <c r="M461"/>
      <c r="N461"/>
      <c r="O461"/>
      <c r="P461" s="225"/>
      <c r="Q461" s="225"/>
      <c r="R461"/>
      <c r="S461"/>
      <c r="T461"/>
      <c r="U461"/>
      <c r="V461"/>
      <c r="W461"/>
      <c r="X461"/>
    </row>
    <row r="462" spans="5:24" x14ac:dyDescent="0.3">
      <c r="E462" s="173"/>
      <c r="F462" s="173"/>
      <c r="I462"/>
      <c r="J462"/>
      <c r="K462"/>
      <c r="L462"/>
      <c r="M462"/>
      <c r="N462"/>
      <c r="O462"/>
      <c r="P462" s="225"/>
      <c r="Q462" s="225"/>
      <c r="R462"/>
      <c r="S462"/>
      <c r="T462"/>
      <c r="U462"/>
      <c r="V462"/>
      <c r="W462"/>
      <c r="X462"/>
    </row>
    <row r="463" spans="5:24" x14ac:dyDescent="0.3">
      <c r="E463" s="173"/>
      <c r="F463" s="173"/>
      <c r="I463"/>
      <c r="J463"/>
      <c r="K463"/>
      <c r="L463"/>
      <c r="M463"/>
      <c r="N463"/>
      <c r="O463"/>
      <c r="P463" s="225"/>
      <c r="Q463" s="225"/>
      <c r="R463"/>
      <c r="S463"/>
      <c r="T463"/>
      <c r="U463"/>
      <c r="V463"/>
      <c r="W463"/>
      <c r="X463"/>
    </row>
    <row r="464" spans="5:24" x14ac:dyDescent="0.3">
      <c r="E464" s="173"/>
      <c r="F464" s="173"/>
      <c r="I464"/>
      <c r="J464"/>
      <c r="K464"/>
      <c r="L464"/>
      <c r="M464"/>
      <c r="N464"/>
      <c r="O464"/>
      <c r="P464" s="225"/>
      <c r="Q464" s="225"/>
      <c r="R464"/>
      <c r="S464"/>
      <c r="T464"/>
      <c r="U464"/>
      <c r="V464"/>
      <c r="W464"/>
      <c r="X464"/>
    </row>
    <row r="465" spans="5:24" x14ac:dyDescent="0.3">
      <c r="E465" s="173"/>
      <c r="F465" s="173"/>
      <c r="I465"/>
      <c r="J465"/>
      <c r="K465"/>
      <c r="L465"/>
      <c r="M465"/>
      <c r="N465"/>
      <c r="O465"/>
      <c r="P465" s="225"/>
      <c r="Q465" s="225"/>
      <c r="R465"/>
      <c r="S465"/>
      <c r="T465"/>
      <c r="U465"/>
      <c r="V465"/>
      <c r="W465"/>
      <c r="X465"/>
    </row>
    <row r="466" spans="5:24" x14ac:dyDescent="0.3">
      <c r="E466" s="173"/>
      <c r="F466" s="173"/>
      <c r="I466"/>
      <c r="J466"/>
      <c r="K466"/>
      <c r="L466"/>
      <c r="M466"/>
      <c r="N466"/>
      <c r="O466"/>
      <c r="P466" s="225"/>
      <c r="Q466" s="225"/>
      <c r="R466"/>
      <c r="S466"/>
      <c r="T466"/>
      <c r="U466"/>
      <c r="V466"/>
      <c r="W466"/>
      <c r="X466"/>
    </row>
    <row r="467" spans="5:24" x14ac:dyDescent="0.3">
      <c r="E467" s="173"/>
      <c r="F467" s="173"/>
      <c r="I467"/>
      <c r="J467"/>
      <c r="K467"/>
      <c r="L467"/>
      <c r="M467"/>
      <c r="N467"/>
      <c r="O467"/>
      <c r="P467" s="225"/>
      <c r="Q467" s="225"/>
      <c r="R467"/>
      <c r="S467"/>
      <c r="T467"/>
      <c r="U467"/>
      <c r="V467"/>
      <c r="W467"/>
      <c r="X467"/>
    </row>
    <row r="468" spans="5:24" x14ac:dyDescent="0.3">
      <c r="E468" s="173"/>
      <c r="F468" s="173"/>
      <c r="I468"/>
      <c r="J468"/>
      <c r="K468"/>
      <c r="L468"/>
      <c r="M468"/>
      <c r="N468"/>
      <c r="O468"/>
      <c r="P468" s="225"/>
      <c r="Q468" s="225"/>
      <c r="R468"/>
      <c r="S468"/>
      <c r="T468"/>
      <c r="U468"/>
      <c r="V468"/>
      <c r="W468"/>
      <c r="X468"/>
    </row>
    <row r="469" spans="5:24" x14ac:dyDescent="0.3">
      <c r="E469" s="173"/>
      <c r="F469" s="173"/>
      <c r="I469"/>
      <c r="J469"/>
      <c r="K469"/>
      <c r="L469"/>
      <c r="M469"/>
      <c r="N469"/>
      <c r="O469"/>
      <c r="P469" s="225"/>
      <c r="Q469" s="225"/>
      <c r="R469"/>
      <c r="S469"/>
      <c r="T469"/>
      <c r="U469"/>
      <c r="V469"/>
      <c r="W469"/>
      <c r="X469"/>
    </row>
    <row r="470" spans="5:24" x14ac:dyDescent="0.3">
      <c r="E470" s="173"/>
      <c r="F470" s="173"/>
      <c r="I470"/>
      <c r="J470"/>
      <c r="K470"/>
      <c r="L470"/>
      <c r="M470"/>
      <c r="N470"/>
      <c r="O470"/>
      <c r="P470" s="225"/>
      <c r="Q470" s="225"/>
      <c r="R470"/>
      <c r="S470"/>
      <c r="T470"/>
      <c r="U470"/>
      <c r="V470"/>
      <c r="W470"/>
      <c r="X470"/>
    </row>
    <row r="471" spans="5:24" x14ac:dyDescent="0.3">
      <c r="E471" s="173"/>
      <c r="F471" s="173"/>
      <c r="I471"/>
      <c r="J471"/>
      <c r="K471"/>
      <c r="L471"/>
      <c r="M471"/>
      <c r="N471"/>
      <c r="O471"/>
      <c r="P471" s="225"/>
      <c r="Q471" s="225"/>
      <c r="R471"/>
      <c r="S471"/>
      <c r="T471"/>
      <c r="U471"/>
      <c r="V471"/>
      <c r="W471"/>
      <c r="X471"/>
    </row>
    <row r="472" spans="5:24" x14ac:dyDescent="0.3">
      <c r="E472" s="173"/>
      <c r="F472" s="173"/>
      <c r="I472"/>
      <c r="J472"/>
      <c r="K472"/>
      <c r="L472"/>
      <c r="M472"/>
      <c r="N472"/>
      <c r="O472"/>
      <c r="P472" s="225"/>
      <c r="Q472" s="225"/>
      <c r="R472"/>
      <c r="S472"/>
      <c r="T472"/>
      <c r="U472"/>
      <c r="V472"/>
      <c r="W472"/>
      <c r="X472"/>
    </row>
    <row r="473" spans="5:24" x14ac:dyDescent="0.3">
      <c r="E473" s="173"/>
      <c r="F473" s="173"/>
      <c r="I473"/>
      <c r="J473"/>
      <c r="K473"/>
      <c r="L473"/>
      <c r="M473"/>
      <c r="N473"/>
      <c r="O473"/>
      <c r="P473" s="225"/>
      <c r="Q473" s="225"/>
      <c r="R473"/>
      <c r="S473"/>
      <c r="T473"/>
      <c r="U473"/>
      <c r="V473"/>
      <c r="W473"/>
      <c r="X473"/>
    </row>
    <row r="474" spans="5:24" x14ac:dyDescent="0.3">
      <c r="E474" s="173"/>
      <c r="F474" s="173"/>
      <c r="I474"/>
      <c r="J474"/>
      <c r="K474"/>
      <c r="L474"/>
      <c r="M474"/>
      <c r="N474"/>
      <c r="O474"/>
      <c r="P474" s="225"/>
      <c r="Q474" s="225"/>
      <c r="R474"/>
      <c r="S474"/>
      <c r="T474"/>
      <c r="U474"/>
      <c r="V474"/>
      <c r="W474"/>
      <c r="X474"/>
    </row>
    <row r="475" spans="5:24" x14ac:dyDescent="0.3">
      <c r="E475" s="173"/>
      <c r="F475" s="173"/>
      <c r="I475"/>
      <c r="J475"/>
      <c r="K475"/>
      <c r="L475"/>
      <c r="M475"/>
      <c r="N475"/>
      <c r="O475"/>
      <c r="P475" s="225"/>
      <c r="Q475" s="225"/>
      <c r="R475"/>
      <c r="S475"/>
      <c r="T475"/>
      <c r="U475"/>
      <c r="V475"/>
      <c r="W475"/>
      <c r="X475"/>
    </row>
    <row r="476" spans="5:24" x14ac:dyDescent="0.3">
      <c r="E476" s="173"/>
      <c r="F476" s="173"/>
      <c r="I476"/>
      <c r="J476"/>
      <c r="K476"/>
      <c r="L476"/>
      <c r="M476"/>
      <c r="N476"/>
      <c r="O476"/>
      <c r="P476" s="225"/>
      <c r="Q476" s="225"/>
      <c r="R476"/>
      <c r="S476"/>
      <c r="T476"/>
      <c r="U476"/>
      <c r="V476"/>
      <c r="W476"/>
      <c r="X476"/>
    </row>
    <row r="477" spans="5:24" x14ac:dyDescent="0.3">
      <c r="E477" s="173"/>
      <c r="F477" s="173"/>
      <c r="I477"/>
      <c r="J477"/>
      <c r="K477"/>
      <c r="L477"/>
      <c r="M477"/>
      <c r="N477"/>
      <c r="O477"/>
      <c r="P477" s="225"/>
      <c r="Q477" s="225"/>
      <c r="R477"/>
      <c r="S477"/>
      <c r="T477"/>
      <c r="U477"/>
      <c r="V477"/>
      <c r="W477"/>
      <c r="X477"/>
    </row>
    <row r="478" spans="5:24" x14ac:dyDescent="0.3">
      <c r="E478" s="173"/>
      <c r="F478" s="173"/>
      <c r="I478"/>
      <c r="J478"/>
      <c r="K478"/>
      <c r="L478"/>
      <c r="M478"/>
      <c r="N478"/>
      <c r="O478"/>
      <c r="P478" s="225"/>
      <c r="Q478" s="225"/>
      <c r="R478"/>
      <c r="S478"/>
      <c r="T478"/>
      <c r="U478"/>
      <c r="V478"/>
      <c r="W478"/>
      <c r="X478"/>
    </row>
    <row r="479" spans="5:24" x14ac:dyDescent="0.3">
      <c r="E479" s="173"/>
      <c r="F479" s="173"/>
      <c r="I479"/>
      <c r="J479"/>
      <c r="K479"/>
      <c r="L479"/>
      <c r="M479"/>
      <c r="N479"/>
      <c r="O479"/>
      <c r="P479" s="225"/>
      <c r="Q479" s="225"/>
      <c r="R479"/>
      <c r="S479"/>
      <c r="T479"/>
      <c r="U479"/>
      <c r="V479"/>
      <c r="W479"/>
      <c r="X479"/>
    </row>
    <row r="480" spans="5:24" x14ac:dyDescent="0.3">
      <c r="E480" s="173"/>
      <c r="F480" s="173"/>
      <c r="I480"/>
      <c r="J480"/>
      <c r="K480"/>
      <c r="L480"/>
      <c r="M480"/>
      <c r="N480"/>
      <c r="O480"/>
      <c r="P480" s="225"/>
      <c r="Q480" s="225"/>
      <c r="R480"/>
      <c r="S480"/>
      <c r="T480"/>
      <c r="U480"/>
      <c r="V480"/>
      <c r="W480"/>
      <c r="X480"/>
    </row>
    <row r="481" spans="5:24" x14ac:dyDescent="0.3">
      <c r="E481" s="173"/>
      <c r="F481" s="173"/>
      <c r="I481"/>
      <c r="J481"/>
      <c r="K481"/>
      <c r="L481"/>
      <c r="M481"/>
      <c r="N481"/>
      <c r="O481"/>
      <c r="P481" s="225"/>
      <c r="Q481" s="225"/>
      <c r="R481"/>
      <c r="S481"/>
      <c r="T481"/>
      <c r="U481"/>
      <c r="V481"/>
      <c r="W481"/>
      <c r="X481"/>
    </row>
    <row r="482" spans="5:24" x14ac:dyDescent="0.3">
      <c r="E482" s="173"/>
      <c r="F482" s="173"/>
      <c r="I482"/>
      <c r="J482"/>
      <c r="K482"/>
      <c r="L482"/>
      <c r="M482"/>
      <c r="N482"/>
      <c r="O482"/>
      <c r="P482" s="225"/>
      <c r="Q482" s="225"/>
      <c r="R482"/>
      <c r="S482"/>
      <c r="T482"/>
      <c r="U482"/>
      <c r="V482"/>
      <c r="W482"/>
      <c r="X482"/>
    </row>
    <row r="483" spans="5:24" x14ac:dyDescent="0.3">
      <c r="E483" s="173"/>
      <c r="F483" s="173"/>
      <c r="I483"/>
      <c r="J483"/>
      <c r="K483"/>
      <c r="L483"/>
      <c r="M483"/>
      <c r="N483"/>
      <c r="O483"/>
      <c r="P483" s="225"/>
      <c r="Q483" s="225"/>
      <c r="R483"/>
      <c r="S483"/>
      <c r="T483"/>
      <c r="U483"/>
      <c r="V483"/>
      <c r="W483"/>
      <c r="X483"/>
    </row>
    <row r="484" spans="5:24" x14ac:dyDescent="0.3">
      <c r="E484" s="173"/>
      <c r="F484" s="173"/>
      <c r="I484"/>
      <c r="J484"/>
      <c r="K484"/>
      <c r="L484"/>
      <c r="M484"/>
      <c r="N484"/>
      <c r="O484"/>
      <c r="P484" s="225"/>
      <c r="Q484" s="225"/>
      <c r="R484"/>
      <c r="S484"/>
      <c r="T484"/>
      <c r="U484"/>
      <c r="V484"/>
      <c r="W484"/>
      <c r="X484"/>
    </row>
    <row r="485" spans="5:24" x14ac:dyDescent="0.3">
      <c r="E485" s="173"/>
      <c r="F485" s="173"/>
      <c r="I485"/>
      <c r="J485"/>
      <c r="K485"/>
      <c r="L485"/>
      <c r="M485"/>
      <c r="N485"/>
      <c r="O485"/>
      <c r="P485" s="225"/>
      <c r="Q485" s="225"/>
      <c r="R485"/>
      <c r="S485"/>
      <c r="T485"/>
      <c r="U485"/>
      <c r="V485"/>
      <c r="W485"/>
      <c r="X485"/>
    </row>
    <row r="486" spans="5:24" x14ac:dyDescent="0.3">
      <c r="E486" s="173"/>
      <c r="F486" s="173"/>
      <c r="I486"/>
      <c r="J486"/>
      <c r="K486"/>
      <c r="L486"/>
      <c r="M486"/>
      <c r="N486"/>
      <c r="O486"/>
      <c r="P486" s="225"/>
      <c r="Q486" s="225"/>
      <c r="R486"/>
      <c r="S486"/>
      <c r="T486"/>
      <c r="U486"/>
      <c r="V486"/>
      <c r="W486"/>
      <c r="X486"/>
    </row>
    <row r="487" spans="5:24" x14ac:dyDescent="0.3">
      <c r="E487" s="173"/>
      <c r="F487" s="173"/>
      <c r="I487"/>
      <c r="J487"/>
      <c r="K487"/>
      <c r="L487"/>
      <c r="M487"/>
      <c r="N487"/>
      <c r="O487"/>
      <c r="P487" s="225"/>
      <c r="Q487" s="225"/>
      <c r="R487"/>
      <c r="S487"/>
      <c r="T487"/>
      <c r="U487"/>
      <c r="V487"/>
      <c r="W487"/>
      <c r="X487"/>
    </row>
    <row r="488" spans="5:24" x14ac:dyDescent="0.3">
      <c r="E488" s="173"/>
      <c r="F488" s="173"/>
      <c r="I488"/>
      <c r="J488"/>
      <c r="K488"/>
      <c r="L488"/>
      <c r="M488"/>
      <c r="N488"/>
      <c r="O488"/>
      <c r="P488" s="225"/>
      <c r="Q488" s="225"/>
      <c r="R488"/>
      <c r="S488"/>
      <c r="T488"/>
      <c r="U488"/>
      <c r="V488"/>
      <c r="W488"/>
      <c r="X488"/>
    </row>
    <row r="489" spans="5:24" x14ac:dyDescent="0.3">
      <c r="E489" s="173"/>
      <c r="F489" s="173"/>
      <c r="I489"/>
      <c r="J489"/>
      <c r="K489"/>
      <c r="L489"/>
      <c r="M489"/>
      <c r="N489"/>
      <c r="O489"/>
      <c r="P489" s="225"/>
      <c r="Q489" s="225"/>
      <c r="R489"/>
      <c r="S489"/>
      <c r="T489"/>
      <c r="U489"/>
      <c r="V489"/>
      <c r="W489"/>
      <c r="X489"/>
    </row>
    <row r="490" spans="5:24" x14ac:dyDescent="0.3">
      <c r="E490" s="173"/>
      <c r="F490" s="173"/>
      <c r="I490"/>
      <c r="J490"/>
      <c r="K490"/>
      <c r="L490"/>
      <c r="M490"/>
      <c r="N490"/>
      <c r="O490"/>
      <c r="P490" s="225"/>
      <c r="Q490" s="225"/>
      <c r="R490"/>
      <c r="S490"/>
      <c r="T490"/>
      <c r="U490"/>
      <c r="V490"/>
      <c r="W490"/>
      <c r="X490"/>
    </row>
    <row r="491" spans="5:24" x14ac:dyDescent="0.3">
      <c r="E491" s="173"/>
      <c r="F491" s="173"/>
      <c r="I491"/>
      <c r="J491"/>
      <c r="K491"/>
      <c r="L491"/>
      <c r="M491"/>
      <c r="N491"/>
      <c r="O491"/>
      <c r="P491" s="225"/>
      <c r="Q491" s="225"/>
      <c r="R491"/>
      <c r="S491"/>
      <c r="T491"/>
      <c r="U491"/>
      <c r="V491"/>
      <c r="W491"/>
      <c r="X491"/>
    </row>
    <row r="492" spans="5:24" x14ac:dyDescent="0.3">
      <c r="E492" s="173"/>
      <c r="F492" s="173"/>
      <c r="I492"/>
      <c r="J492"/>
      <c r="K492"/>
      <c r="L492"/>
      <c r="M492"/>
      <c r="N492"/>
      <c r="O492"/>
      <c r="P492" s="225"/>
      <c r="Q492" s="225"/>
      <c r="R492"/>
      <c r="S492"/>
      <c r="T492"/>
      <c r="U492"/>
      <c r="V492"/>
      <c r="W492"/>
      <c r="X492"/>
    </row>
    <row r="493" spans="5:24" x14ac:dyDescent="0.3">
      <c r="E493" s="173"/>
      <c r="F493" s="173"/>
      <c r="I493"/>
      <c r="J493"/>
      <c r="K493"/>
      <c r="L493"/>
      <c r="M493"/>
      <c r="N493"/>
      <c r="O493"/>
      <c r="P493" s="225"/>
      <c r="Q493" s="225"/>
      <c r="R493"/>
      <c r="S493"/>
      <c r="T493"/>
      <c r="U493"/>
      <c r="V493"/>
      <c r="W493"/>
      <c r="X493"/>
    </row>
    <row r="494" spans="5:24" x14ac:dyDescent="0.3">
      <c r="E494" s="173"/>
      <c r="F494" s="173"/>
      <c r="I494"/>
      <c r="J494"/>
      <c r="K494"/>
      <c r="L494"/>
      <c r="M494"/>
      <c r="N494"/>
      <c r="O494"/>
      <c r="P494" s="225"/>
      <c r="Q494" s="225"/>
      <c r="R494"/>
      <c r="S494"/>
      <c r="T494"/>
      <c r="U494"/>
      <c r="V494"/>
      <c r="W494"/>
      <c r="X494"/>
    </row>
    <row r="495" spans="5:24" x14ac:dyDescent="0.3">
      <c r="E495" s="173"/>
      <c r="F495" s="173"/>
      <c r="I495"/>
      <c r="J495"/>
      <c r="K495"/>
      <c r="L495"/>
      <c r="M495"/>
      <c r="N495"/>
      <c r="O495"/>
      <c r="P495" s="225"/>
      <c r="Q495" s="225"/>
      <c r="R495"/>
      <c r="S495"/>
      <c r="T495"/>
      <c r="U495"/>
      <c r="V495"/>
      <c r="W495"/>
      <c r="X495"/>
    </row>
    <row r="496" spans="5:24" x14ac:dyDescent="0.3">
      <c r="E496" s="173"/>
      <c r="F496" s="173"/>
      <c r="I496"/>
      <c r="J496"/>
      <c r="K496"/>
      <c r="L496"/>
      <c r="M496"/>
      <c r="N496"/>
      <c r="O496"/>
      <c r="P496" s="225"/>
      <c r="Q496" s="225"/>
      <c r="R496"/>
      <c r="S496"/>
      <c r="T496"/>
      <c r="U496"/>
      <c r="V496"/>
      <c r="W496"/>
      <c r="X496"/>
    </row>
    <row r="497" spans="5:24" x14ac:dyDescent="0.3">
      <c r="E497" s="173"/>
      <c r="F497" s="173"/>
      <c r="I497"/>
      <c r="J497"/>
      <c r="K497"/>
      <c r="L497"/>
      <c r="M497"/>
      <c r="N497"/>
      <c r="O497"/>
      <c r="P497" s="225"/>
      <c r="Q497" s="225"/>
      <c r="R497"/>
      <c r="S497"/>
      <c r="T497"/>
      <c r="U497"/>
      <c r="V497"/>
      <c r="W497"/>
      <c r="X497"/>
    </row>
    <row r="498" spans="5:24" x14ac:dyDescent="0.3">
      <c r="E498" s="173"/>
      <c r="F498" s="173"/>
      <c r="I498"/>
      <c r="J498"/>
      <c r="K498"/>
      <c r="L498"/>
      <c r="M498"/>
      <c r="N498"/>
      <c r="O498"/>
      <c r="P498" s="225"/>
      <c r="Q498" s="225"/>
      <c r="R498"/>
      <c r="S498"/>
      <c r="T498"/>
      <c r="U498"/>
      <c r="V498"/>
      <c r="W498"/>
      <c r="X498"/>
    </row>
    <row r="499" spans="5:24" x14ac:dyDescent="0.3">
      <c r="E499" s="173"/>
      <c r="F499" s="173"/>
      <c r="I499"/>
      <c r="J499"/>
      <c r="K499"/>
      <c r="L499"/>
      <c r="M499"/>
      <c r="N499"/>
      <c r="O499"/>
      <c r="P499" s="225"/>
      <c r="Q499" s="225"/>
      <c r="R499"/>
      <c r="S499"/>
      <c r="T499"/>
      <c r="U499"/>
      <c r="V499"/>
      <c r="W499"/>
      <c r="X499"/>
    </row>
    <row r="500" spans="5:24" x14ac:dyDescent="0.3">
      <c r="E500" s="173"/>
      <c r="F500" s="173"/>
      <c r="I500"/>
      <c r="J500"/>
      <c r="K500"/>
      <c r="L500"/>
      <c r="M500"/>
      <c r="N500"/>
      <c r="O500"/>
      <c r="P500" s="225"/>
      <c r="Q500" s="225"/>
      <c r="R500"/>
      <c r="S500"/>
      <c r="T500"/>
      <c r="U500"/>
      <c r="V500"/>
      <c r="W500"/>
      <c r="X500"/>
    </row>
    <row r="501" spans="5:24" x14ac:dyDescent="0.3">
      <c r="E501" s="173"/>
      <c r="F501" s="173"/>
      <c r="I501"/>
      <c r="J501"/>
      <c r="K501"/>
      <c r="L501"/>
      <c r="M501"/>
      <c r="N501"/>
      <c r="O501"/>
      <c r="P501" s="225"/>
      <c r="Q501" s="225"/>
      <c r="R501"/>
      <c r="S501"/>
      <c r="T501"/>
      <c r="U501"/>
      <c r="V501"/>
      <c r="W501"/>
      <c r="X501"/>
    </row>
    <row r="502" spans="5:24" x14ac:dyDescent="0.3">
      <c r="E502" s="173"/>
      <c r="F502" s="173"/>
      <c r="I502"/>
      <c r="J502"/>
      <c r="K502"/>
      <c r="L502"/>
      <c r="M502"/>
      <c r="N502"/>
      <c r="O502"/>
      <c r="P502" s="225"/>
      <c r="Q502" s="225"/>
      <c r="R502"/>
      <c r="S502"/>
      <c r="T502"/>
      <c r="U502"/>
      <c r="V502"/>
      <c r="W502"/>
      <c r="X502"/>
    </row>
    <row r="503" spans="5:24" x14ac:dyDescent="0.3">
      <c r="E503" s="173"/>
      <c r="F503" s="173"/>
      <c r="I503"/>
      <c r="J503"/>
      <c r="K503"/>
      <c r="L503"/>
      <c r="M503"/>
      <c r="N503"/>
      <c r="O503"/>
      <c r="P503" s="225"/>
      <c r="Q503" s="225"/>
      <c r="R503"/>
      <c r="S503"/>
      <c r="T503"/>
      <c r="U503"/>
      <c r="V503"/>
      <c r="W503"/>
      <c r="X503"/>
    </row>
    <row r="504" spans="5:24" x14ac:dyDescent="0.3">
      <c r="E504" s="173"/>
      <c r="F504" s="173"/>
      <c r="I504"/>
      <c r="J504"/>
      <c r="K504"/>
      <c r="L504"/>
      <c r="M504"/>
      <c r="N504"/>
      <c r="O504"/>
      <c r="P504" s="225"/>
      <c r="Q504" s="225"/>
      <c r="R504"/>
      <c r="S504"/>
      <c r="T504"/>
      <c r="U504"/>
      <c r="V504"/>
      <c r="W504"/>
      <c r="X504"/>
    </row>
    <row r="505" spans="5:24" x14ac:dyDescent="0.3">
      <c r="E505" s="173"/>
      <c r="F505" s="173"/>
      <c r="I505"/>
      <c r="J505"/>
      <c r="K505"/>
      <c r="L505"/>
      <c r="M505"/>
      <c r="N505"/>
      <c r="O505"/>
      <c r="P505" s="225"/>
      <c r="Q505" s="225"/>
      <c r="R505"/>
      <c r="S505"/>
      <c r="T505"/>
      <c r="U505"/>
      <c r="V505"/>
      <c r="W505"/>
      <c r="X505"/>
    </row>
    <row r="506" spans="5:24" x14ac:dyDescent="0.3">
      <c r="E506" s="173"/>
      <c r="F506" s="173"/>
      <c r="I506"/>
      <c r="J506"/>
      <c r="K506"/>
      <c r="L506"/>
      <c r="M506"/>
      <c r="N506"/>
      <c r="O506"/>
      <c r="P506" s="225"/>
      <c r="Q506" s="225"/>
      <c r="R506"/>
      <c r="S506"/>
      <c r="T506"/>
      <c r="U506"/>
      <c r="V506"/>
      <c r="W506"/>
      <c r="X506"/>
    </row>
    <row r="507" spans="5:24" x14ac:dyDescent="0.3">
      <c r="E507" s="173"/>
      <c r="F507" s="173"/>
      <c r="I507"/>
      <c r="J507"/>
      <c r="K507"/>
      <c r="L507"/>
      <c r="M507"/>
      <c r="N507"/>
      <c r="O507"/>
      <c r="P507" s="225"/>
      <c r="Q507" s="225"/>
      <c r="R507"/>
      <c r="S507"/>
      <c r="T507"/>
      <c r="U507"/>
      <c r="V507"/>
      <c r="W507"/>
      <c r="X507"/>
    </row>
    <row r="508" spans="5:24" x14ac:dyDescent="0.3">
      <c r="E508" s="173"/>
      <c r="F508" s="173"/>
      <c r="I508"/>
      <c r="J508"/>
      <c r="K508"/>
      <c r="L508"/>
      <c r="M508"/>
      <c r="N508"/>
      <c r="O508"/>
      <c r="P508" s="225"/>
      <c r="Q508" s="225"/>
      <c r="R508"/>
      <c r="S508"/>
      <c r="T508"/>
      <c r="U508"/>
      <c r="V508"/>
      <c r="W508"/>
      <c r="X508"/>
    </row>
    <row r="509" spans="5:24" x14ac:dyDescent="0.3">
      <c r="E509" s="173"/>
      <c r="F509" s="173"/>
      <c r="I509"/>
      <c r="J509"/>
      <c r="K509"/>
      <c r="L509"/>
      <c r="M509"/>
      <c r="N509"/>
      <c r="O509"/>
      <c r="P509" s="225"/>
      <c r="Q509" s="225"/>
      <c r="R509"/>
      <c r="S509"/>
      <c r="T509"/>
      <c r="U509"/>
      <c r="V509"/>
      <c r="W509"/>
      <c r="X509"/>
    </row>
    <row r="510" spans="5:24" x14ac:dyDescent="0.3">
      <c r="E510" s="173"/>
      <c r="F510" s="173"/>
      <c r="I510"/>
      <c r="J510"/>
      <c r="K510"/>
      <c r="L510"/>
      <c r="M510"/>
      <c r="N510"/>
      <c r="O510"/>
      <c r="P510" s="225"/>
      <c r="Q510" s="225"/>
      <c r="R510"/>
      <c r="S510"/>
      <c r="T510"/>
      <c r="U510"/>
      <c r="V510"/>
      <c r="W510"/>
      <c r="X510"/>
    </row>
    <row r="511" spans="5:24" x14ac:dyDescent="0.3">
      <c r="E511" s="173"/>
      <c r="F511" s="173"/>
      <c r="I511"/>
      <c r="J511"/>
      <c r="K511"/>
      <c r="L511"/>
      <c r="M511"/>
      <c r="N511"/>
      <c r="O511"/>
      <c r="P511" s="225"/>
      <c r="Q511" s="225"/>
      <c r="R511"/>
      <c r="S511"/>
      <c r="T511"/>
      <c r="U511"/>
      <c r="V511"/>
      <c r="W511"/>
      <c r="X511"/>
    </row>
    <row r="512" spans="5:24" x14ac:dyDescent="0.3">
      <c r="E512" s="173"/>
      <c r="F512" s="173"/>
      <c r="I512"/>
      <c r="J512"/>
      <c r="K512"/>
      <c r="L512"/>
      <c r="M512"/>
      <c r="N512"/>
      <c r="O512"/>
      <c r="P512" s="225"/>
      <c r="Q512" s="225"/>
      <c r="R512"/>
      <c r="S512"/>
      <c r="T512"/>
      <c r="U512"/>
      <c r="V512"/>
      <c r="W512"/>
      <c r="X512"/>
    </row>
    <row r="513" spans="5:24" x14ac:dyDescent="0.3">
      <c r="E513" s="173"/>
      <c r="F513" s="173"/>
      <c r="I513"/>
      <c r="J513"/>
      <c r="K513"/>
      <c r="L513"/>
      <c r="M513"/>
      <c r="N513"/>
      <c r="O513"/>
      <c r="P513" s="225"/>
      <c r="Q513" s="225"/>
      <c r="R513"/>
      <c r="S513"/>
      <c r="T513"/>
      <c r="U513"/>
      <c r="V513"/>
      <c r="W513"/>
      <c r="X513"/>
    </row>
    <row r="514" spans="5:24" x14ac:dyDescent="0.3">
      <c r="E514" s="173"/>
      <c r="F514" s="173"/>
      <c r="I514"/>
      <c r="J514"/>
      <c r="K514"/>
      <c r="L514"/>
      <c r="M514"/>
      <c r="N514"/>
      <c r="O514"/>
      <c r="P514" s="225"/>
      <c r="Q514" s="225"/>
      <c r="R514"/>
      <c r="S514"/>
      <c r="T514"/>
      <c r="U514"/>
      <c r="V514"/>
      <c r="W514"/>
      <c r="X514"/>
    </row>
    <row r="515" spans="5:24" x14ac:dyDescent="0.3">
      <c r="E515" s="173"/>
      <c r="F515" s="173"/>
      <c r="I515"/>
      <c r="J515"/>
      <c r="K515"/>
      <c r="L515"/>
      <c r="M515"/>
      <c r="N515"/>
      <c r="O515"/>
      <c r="P515" s="225"/>
      <c r="Q515" s="225"/>
      <c r="R515"/>
      <c r="S515"/>
      <c r="T515"/>
      <c r="U515"/>
      <c r="V515"/>
      <c r="W515"/>
      <c r="X515"/>
    </row>
    <row r="516" spans="5:24" x14ac:dyDescent="0.3">
      <c r="E516" s="173"/>
      <c r="F516" s="173"/>
      <c r="I516"/>
      <c r="J516"/>
      <c r="K516"/>
      <c r="L516"/>
      <c r="M516"/>
      <c r="N516"/>
      <c r="O516"/>
      <c r="P516" s="225"/>
      <c r="Q516" s="225"/>
      <c r="R516"/>
      <c r="S516"/>
      <c r="T516"/>
      <c r="U516"/>
      <c r="V516"/>
      <c r="W516"/>
      <c r="X516"/>
    </row>
    <row r="517" spans="5:24" x14ac:dyDescent="0.3">
      <c r="E517" s="173"/>
      <c r="F517" s="173"/>
      <c r="I517"/>
      <c r="J517"/>
      <c r="K517"/>
      <c r="L517"/>
      <c r="M517"/>
      <c r="N517"/>
      <c r="O517"/>
      <c r="P517" s="225"/>
      <c r="Q517" s="225"/>
      <c r="R517"/>
      <c r="S517"/>
      <c r="T517"/>
      <c r="U517"/>
      <c r="V517"/>
      <c r="W517"/>
      <c r="X517"/>
    </row>
    <row r="518" spans="5:24" x14ac:dyDescent="0.3">
      <c r="E518" s="173"/>
      <c r="F518" s="173"/>
      <c r="I518"/>
      <c r="J518"/>
      <c r="K518"/>
      <c r="L518"/>
      <c r="M518"/>
      <c r="N518"/>
      <c r="O518"/>
      <c r="P518" s="225"/>
      <c r="Q518" s="225"/>
      <c r="R518"/>
      <c r="S518"/>
      <c r="T518"/>
      <c r="U518"/>
      <c r="V518"/>
      <c r="W518"/>
      <c r="X518"/>
    </row>
    <row r="519" spans="5:24" x14ac:dyDescent="0.3">
      <c r="E519" s="173"/>
      <c r="F519" s="173"/>
      <c r="I519"/>
      <c r="J519"/>
      <c r="K519"/>
      <c r="L519"/>
      <c r="M519"/>
      <c r="N519"/>
      <c r="O519"/>
      <c r="P519" s="225"/>
      <c r="Q519" s="225"/>
      <c r="R519"/>
      <c r="S519"/>
      <c r="T519"/>
      <c r="U519"/>
      <c r="V519"/>
      <c r="W519"/>
      <c r="X519"/>
    </row>
    <row r="520" spans="5:24" x14ac:dyDescent="0.3">
      <c r="E520" s="173"/>
      <c r="F520" s="173"/>
      <c r="I520"/>
      <c r="J520"/>
      <c r="K520"/>
      <c r="L520"/>
      <c r="M520"/>
      <c r="N520"/>
      <c r="O520"/>
      <c r="P520" s="225"/>
      <c r="Q520" s="225"/>
      <c r="R520"/>
      <c r="S520"/>
      <c r="T520"/>
      <c r="U520"/>
      <c r="V520"/>
      <c r="W520"/>
      <c r="X520"/>
    </row>
    <row r="521" spans="5:24" x14ac:dyDescent="0.3">
      <c r="E521" s="173"/>
      <c r="F521" s="173"/>
      <c r="I521"/>
      <c r="J521"/>
      <c r="K521"/>
      <c r="L521"/>
      <c r="M521"/>
      <c r="N521"/>
      <c r="O521"/>
      <c r="P521" s="225"/>
      <c r="Q521" s="225"/>
      <c r="R521"/>
      <c r="S521"/>
      <c r="T521"/>
      <c r="U521"/>
      <c r="V521"/>
      <c r="W521"/>
      <c r="X521"/>
    </row>
    <row r="522" spans="5:24" x14ac:dyDescent="0.3">
      <c r="E522" s="173"/>
      <c r="F522" s="173"/>
      <c r="I522"/>
      <c r="J522"/>
      <c r="K522"/>
      <c r="L522"/>
      <c r="M522"/>
      <c r="N522"/>
      <c r="O522"/>
      <c r="P522" s="225"/>
      <c r="Q522" s="225"/>
      <c r="R522"/>
      <c r="S522"/>
      <c r="T522"/>
      <c r="U522"/>
      <c r="V522"/>
      <c r="W522"/>
      <c r="X522"/>
    </row>
    <row r="523" spans="5:24" x14ac:dyDescent="0.3">
      <c r="E523" s="173"/>
      <c r="F523" s="173"/>
      <c r="I523"/>
      <c r="J523"/>
      <c r="K523"/>
      <c r="L523"/>
      <c r="M523"/>
      <c r="N523"/>
      <c r="O523"/>
      <c r="P523" s="225"/>
      <c r="Q523" s="225"/>
      <c r="R523"/>
      <c r="S523"/>
      <c r="T523"/>
      <c r="U523"/>
      <c r="V523"/>
      <c r="W523"/>
      <c r="X523"/>
    </row>
    <row r="524" spans="5:24" x14ac:dyDescent="0.3">
      <c r="E524" s="173"/>
      <c r="F524" s="173"/>
      <c r="I524"/>
      <c r="J524"/>
      <c r="K524"/>
      <c r="L524"/>
      <c r="M524"/>
      <c r="N524"/>
      <c r="O524"/>
      <c r="P524" s="225"/>
      <c r="Q524" s="225"/>
      <c r="R524"/>
      <c r="S524"/>
      <c r="T524"/>
      <c r="U524"/>
      <c r="V524"/>
      <c r="W524"/>
      <c r="X524"/>
    </row>
    <row r="525" spans="5:24" x14ac:dyDescent="0.3">
      <c r="E525" s="173"/>
      <c r="F525" s="173"/>
      <c r="I525"/>
      <c r="J525"/>
      <c r="K525"/>
      <c r="L525"/>
      <c r="M525"/>
      <c r="N525"/>
      <c r="O525"/>
      <c r="P525" s="225"/>
      <c r="Q525" s="225"/>
      <c r="R525"/>
      <c r="S525"/>
      <c r="T525"/>
      <c r="U525"/>
      <c r="V525"/>
      <c r="W525"/>
      <c r="X525"/>
    </row>
    <row r="526" spans="5:24" x14ac:dyDescent="0.3">
      <c r="E526" s="173"/>
      <c r="F526" s="173"/>
      <c r="I526"/>
      <c r="J526"/>
      <c r="K526"/>
      <c r="L526"/>
      <c r="M526"/>
      <c r="N526"/>
      <c r="O526"/>
      <c r="P526" s="225"/>
      <c r="Q526" s="225"/>
      <c r="R526"/>
      <c r="S526"/>
      <c r="T526"/>
      <c r="U526"/>
      <c r="V526"/>
      <c r="W526"/>
      <c r="X526"/>
    </row>
    <row r="527" spans="5:24" x14ac:dyDescent="0.3">
      <c r="E527" s="173"/>
      <c r="F527" s="173"/>
      <c r="I527"/>
      <c r="J527"/>
      <c r="K527"/>
      <c r="L527"/>
      <c r="M527"/>
      <c r="N527"/>
      <c r="O527"/>
      <c r="P527" s="225"/>
      <c r="Q527" s="225"/>
      <c r="R527"/>
      <c r="S527"/>
      <c r="T527"/>
      <c r="U527"/>
      <c r="V527"/>
      <c r="W527"/>
      <c r="X527"/>
    </row>
    <row r="528" spans="5:24" x14ac:dyDescent="0.3">
      <c r="E528" s="173"/>
      <c r="F528" s="173"/>
      <c r="I528"/>
      <c r="J528"/>
      <c r="K528"/>
      <c r="L528"/>
      <c r="M528"/>
      <c r="N528"/>
      <c r="O528"/>
      <c r="P528" s="225"/>
      <c r="Q528" s="225"/>
      <c r="R528"/>
      <c r="S528"/>
      <c r="T528"/>
      <c r="U528"/>
      <c r="V528"/>
      <c r="W528"/>
      <c r="X528"/>
    </row>
    <row r="529" spans="5:24" x14ac:dyDescent="0.3">
      <c r="E529" s="173"/>
      <c r="F529" s="173"/>
      <c r="I529"/>
      <c r="J529"/>
      <c r="K529"/>
      <c r="L529"/>
      <c r="M529"/>
      <c r="N529"/>
      <c r="O529"/>
      <c r="P529" s="225"/>
      <c r="Q529" s="225"/>
      <c r="R529"/>
      <c r="S529"/>
      <c r="T529"/>
      <c r="U529"/>
      <c r="V529"/>
      <c r="W529"/>
      <c r="X529"/>
    </row>
    <row r="530" spans="5:24" x14ac:dyDescent="0.3">
      <c r="E530" s="173"/>
      <c r="F530" s="173"/>
      <c r="I530"/>
      <c r="J530"/>
      <c r="K530"/>
      <c r="L530"/>
      <c r="M530"/>
      <c r="N530"/>
      <c r="O530"/>
      <c r="P530" s="225"/>
      <c r="Q530" s="225"/>
      <c r="R530"/>
      <c r="S530"/>
      <c r="T530"/>
      <c r="U530"/>
      <c r="V530"/>
      <c r="W530"/>
      <c r="X530"/>
    </row>
    <row r="531" spans="5:24" x14ac:dyDescent="0.3">
      <c r="E531" s="173"/>
      <c r="F531" s="173"/>
      <c r="I531"/>
      <c r="J531"/>
      <c r="K531"/>
      <c r="L531"/>
      <c r="M531"/>
      <c r="N531"/>
      <c r="O531"/>
      <c r="P531" s="225"/>
      <c r="Q531" s="225"/>
      <c r="R531"/>
      <c r="S531"/>
      <c r="T531"/>
      <c r="U531"/>
      <c r="V531"/>
      <c r="W531"/>
      <c r="X531"/>
    </row>
    <row r="532" spans="5:24" x14ac:dyDescent="0.3">
      <c r="E532" s="173"/>
      <c r="F532" s="173"/>
      <c r="I532"/>
      <c r="J532"/>
      <c r="K532"/>
      <c r="L532"/>
      <c r="M532"/>
      <c r="N532"/>
      <c r="O532"/>
      <c r="P532" s="225"/>
      <c r="Q532" s="225"/>
      <c r="R532"/>
      <c r="S532"/>
      <c r="T532"/>
      <c r="U532"/>
      <c r="V532"/>
      <c r="W532"/>
      <c r="X532"/>
    </row>
    <row r="533" spans="5:24" x14ac:dyDescent="0.3">
      <c r="E533" s="173"/>
      <c r="F533" s="173"/>
      <c r="I533"/>
      <c r="J533"/>
      <c r="K533"/>
      <c r="L533"/>
      <c r="M533"/>
      <c r="N533"/>
      <c r="O533"/>
      <c r="P533" s="225"/>
      <c r="Q533" s="225"/>
      <c r="R533"/>
      <c r="S533"/>
      <c r="T533"/>
      <c r="U533"/>
      <c r="V533"/>
      <c r="W533"/>
      <c r="X533"/>
    </row>
    <row r="534" spans="5:24" x14ac:dyDescent="0.3">
      <c r="E534" s="173"/>
      <c r="F534" s="173"/>
      <c r="I534"/>
      <c r="J534"/>
      <c r="K534"/>
      <c r="L534"/>
      <c r="M534"/>
      <c r="N534"/>
      <c r="O534"/>
      <c r="P534" s="225"/>
      <c r="Q534" s="225"/>
      <c r="R534"/>
      <c r="S534"/>
      <c r="T534"/>
      <c r="U534"/>
      <c r="V534"/>
      <c r="W534"/>
      <c r="X534"/>
    </row>
    <row r="535" spans="5:24" x14ac:dyDescent="0.3">
      <c r="E535" s="173"/>
      <c r="F535" s="173"/>
      <c r="I535"/>
      <c r="J535"/>
      <c r="K535"/>
      <c r="L535"/>
      <c r="M535"/>
      <c r="N535"/>
      <c r="O535"/>
      <c r="P535" s="225"/>
      <c r="Q535" s="225"/>
      <c r="R535"/>
      <c r="S535"/>
      <c r="T535"/>
      <c r="U535"/>
      <c r="V535"/>
      <c r="W535"/>
      <c r="X535"/>
    </row>
    <row r="536" spans="5:24" x14ac:dyDescent="0.3">
      <c r="E536" s="173"/>
      <c r="F536" s="173"/>
      <c r="I536"/>
      <c r="J536"/>
      <c r="K536"/>
      <c r="L536"/>
      <c r="M536"/>
      <c r="N536"/>
      <c r="O536"/>
      <c r="P536" s="225"/>
      <c r="Q536" s="225"/>
      <c r="R536"/>
      <c r="S536"/>
      <c r="T536"/>
      <c r="U536"/>
      <c r="V536"/>
      <c r="W536"/>
      <c r="X536"/>
    </row>
    <row r="537" spans="5:24" x14ac:dyDescent="0.3">
      <c r="E537" s="173"/>
      <c r="F537" s="173"/>
      <c r="I537"/>
      <c r="J537"/>
      <c r="K537"/>
      <c r="L537"/>
      <c r="M537"/>
      <c r="N537"/>
      <c r="O537"/>
      <c r="P537" s="225"/>
      <c r="Q537" s="225"/>
      <c r="R537"/>
      <c r="S537"/>
      <c r="T537"/>
      <c r="U537"/>
      <c r="V537"/>
      <c r="W537"/>
      <c r="X537"/>
    </row>
    <row r="538" spans="5:24" x14ac:dyDescent="0.3">
      <c r="E538" s="173"/>
      <c r="F538" s="173"/>
      <c r="I538"/>
      <c r="J538"/>
      <c r="K538"/>
      <c r="L538"/>
      <c r="M538"/>
      <c r="N538"/>
      <c r="O538"/>
      <c r="P538" s="225"/>
      <c r="Q538" s="225"/>
      <c r="R538"/>
      <c r="S538"/>
      <c r="T538"/>
      <c r="U538"/>
      <c r="V538"/>
      <c r="W538"/>
      <c r="X538"/>
    </row>
    <row r="539" spans="5:24" x14ac:dyDescent="0.3">
      <c r="E539" s="173"/>
      <c r="F539" s="173"/>
      <c r="I539"/>
      <c r="J539"/>
      <c r="K539"/>
      <c r="L539"/>
      <c r="M539"/>
      <c r="N539"/>
      <c r="O539"/>
      <c r="P539" s="225"/>
      <c r="Q539" s="225"/>
      <c r="R539"/>
      <c r="S539"/>
      <c r="T539"/>
      <c r="U539"/>
      <c r="V539"/>
      <c r="W539"/>
      <c r="X539"/>
    </row>
    <row r="540" spans="5:24" x14ac:dyDescent="0.3">
      <c r="E540" s="173"/>
      <c r="F540" s="173"/>
      <c r="I540"/>
      <c r="J540"/>
      <c r="K540"/>
      <c r="L540"/>
      <c r="M540"/>
      <c r="N540"/>
      <c r="O540"/>
      <c r="P540" s="225"/>
      <c r="Q540" s="225"/>
      <c r="R540"/>
      <c r="S540"/>
      <c r="T540"/>
      <c r="U540"/>
      <c r="V540"/>
      <c r="W540"/>
      <c r="X540"/>
    </row>
    <row r="541" spans="5:24" x14ac:dyDescent="0.3">
      <c r="E541" s="173"/>
      <c r="F541" s="173"/>
      <c r="I541"/>
      <c r="J541"/>
      <c r="K541"/>
      <c r="L541"/>
      <c r="M541"/>
      <c r="N541"/>
      <c r="O541"/>
      <c r="P541" s="225"/>
      <c r="Q541" s="225"/>
      <c r="R541"/>
      <c r="S541"/>
      <c r="T541"/>
      <c r="U541"/>
      <c r="V541"/>
      <c r="W541"/>
      <c r="X541"/>
    </row>
    <row r="542" spans="5:24" x14ac:dyDescent="0.3">
      <c r="E542" s="173"/>
      <c r="F542" s="173"/>
      <c r="I542"/>
      <c r="J542"/>
      <c r="K542"/>
      <c r="L542"/>
      <c r="M542"/>
      <c r="N542"/>
      <c r="O542"/>
      <c r="P542" s="225"/>
      <c r="Q542" s="225"/>
      <c r="R542"/>
      <c r="S542"/>
      <c r="T542"/>
      <c r="U542"/>
      <c r="V542"/>
      <c r="W542"/>
      <c r="X542"/>
    </row>
    <row r="543" spans="5:24" x14ac:dyDescent="0.3">
      <c r="E543" s="173"/>
      <c r="F543" s="173"/>
      <c r="I543"/>
      <c r="J543"/>
      <c r="K543"/>
      <c r="L543"/>
      <c r="M543"/>
      <c r="N543"/>
      <c r="O543"/>
      <c r="P543" s="225"/>
      <c r="Q543" s="225"/>
      <c r="R543"/>
      <c r="S543"/>
      <c r="T543"/>
      <c r="U543"/>
      <c r="V543"/>
      <c r="W543"/>
      <c r="X543"/>
    </row>
    <row r="544" spans="5:24" x14ac:dyDescent="0.3">
      <c r="E544" s="173"/>
      <c r="F544" s="173"/>
      <c r="I544"/>
      <c r="J544"/>
      <c r="K544"/>
      <c r="L544"/>
      <c r="M544"/>
      <c r="N544"/>
      <c r="O544"/>
      <c r="P544" s="225"/>
      <c r="Q544" s="225"/>
      <c r="R544"/>
      <c r="S544"/>
      <c r="T544"/>
      <c r="U544"/>
      <c r="V544"/>
      <c r="W544"/>
      <c r="X544"/>
    </row>
    <row r="545" spans="5:24" x14ac:dyDescent="0.3">
      <c r="E545" s="173"/>
      <c r="F545" s="173"/>
      <c r="I545"/>
      <c r="J545"/>
      <c r="K545"/>
      <c r="L545"/>
      <c r="M545"/>
      <c r="N545"/>
      <c r="O545"/>
      <c r="P545" s="225"/>
      <c r="Q545" s="225"/>
      <c r="R545"/>
      <c r="S545"/>
      <c r="T545"/>
      <c r="U545"/>
      <c r="V545"/>
      <c r="W545"/>
      <c r="X545"/>
    </row>
    <row r="546" spans="5:24" x14ac:dyDescent="0.3">
      <c r="E546" s="173"/>
      <c r="F546" s="173"/>
      <c r="I546"/>
      <c r="J546"/>
      <c r="K546"/>
      <c r="L546"/>
      <c r="M546"/>
      <c r="N546"/>
      <c r="O546"/>
      <c r="P546" s="225"/>
      <c r="Q546" s="225"/>
      <c r="R546"/>
      <c r="S546"/>
      <c r="T546"/>
      <c r="U546"/>
      <c r="V546"/>
      <c r="W546"/>
      <c r="X546"/>
    </row>
    <row r="547" spans="5:24" x14ac:dyDescent="0.3">
      <c r="E547" s="173"/>
      <c r="F547" s="173"/>
      <c r="I547"/>
      <c r="J547"/>
      <c r="K547"/>
      <c r="L547"/>
      <c r="M547"/>
      <c r="N547"/>
      <c r="O547"/>
      <c r="P547" s="225"/>
      <c r="Q547" s="225"/>
      <c r="R547"/>
      <c r="S547"/>
      <c r="T547"/>
      <c r="U547"/>
      <c r="V547"/>
      <c r="W547"/>
      <c r="X547"/>
    </row>
    <row r="548" spans="5:24" x14ac:dyDescent="0.3">
      <c r="E548" s="173"/>
      <c r="F548" s="173"/>
      <c r="I548"/>
      <c r="J548"/>
      <c r="K548"/>
      <c r="L548"/>
      <c r="M548"/>
      <c r="N548"/>
      <c r="O548"/>
      <c r="P548" s="225"/>
      <c r="Q548" s="225"/>
      <c r="R548"/>
      <c r="S548"/>
      <c r="T548"/>
      <c r="U548"/>
      <c r="V548"/>
      <c r="W548"/>
      <c r="X548"/>
    </row>
    <row r="549" spans="5:24" x14ac:dyDescent="0.3">
      <c r="E549" s="173"/>
      <c r="F549" s="173"/>
      <c r="I549"/>
      <c r="J549"/>
      <c r="K549"/>
      <c r="L549"/>
      <c r="M549"/>
      <c r="N549"/>
      <c r="O549"/>
      <c r="P549" s="225"/>
      <c r="Q549" s="225"/>
      <c r="R549"/>
      <c r="S549"/>
      <c r="T549"/>
      <c r="U549"/>
      <c r="V549"/>
      <c r="W549"/>
      <c r="X549"/>
    </row>
    <row r="550" spans="5:24" x14ac:dyDescent="0.3">
      <c r="E550" s="173"/>
      <c r="F550" s="173"/>
      <c r="I550"/>
      <c r="J550"/>
      <c r="K550"/>
      <c r="L550"/>
      <c r="M550"/>
      <c r="N550"/>
      <c r="O550"/>
      <c r="P550" s="225"/>
      <c r="Q550" s="225"/>
      <c r="R550"/>
      <c r="S550"/>
      <c r="T550"/>
      <c r="U550"/>
      <c r="V550"/>
      <c r="W550"/>
      <c r="X550"/>
    </row>
    <row r="551" spans="5:24" x14ac:dyDescent="0.3">
      <c r="E551" s="173"/>
      <c r="F551" s="173"/>
      <c r="I551"/>
      <c r="J551"/>
      <c r="K551"/>
      <c r="L551"/>
      <c r="M551"/>
      <c r="N551"/>
      <c r="O551"/>
      <c r="P551" s="225"/>
      <c r="Q551" s="225"/>
      <c r="R551"/>
      <c r="S551"/>
      <c r="T551"/>
      <c r="U551"/>
      <c r="V551"/>
      <c r="W551"/>
      <c r="X551"/>
    </row>
    <row r="552" spans="5:24" x14ac:dyDescent="0.3">
      <c r="E552" s="173"/>
      <c r="F552" s="173"/>
      <c r="I552"/>
      <c r="J552"/>
      <c r="K552"/>
      <c r="L552"/>
      <c r="M552"/>
      <c r="N552"/>
      <c r="O552"/>
      <c r="P552" s="225"/>
      <c r="Q552" s="225"/>
      <c r="R552"/>
      <c r="S552"/>
      <c r="T552"/>
      <c r="U552"/>
      <c r="V552"/>
      <c r="W552"/>
      <c r="X552"/>
    </row>
    <row r="553" spans="5:24" x14ac:dyDescent="0.3">
      <c r="E553" s="173"/>
      <c r="F553" s="173"/>
      <c r="I553"/>
      <c r="J553"/>
      <c r="K553"/>
      <c r="L553"/>
      <c r="M553"/>
      <c r="N553"/>
      <c r="O553"/>
      <c r="P553" s="225"/>
      <c r="Q553" s="225"/>
      <c r="R553"/>
      <c r="S553"/>
      <c r="T553"/>
      <c r="U553"/>
      <c r="V553"/>
      <c r="W553"/>
      <c r="X553"/>
    </row>
    <row r="554" spans="5:24" x14ac:dyDescent="0.3">
      <c r="E554" s="173"/>
      <c r="F554" s="173"/>
      <c r="I554"/>
      <c r="J554"/>
      <c r="K554"/>
      <c r="L554"/>
      <c r="M554"/>
      <c r="N554"/>
      <c r="O554"/>
      <c r="P554" s="225"/>
      <c r="Q554" s="225"/>
      <c r="R554"/>
      <c r="S554"/>
      <c r="T554"/>
      <c r="U554"/>
      <c r="V554"/>
      <c r="W554"/>
      <c r="X554"/>
    </row>
    <row r="555" spans="5:24" x14ac:dyDescent="0.3">
      <c r="E555" s="173"/>
      <c r="F555" s="173"/>
      <c r="I555"/>
      <c r="J555"/>
      <c r="K555"/>
      <c r="L555"/>
      <c r="M555"/>
      <c r="N555"/>
      <c r="O555"/>
      <c r="P555" s="225"/>
      <c r="Q555" s="225"/>
      <c r="R555"/>
      <c r="S555"/>
      <c r="T555"/>
      <c r="U555"/>
      <c r="V555"/>
      <c r="W555"/>
      <c r="X555"/>
    </row>
    <row r="556" spans="5:24" x14ac:dyDescent="0.3">
      <c r="E556" s="173"/>
      <c r="F556" s="173"/>
      <c r="I556"/>
      <c r="J556"/>
      <c r="K556"/>
      <c r="L556"/>
      <c r="M556"/>
      <c r="N556"/>
      <c r="O556"/>
      <c r="P556" s="225"/>
      <c r="Q556" s="225"/>
      <c r="R556"/>
      <c r="S556"/>
      <c r="T556"/>
      <c r="U556"/>
      <c r="V556"/>
      <c r="W556"/>
      <c r="X556"/>
    </row>
    <row r="557" spans="5:24" x14ac:dyDescent="0.3">
      <c r="E557" s="173"/>
      <c r="F557" s="173"/>
      <c r="I557"/>
      <c r="J557"/>
      <c r="K557"/>
      <c r="L557"/>
      <c r="M557"/>
      <c r="N557"/>
      <c r="O557"/>
      <c r="P557" s="225"/>
      <c r="Q557" s="225"/>
      <c r="R557"/>
      <c r="S557"/>
      <c r="T557"/>
      <c r="U557"/>
      <c r="V557"/>
      <c r="W557"/>
      <c r="X557"/>
    </row>
    <row r="558" spans="5:24" x14ac:dyDescent="0.3">
      <c r="E558" s="173"/>
      <c r="F558" s="173"/>
      <c r="I558"/>
      <c r="J558"/>
      <c r="K558"/>
      <c r="L558"/>
      <c r="M558"/>
      <c r="N558"/>
      <c r="O558"/>
      <c r="P558" s="225"/>
      <c r="Q558" s="225"/>
      <c r="R558"/>
      <c r="S558"/>
      <c r="T558"/>
      <c r="U558"/>
      <c r="V558"/>
      <c r="W558"/>
      <c r="X558"/>
    </row>
    <row r="559" spans="5:24" x14ac:dyDescent="0.3">
      <c r="E559" s="173"/>
      <c r="F559" s="173"/>
      <c r="I559"/>
      <c r="J559"/>
      <c r="K559"/>
      <c r="L559"/>
      <c r="M559"/>
      <c r="N559"/>
      <c r="O559"/>
      <c r="P559" s="225"/>
      <c r="Q559" s="225"/>
      <c r="R559"/>
      <c r="S559"/>
      <c r="T559"/>
      <c r="U559"/>
      <c r="V559"/>
      <c r="W559"/>
      <c r="X559"/>
    </row>
    <row r="560" spans="5:24" x14ac:dyDescent="0.3">
      <c r="E560" s="173"/>
      <c r="F560" s="173"/>
      <c r="I560"/>
      <c r="J560"/>
      <c r="K560"/>
      <c r="L560"/>
      <c r="M560"/>
      <c r="N560"/>
      <c r="O560"/>
      <c r="P560" s="225"/>
      <c r="Q560" s="225"/>
      <c r="R560"/>
      <c r="S560"/>
      <c r="T560"/>
      <c r="U560"/>
      <c r="V560"/>
      <c r="W560"/>
      <c r="X560"/>
    </row>
    <row r="561" spans="5:24" x14ac:dyDescent="0.3">
      <c r="E561" s="173"/>
      <c r="F561" s="173"/>
      <c r="I561"/>
      <c r="J561"/>
      <c r="K561"/>
      <c r="L561"/>
      <c r="M561"/>
      <c r="N561"/>
      <c r="O561"/>
      <c r="P561" s="225"/>
      <c r="Q561" s="225"/>
      <c r="R561"/>
      <c r="S561"/>
      <c r="T561"/>
      <c r="U561"/>
      <c r="V561"/>
      <c r="W561"/>
      <c r="X561"/>
    </row>
    <row r="562" spans="5:24" x14ac:dyDescent="0.3">
      <c r="E562" s="173"/>
      <c r="F562" s="173"/>
      <c r="I562"/>
      <c r="J562"/>
      <c r="K562"/>
      <c r="L562"/>
      <c r="M562"/>
      <c r="N562"/>
      <c r="O562"/>
      <c r="P562" s="225"/>
      <c r="Q562" s="225"/>
      <c r="R562"/>
      <c r="S562"/>
      <c r="T562"/>
      <c r="U562"/>
      <c r="V562"/>
      <c r="W562"/>
      <c r="X562"/>
    </row>
    <row r="563" spans="5:24" x14ac:dyDescent="0.3">
      <c r="E563" s="173"/>
      <c r="F563" s="173"/>
      <c r="I563"/>
      <c r="J563"/>
      <c r="K563"/>
      <c r="L563"/>
      <c r="M563"/>
      <c r="N563"/>
      <c r="O563"/>
      <c r="P563" s="225"/>
      <c r="Q563" s="225"/>
      <c r="R563"/>
      <c r="S563"/>
      <c r="T563"/>
      <c r="U563"/>
      <c r="V563"/>
      <c r="W563"/>
      <c r="X563"/>
    </row>
    <row r="564" spans="5:24" x14ac:dyDescent="0.3">
      <c r="E564" s="173"/>
      <c r="F564" s="173"/>
      <c r="I564"/>
      <c r="J564"/>
      <c r="K564"/>
      <c r="L564"/>
      <c r="M564"/>
      <c r="N564"/>
      <c r="O564"/>
      <c r="P564" s="225"/>
      <c r="Q564" s="225"/>
      <c r="R564"/>
      <c r="S564"/>
      <c r="T564"/>
      <c r="U564"/>
      <c r="V564"/>
      <c r="W564"/>
      <c r="X564"/>
    </row>
    <row r="565" spans="5:24" x14ac:dyDescent="0.3">
      <c r="E565" s="173"/>
      <c r="F565" s="173"/>
      <c r="I565"/>
      <c r="J565"/>
      <c r="K565"/>
      <c r="L565"/>
      <c r="M565"/>
      <c r="N565"/>
      <c r="O565"/>
      <c r="P565" s="225"/>
      <c r="Q565" s="225"/>
      <c r="R565"/>
      <c r="S565"/>
      <c r="T565"/>
      <c r="U565"/>
      <c r="V565"/>
      <c r="W565"/>
      <c r="X565"/>
    </row>
    <row r="566" spans="5:24" x14ac:dyDescent="0.3">
      <c r="E566" s="173"/>
      <c r="F566" s="173"/>
      <c r="I566"/>
      <c r="J566"/>
      <c r="K566"/>
      <c r="L566"/>
      <c r="M566"/>
      <c r="N566"/>
      <c r="O566"/>
      <c r="P566" s="225"/>
      <c r="Q566" s="225"/>
      <c r="R566"/>
      <c r="S566"/>
      <c r="T566"/>
      <c r="U566"/>
      <c r="V566"/>
      <c r="W566"/>
      <c r="X566"/>
    </row>
    <row r="567" spans="5:24" x14ac:dyDescent="0.3">
      <c r="E567" s="173"/>
      <c r="F567" s="173"/>
      <c r="I567"/>
      <c r="J567"/>
      <c r="K567"/>
      <c r="L567"/>
      <c r="M567"/>
      <c r="N567"/>
      <c r="O567"/>
      <c r="P567" s="225"/>
      <c r="Q567" s="225"/>
      <c r="R567"/>
      <c r="S567"/>
      <c r="T567"/>
      <c r="U567"/>
      <c r="V567"/>
      <c r="W567"/>
      <c r="X567"/>
    </row>
    <row r="568" spans="5:24" x14ac:dyDescent="0.3">
      <c r="E568" s="173"/>
      <c r="F568" s="173"/>
      <c r="I568"/>
      <c r="J568"/>
      <c r="K568"/>
      <c r="L568"/>
      <c r="M568"/>
      <c r="N568"/>
      <c r="O568"/>
      <c r="P568" s="225"/>
      <c r="Q568" s="225"/>
      <c r="R568"/>
      <c r="S568"/>
      <c r="T568"/>
      <c r="U568"/>
      <c r="V568"/>
      <c r="W568"/>
      <c r="X568"/>
    </row>
    <row r="569" spans="5:24" x14ac:dyDescent="0.3">
      <c r="E569" s="173"/>
      <c r="F569" s="173"/>
      <c r="I569"/>
      <c r="J569"/>
      <c r="K569"/>
      <c r="L569"/>
      <c r="M569"/>
      <c r="N569"/>
      <c r="O569"/>
      <c r="P569" s="225"/>
      <c r="Q569" s="225"/>
      <c r="R569"/>
      <c r="S569"/>
      <c r="T569"/>
      <c r="U569"/>
      <c r="V569"/>
      <c r="W569"/>
      <c r="X569"/>
    </row>
    <row r="570" spans="5:24" x14ac:dyDescent="0.3">
      <c r="E570" s="173"/>
      <c r="F570" s="173"/>
      <c r="I570"/>
      <c r="J570"/>
      <c r="K570"/>
      <c r="L570"/>
      <c r="M570"/>
      <c r="N570"/>
      <c r="O570"/>
      <c r="P570" s="225"/>
      <c r="Q570" s="225"/>
      <c r="R570"/>
      <c r="S570"/>
      <c r="T570"/>
      <c r="U570"/>
      <c r="V570"/>
      <c r="W570"/>
      <c r="X570"/>
    </row>
    <row r="571" spans="5:24" x14ac:dyDescent="0.3">
      <c r="E571" s="173"/>
      <c r="F571" s="173"/>
      <c r="I571"/>
      <c r="J571"/>
      <c r="K571"/>
      <c r="L571"/>
      <c r="M571"/>
      <c r="N571"/>
      <c r="O571"/>
      <c r="P571" s="225"/>
      <c r="Q571" s="225"/>
      <c r="R571"/>
      <c r="S571"/>
      <c r="T571"/>
      <c r="U571"/>
      <c r="V571"/>
      <c r="W571"/>
      <c r="X571"/>
    </row>
    <row r="572" spans="5:24" x14ac:dyDescent="0.3">
      <c r="E572" s="173"/>
      <c r="F572" s="173"/>
      <c r="I572"/>
      <c r="J572"/>
      <c r="K572"/>
      <c r="L572"/>
      <c r="M572"/>
      <c r="N572"/>
      <c r="O572"/>
      <c r="P572" s="225"/>
      <c r="Q572" s="225"/>
      <c r="R572"/>
      <c r="S572"/>
      <c r="T572"/>
      <c r="U572"/>
      <c r="V572"/>
      <c r="W572"/>
      <c r="X572"/>
    </row>
    <row r="573" spans="5:24" x14ac:dyDescent="0.3">
      <c r="E573" s="173"/>
      <c r="F573" s="173"/>
      <c r="I573"/>
      <c r="J573"/>
      <c r="K573"/>
      <c r="L573"/>
      <c r="M573"/>
      <c r="N573"/>
      <c r="O573"/>
      <c r="P573" s="225"/>
      <c r="Q573" s="225"/>
      <c r="R573"/>
      <c r="S573"/>
      <c r="T573"/>
      <c r="U573"/>
      <c r="V573"/>
      <c r="W573"/>
      <c r="X573"/>
    </row>
    <row r="574" spans="5:24" x14ac:dyDescent="0.3">
      <c r="E574" s="173"/>
      <c r="F574" s="173"/>
      <c r="I574"/>
      <c r="J574"/>
      <c r="K574"/>
      <c r="L574"/>
      <c r="M574"/>
      <c r="N574"/>
      <c r="O574"/>
      <c r="P574" s="225"/>
      <c r="Q574" s="225"/>
      <c r="R574"/>
      <c r="S574"/>
      <c r="T574"/>
      <c r="U574"/>
      <c r="V574"/>
      <c r="W574"/>
      <c r="X574"/>
    </row>
    <row r="575" spans="5:24" x14ac:dyDescent="0.3">
      <c r="E575" s="173"/>
      <c r="F575" s="173"/>
      <c r="I575"/>
      <c r="J575"/>
      <c r="K575"/>
      <c r="L575"/>
      <c r="M575"/>
      <c r="N575"/>
      <c r="O575"/>
      <c r="P575" s="225"/>
      <c r="Q575" s="225"/>
      <c r="R575"/>
      <c r="S575"/>
      <c r="T575"/>
      <c r="U575"/>
      <c r="V575"/>
      <c r="W575"/>
      <c r="X575"/>
    </row>
    <row r="576" spans="5:24" x14ac:dyDescent="0.3">
      <c r="E576" s="173"/>
      <c r="F576" s="173"/>
      <c r="I576"/>
      <c r="J576"/>
      <c r="K576"/>
      <c r="L576"/>
      <c r="M576"/>
      <c r="N576"/>
      <c r="O576"/>
      <c r="P576" s="225"/>
      <c r="Q576" s="225"/>
      <c r="R576"/>
      <c r="S576"/>
      <c r="T576"/>
      <c r="U576"/>
      <c r="V576"/>
      <c r="W576"/>
      <c r="X576"/>
    </row>
    <row r="577" spans="5:24" x14ac:dyDescent="0.3">
      <c r="E577" s="173"/>
      <c r="F577" s="173"/>
      <c r="I577"/>
      <c r="J577"/>
      <c r="K577"/>
      <c r="L577"/>
      <c r="M577"/>
      <c r="N577"/>
      <c r="O577"/>
      <c r="P577" s="225"/>
      <c r="Q577" s="225"/>
      <c r="R577"/>
      <c r="S577"/>
      <c r="T577"/>
      <c r="U577"/>
      <c r="V577"/>
      <c r="W577"/>
      <c r="X577"/>
    </row>
    <row r="578" spans="5:24" x14ac:dyDescent="0.3">
      <c r="E578" s="173"/>
      <c r="F578" s="173"/>
      <c r="I578"/>
      <c r="J578"/>
      <c r="K578"/>
      <c r="L578"/>
      <c r="M578"/>
      <c r="N578"/>
      <c r="O578"/>
      <c r="P578" s="225"/>
      <c r="Q578" s="225"/>
      <c r="R578"/>
      <c r="S578"/>
      <c r="T578"/>
      <c r="U578"/>
      <c r="V578"/>
      <c r="W578"/>
      <c r="X578"/>
    </row>
    <row r="579" spans="5:24" x14ac:dyDescent="0.3">
      <c r="E579" s="173"/>
      <c r="F579" s="173"/>
      <c r="I579"/>
      <c r="J579"/>
      <c r="K579"/>
      <c r="L579"/>
      <c r="M579"/>
      <c r="N579"/>
      <c r="O579"/>
      <c r="P579" s="225"/>
      <c r="Q579" s="225"/>
      <c r="R579"/>
      <c r="S579"/>
      <c r="T579"/>
      <c r="U579"/>
      <c r="V579"/>
      <c r="W579"/>
      <c r="X579"/>
    </row>
    <row r="580" spans="5:24" x14ac:dyDescent="0.3">
      <c r="E580" s="173"/>
      <c r="F580" s="173"/>
      <c r="I580"/>
      <c r="J580"/>
      <c r="K580"/>
      <c r="L580"/>
      <c r="M580"/>
      <c r="N580"/>
      <c r="O580"/>
      <c r="P580" s="225"/>
      <c r="Q580" s="225"/>
      <c r="R580"/>
      <c r="S580"/>
      <c r="T580"/>
      <c r="U580"/>
      <c r="V580"/>
      <c r="W580"/>
      <c r="X580"/>
    </row>
    <row r="581" spans="5:24" x14ac:dyDescent="0.3">
      <c r="E581" s="173"/>
      <c r="F581" s="173"/>
      <c r="I581"/>
      <c r="J581"/>
      <c r="K581"/>
      <c r="L581"/>
      <c r="M581"/>
      <c r="N581"/>
      <c r="O581"/>
      <c r="P581" s="225"/>
      <c r="Q581" s="225"/>
      <c r="R581"/>
      <c r="S581"/>
      <c r="T581"/>
      <c r="U581"/>
      <c r="V581"/>
      <c r="W581"/>
      <c r="X581"/>
    </row>
    <row r="582" spans="5:24" x14ac:dyDescent="0.3">
      <c r="E582" s="173"/>
      <c r="F582" s="173"/>
      <c r="I582"/>
      <c r="J582"/>
      <c r="K582"/>
      <c r="L582"/>
      <c r="M582"/>
      <c r="N582"/>
      <c r="O582"/>
      <c r="P582" s="225"/>
      <c r="Q582" s="225"/>
      <c r="R582"/>
      <c r="S582"/>
      <c r="T582"/>
      <c r="U582"/>
      <c r="V582"/>
      <c r="W582"/>
      <c r="X582"/>
    </row>
    <row r="583" spans="5:24" x14ac:dyDescent="0.3">
      <c r="E583" s="173"/>
      <c r="F583" s="173"/>
      <c r="I583"/>
      <c r="J583"/>
      <c r="K583"/>
      <c r="L583"/>
      <c r="M583"/>
      <c r="N583"/>
      <c r="O583"/>
      <c r="P583" s="225"/>
      <c r="Q583" s="225"/>
      <c r="R583"/>
      <c r="S583"/>
      <c r="T583"/>
      <c r="U583"/>
      <c r="V583"/>
      <c r="W583"/>
      <c r="X583"/>
    </row>
    <row r="584" spans="5:24" x14ac:dyDescent="0.3">
      <c r="E584" s="173"/>
      <c r="F584" s="173"/>
      <c r="I584"/>
      <c r="J584"/>
      <c r="K584"/>
      <c r="L584"/>
      <c r="M584"/>
      <c r="N584"/>
      <c r="O584"/>
      <c r="P584" s="225"/>
      <c r="Q584" s="225"/>
      <c r="R584"/>
      <c r="S584"/>
      <c r="T584"/>
      <c r="U584"/>
      <c r="V584"/>
      <c r="W584"/>
      <c r="X584"/>
    </row>
    <row r="585" spans="5:24" x14ac:dyDescent="0.3">
      <c r="E585" s="173"/>
      <c r="F585" s="173"/>
      <c r="I585"/>
      <c r="J585"/>
      <c r="K585"/>
      <c r="L585"/>
      <c r="M585"/>
      <c r="N585"/>
      <c r="O585"/>
      <c r="P585" s="225"/>
      <c r="Q585" s="225"/>
      <c r="R585"/>
      <c r="S585"/>
      <c r="T585"/>
      <c r="U585"/>
      <c r="V585"/>
      <c r="W585"/>
      <c r="X585"/>
    </row>
    <row r="586" spans="5:24" x14ac:dyDescent="0.3">
      <c r="E586" s="173"/>
      <c r="F586" s="173"/>
      <c r="I586"/>
      <c r="J586"/>
      <c r="K586"/>
      <c r="L586"/>
      <c r="M586"/>
      <c r="N586"/>
      <c r="O586"/>
      <c r="P586" s="225"/>
      <c r="Q586" s="225"/>
      <c r="R586"/>
      <c r="S586"/>
      <c r="T586"/>
      <c r="U586"/>
      <c r="V586"/>
      <c r="W586"/>
      <c r="X586"/>
    </row>
    <row r="587" spans="5:24" x14ac:dyDescent="0.3">
      <c r="E587" s="173"/>
      <c r="F587" s="173"/>
      <c r="I587"/>
      <c r="J587"/>
      <c r="K587"/>
      <c r="L587"/>
      <c r="M587"/>
      <c r="N587"/>
      <c r="O587"/>
      <c r="P587" s="225"/>
      <c r="Q587" s="225"/>
      <c r="R587"/>
      <c r="S587"/>
      <c r="T587"/>
      <c r="U587"/>
      <c r="V587"/>
      <c r="W587"/>
      <c r="X587"/>
    </row>
    <row r="588" spans="5:24" x14ac:dyDescent="0.3">
      <c r="E588" s="173"/>
      <c r="F588" s="173"/>
      <c r="I588"/>
      <c r="J588"/>
      <c r="K588"/>
      <c r="L588"/>
      <c r="M588"/>
      <c r="N588"/>
      <c r="O588"/>
      <c r="P588" s="225"/>
      <c r="Q588" s="225"/>
      <c r="R588"/>
      <c r="S588"/>
      <c r="T588"/>
      <c r="U588"/>
      <c r="V588"/>
      <c r="W588"/>
      <c r="X588"/>
    </row>
    <row r="589" spans="5:24" x14ac:dyDescent="0.3">
      <c r="E589" s="173"/>
      <c r="F589" s="173"/>
      <c r="I589"/>
      <c r="J589"/>
      <c r="K589"/>
      <c r="L589"/>
      <c r="M589"/>
      <c r="N589"/>
      <c r="O589"/>
      <c r="P589" s="225"/>
      <c r="Q589" s="225"/>
      <c r="R589"/>
      <c r="S589"/>
      <c r="T589"/>
      <c r="U589"/>
      <c r="V589"/>
      <c r="W589"/>
      <c r="X589"/>
    </row>
    <row r="590" spans="5:24" x14ac:dyDescent="0.3">
      <c r="E590" s="173"/>
      <c r="F590" s="173"/>
      <c r="I590"/>
      <c r="J590"/>
      <c r="K590"/>
      <c r="L590"/>
      <c r="M590"/>
      <c r="N590"/>
      <c r="O590"/>
      <c r="P590" s="225"/>
      <c r="Q590" s="225"/>
      <c r="R590"/>
      <c r="S590"/>
      <c r="T590"/>
      <c r="U590"/>
      <c r="V590"/>
      <c r="W590"/>
      <c r="X590"/>
    </row>
    <row r="591" spans="5:24" x14ac:dyDescent="0.3">
      <c r="E591" s="173"/>
      <c r="F591" s="173"/>
      <c r="I591"/>
      <c r="J591"/>
      <c r="K591"/>
      <c r="L591"/>
      <c r="M591"/>
      <c r="N591"/>
      <c r="O591"/>
      <c r="P591" s="225"/>
      <c r="Q591" s="225"/>
      <c r="R591"/>
      <c r="S591"/>
      <c r="T591"/>
      <c r="U591"/>
      <c r="V591"/>
      <c r="W591"/>
      <c r="X591"/>
    </row>
    <row r="592" spans="5:24" x14ac:dyDescent="0.3">
      <c r="E592" s="173"/>
      <c r="F592" s="173"/>
      <c r="I592"/>
      <c r="J592"/>
      <c r="K592"/>
      <c r="L592"/>
      <c r="M592"/>
      <c r="N592"/>
      <c r="O592"/>
      <c r="P592" s="225"/>
      <c r="Q592" s="225"/>
      <c r="R592"/>
      <c r="S592"/>
      <c r="T592"/>
      <c r="U592"/>
      <c r="V592"/>
      <c r="W592"/>
      <c r="X592"/>
    </row>
    <row r="593" spans="5:24" x14ac:dyDescent="0.3">
      <c r="E593" s="173"/>
      <c r="F593" s="173"/>
      <c r="I593"/>
      <c r="J593"/>
      <c r="K593"/>
      <c r="L593"/>
      <c r="M593"/>
      <c r="N593"/>
      <c r="O593"/>
      <c r="P593" s="225"/>
      <c r="Q593" s="225"/>
      <c r="R593"/>
      <c r="S593"/>
      <c r="T593"/>
      <c r="U593"/>
      <c r="V593"/>
      <c r="W593"/>
      <c r="X593"/>
    </row>
    <row r="594" spans="5:24" x14ac:dyDescent="0.3">
      <c r="E594" s="173"/>
      <c r="F594" s="173"/>
      <c r="I594"/>
      <c r="J594"/>
      <c r="K594"/>
      <c r="L594"/>
      <c r="M594"/>
      <c r="N594"/>
      <c r="O594"/>
      <c r="P594" s="225"/>
      <c r="Q594" s="225"/>
      <c r="R594"/>
      <c r="S594"/>
      <c r="T594"/>
      <c r="U594"/>
      <c r="V594"/>
      <c r="W594"/>
      <c r="X594"/>
    </row>
    <row r="595" spans="5:24" x14ac:dyDescent="0.3">
      <c r="E595" s="173"/>
      <c r="F595" s="173"/>
      <c r="I595"/>
      <c r="J595"/>
      <c r="K595"/>
      <c r="L595"/>
      <c r="M595"/>
      <c r="N595"/>
      <c r="O595"/>
      <c r="P595" s="225"/>
      <c r="Q595" s="225"/>
      <c r="R595"/>
      <c r="S595"/>
      <c r="T595"/>
      <c r="U595"/>
      <c r="V595"/>
      <c r="W595"/>
      <c r="X595"/>
    </row>
    <row r="596" spans="5:24" x14ac:dyDescent="0.3">
      <c r="E596" s="173"/>
      <c r="F596" s="173"/>
      <c r="I596"/>
      <c r="J596"/>
      <c r="K596"/>
      <c r="L596"/>
      <c r="M596"/>
      <c r="N596"/>
      <c r="O596"/>
      <c r="P596" s="225"/>
      <c r="Q596" s="225"/>
      <c r="R596"/>
      <c r="S596"/>
      <c r="T596"/>
      <c r="U596"/>
      <c r="V596"/>
      <c r="W596"/>
      <c r="X596"/>
    </row>
    <row r="597" spans="5:24" x14ac:dyDescent="0.3">
      <c r="E597" s="173"/>
      <c r="F597" s="173"/>
      <c r="I597"/>
      <c r="J597"/>
      <c r="K597"/>
      <c r="L597"/>
      <c r="M597"/>
      <c r="N597"/>
      <c r="O597"/>
      <c r="P597" s="225"/>
      <c r="Q597" s="225"/>
      <c r="R597"/>
      <c r="S597"/>
      <c r="T597"/>
      <c r="U597"/>
      <c r="V597"/>
      <c r="W597"/>
      <c r="X597"/>
    </row>
    <row r="598" spans="5:24" x14ac:dyDescent="0.3">
      <c r="E598" s="173"/>
      <c r="F598" s="173"/>
      <c r="I598"/>
      <c r="J598"/>
      <c r="K598"/>
      <c r="L598"/>
      <c r="M598"/>
      <c r="N598"/>
      <c r="O598"/>
      <c r="P598" s="225"/>
      <c r="Q598" s="225"/>
      <c r="R598"/>
      <c r="S598"/>
      <c r="T598"/>
      <c r="U598"/>
      <c r="V598"/>
      <c r="W598"/>
      <c r="X598"/>
    </row>
    <row r="599" spans="5:24" x14ac:dyDescent="0.3">
      <c r="E599" s="173"/>
      <c r="F599" s="173"/>
      <c r="I599"/>
      <c r="J599"/>
      <c r="K599"/>
      <c r="L599"/>
      <c r="M599"/>
      <c r="N599"/>
      <c r="O599"/>
      <c r="P599" s="225"/>
      <c r="Q599" s="225"/>
      <c r="R599"/>
      <c r="S599"/>
      <c r="T599"/>
      <c r="U599"/>
      <c r="V599"/>
      <c r="W599"/>
      <c r="X599"/>
    </row>
    <row r="600" spans="5:24" x14ac:dyDescent="0.3">
      <c r="E600" s="173"/>
      <c r="F600" s="173"/>
      <c r="I600"/>
      <c r="J600"/>
      <c r="K600"/>
      <c r="L600"/>
      <c r="M600"/>
      <c r="N600"/>
      <c r="O600"/>
      <c r="P600" s="225"/>
      <c r="Q600" s="225"/>
      <c r="R600"/>
      <c r="S600"/>
      <c r="T600"/>
      <c r="U600"/>
      <c r="V600"/>
      <c r="W600"/>
      <c r="X600"/>
    </row>
    <row r="601" spans="5:24" x14ac:dyDescent="0.3">
      <c r="E601" s="173"/>
      <c r="F601" s="173"/>
      <c r="I601"/>
      <c r="J601"/>
      <c r="K601"/>
      <c r="L601"/>
      <c r="M601"/>
      <c r="N601"/>
      <c r="O601"/>
      <c r="P601" s="225"/>
      <c r="Q601" s="225"/>
      <c r="R601"/>
      <c r="S601"/>
      <c r="T601"/>
      <c r="U601"/>
      <c r="V601"/>
      <c r="W601"/>
      <c r="X601"/>
    </row>
    <row r="602" spans="5:24" x14ac:dyDescent="0.3">
      <c r="E602" s="173"/>
      <c r="F602" s="173"/>
      <c r="I602"/>
      <c r="J602"/>
      <c r="K602"/>
      <c r="L602"/>
      <c r="M602"/>
      <c r="N602"/>
      <c r="O602"/>
      <c r="P602" s="225"/>
      <c r="Q602" s="225"/>
      <c r="R602"/>
      <c r="S602"/>
      <c r="T602"/>
      <c r="U602"/>
      <c r="V602"/>
      <c r="W602"/>
      <c r="X602"/>
    </row>
    <row r="603" spans="5:24" x14ac:dyDescent="0.3">
      <c r="E603" s="173"/>
      <c r="F603" s="173"/>
      <c r="I603"/>
      <c r="J603"/>
      <c r="K603"/>
      <c r="L603"/>
      <c r="M603"/>
      <c r="N603"/>
      <c r="O603"/>
      <c r="P603" s="225"/>
      <c r="Q603" s="225"/>
      <c r="R603"/>
      <c r="S603"/>
      <c r="T603"/>
      <c r="U603"/>
      <c r="V603"/>
      <c r="W603"/>
      <c r="X603"/>
    </row>
    <row r="604" spans="5:24" x14ac:dyDescent="0.3">
      <c r="E604" s="173"/>
      <c r="F604" s="173"/>
      <c r="I604"/>
      <c r="J604"/>
      <c r="K604"/>
      <c r="L604"/>
      <c r="M604"/>
      <c r="N604"/>
      <c r="O604"/>
      <c r="P604" s="225"/>
      <c r="Q604" s="225"/>
      <c r="R604"/>
      <c r="S604"/>
      <c r="T604"/>
      <c r="U604"/>
      <c r="V604"/>
      <c r="W604"/>
      <c r="X604"/>
    </row>
    <row r="605" spans="5:24" x14ac:dyDescent="0.3">
      <c r="E605" s="173"/>
      <c r="F605" s="173"/>
      <c r="I605"/>
      <c r="J605"/>
      <c r="K605"/>
      <c r="L605"/>
      <c r="M605"/>
      <c r="N605"/>
      <c r="O605"/>
      <c r="P605" s="225"/>
      <c r="Q605" s="225"/>
      <c r="R605"/>
      <c r="S605"/>
      <c r="T605"/>
      <c r="U605"/>
      <c r="V605"/>
      <c r="W605"/>
      <c r="X605"/>
    </row>
    <row r="606" spans="5:24" x14ac:dyDescent="0.3">
      <c r="E606" s="173"/>
      <c r="F606" s="173"/>
      <c r="I606"/>
      <c r="J606"/>
      <c r="K606"/>
      <c r="L606"/>
      <c r="M606"/>
      <c r="N606"/>
      <c r="O606"/>
      <c r="P606" s="225"/>
      <c r="Q606" s="225"/>
      <c r="R606"/>
      <c r="S606"/>
      <c r="T606"/>
      <c r="U606"/>
      <c r="V606"/>
      <c r="W606"/>
      <c r="X606"/>
    </row>
    <row r="607" spans="5:24" x14ac:dyDescent="0.3">
      <c r="E607" s="173"/>
      <c r="F607" s="173"/>
      <c r="I607"/>
      <c r="J607"/>
      <c r="K607"/>
      <c r="L607"/>
      <c r="M607"/>
      <c r="N607"/>
      <c r="O607"/>
      <c r="P607" s="225"/>
      <c r="Q607" s="225"/>
      <c r="R607"/>
      <c r="S607"/>
      <c r="T607"/>
      <c r="U607"/>
      <c r="V607"/>
      <c r="W607"/>
      <c r="X607"/>
    </row>
    <row r="608" spans="5:24" x14ac:dyDescent="0.3">
      <c r="E608" s="173"/>
      <c r="F608" s="173"/>
      <c r="I608"/>
      <c r="J608"/>
      <c r="K608"/>
      <c r="L608"/>
      <c r="M608"/>
      <c r="N608"/>
      <c r="O608"/>
      <c r="P608" s="225"/>
      <c r="Q608" s="225"/>
      <c r="R608"/>
      <c r="S608"/>
      <c r="T608"/>
      <c r="U608"/>
      <c r="V608"/>
      <c r="W608"/>
      <c r="X608"/>
    </row>
    <row r="609" spans="5:24" x14ac:dyDescent="0.3">
      <c r="E609" s="173"/>
      <c r="F609" s="173"/>
      <c r="I609"/>
      <c r="J609"/>
      <c r="K609"/>
      <c r="L609"/>
      <c r="M609"/>
      <c r="N609"/>
      <c r="O609"/>
      <c r="P609" s="225"/>
      <c r="Q609" s="225"/>
      <c r="R609"/>
      <c r="S609"/>
      <c r="T609"/>
      <c r="U609"/>
      <c r="V609"/>
      <c r="W609"/>
      <c r="X609"/>
    </row>
    <row r="610" spans="5:24" x14ac:dyDescent="0.3">
      <c r="E610" s="173"/>
      <c r="F610" s="173"/>
      <c r="I610"/>
      <c r="J610"/>
      <c r="K610"/>
      <c r="L610"/>
      <c r="M610"/>
      <c r="N610"/>
      <c r="O610"/>
      <c r="P610" s="225"/>
      <c r="Q610" s="225"/>
      <c r="R610"/>
      <c r="S610"/>
      <c r="T610"/>
      <c r="U610"/>
      <c r="V610"/>
      <c r="W610"/>
      <c r="X610"/>
    </row>
    <row r="611" spans="5:24" x14ac:dyDescent="0.3">
      <c r="E611" s="173"/>
      <c r="F611" s="173"/>
      <c r="I611"/>
      <c r="J611"/>
      <c r="K611"/>
      <c r="L611"/>
      <c r="M611"/>
      <c r="N611"/>
      <c r="O611"/>
      <c r="P611" s="225"/>
      <c r="Q611" s="225"/>
      <c r="R611"/>
      <c r="S611"/>
      <c r="T611"/>
      <c r="U611"/>
      <c r="V611"/>
      <c r="W611"/>
      <c r="X611"/>
    </row>
    <row r="612" spans="5:24" x14ac:dyDescent="0.3">
      <c r="E612" s="173"/>
      <c r="F612" s="173"/>
      <c r="I612"/>
      <c r="J612"/>
      <c r="K612"/>
      <c r="L612"/>
      <c r="M612"/>
      <c r="N612"/>
      <c r="O612"/>
      <c r="P612" s="225"/>
      <c r="Q612" s="225"/>
      <c r="R612"/>
      <c r="S612"/>
      <c r="T612"/>
      <c r="U612"/>
      <c r="V612"/>
      <c r="W612"/>
      <c r="X612"/>
    </row>
    <row r="613" spans="5:24" x14ac:dyDescent="0.3">
      <c r="E613" s="173"/>
      <c r="F613" s="173"/>
      <c r="I613"/>
      <c r="J613"/>
      <c r="K613"/>
      <c r="L613"/>
      <c r="M613"/>
      <c r="N613"/>
      <c r="O613"/>
      <c r="P613" s="225"/>
      <c r="Q613" s="225"/>
      <c r="R613"/>
      <c r="S613"/>
      <c r="T613"/>
      <c r="U613"/>
      <c r="V613"/>
      <c r="W613"/>
      <c r="X613"/>
    </row>
    <row r="614" spans="5:24" x14ac:dyDescent="0.3">
      <c r="E614" s="173"/>
      <c r="F614" s="173"/>
      <c r="I614"/>
      <c r="J614"/>
      <c r="K614"/>
      <c r="L614"/>
      <c r="M614"/>
      <c r="N614"/>
      <c r="O614"/>
      <c r="P614" s="225"/>
      <c r="Q614" s="225"/>
      <c r="R614"/>
      <c r="S614"/>
      <c r="T614"/>
      <c r="U614"/>
      <c r="V614"/>
      <c r="W614"/>
      <c r="X614"/>
    </row>
    <row r="615" spans="5:24" x14ac:dyDescent="0.3">
      <c r="E615" s="173"/>
      <c r="F615" s="173"/>
      <c r="I615"/>
      <c r="J615"/>
      <c r="K615"/>
      <c r="L615"/>
      <c r="M615"/>
      <c r="N615"/>
      <c r="O615"/>
      <c r="P615" s="225"/>
      <c r="Q615" s="225"/>
      <c r="R615"/>
      <c r="S615"/>
      <c r="T615"/>
      <c r="U615"/>
      <c r="V615"/>
      <c r="W615"/>
      <c r="X615"/>
    </row>
    <row r="616" spans="5:24" x14ac:dyDescent="0.3">
      <c r="E616" s="173"/>
      <c r="F616" s="173"/>
      <c r="I616"/>
      <c r="J616"/>
      <c r="K616"/>
      <c r="L616"/>
      <c r="M616"/>
      <c r="N616"/>
      <c r="O616"/>
      <c r="P616" s="225"/>
      <c r="Q616" s="225"/>
      <c r="R616"/>
      <c r="S616"/>
      <c r="T616"/>
      <c r="U616"/>
      <c r="V616"/>
      <c r="W616"/>
      <c r="X616"/>
    </row>
    <row r="617" spans="5:24" x14ac:dyDescent="0.3">
      <c r="E617" s="173"/>
      <c r="F617" s="173"/>
      <c r="I617"/>
      <c r="J617"/>
      <c r="K617"/>
      <c r="L617"/>
      <c r="M617"/>
      <c r="N617"/>
      <c r="O617"/>
      <c r="P617" s="225"/>
      <c r="Q617" s="225"/>
      <c r="R617"/>
      <c r="S617"/>
      <c r="T617"/>
      <c r="U617"/>
      <c r="V617"/>
      <c r="W617"/>
      <c r="X617"/>
    </row>
    <row r="618" spans="5:24" x14ac:dyDescent="0.3">
      <c r="E618" s="173"/>
      <c r="F618" s="173"/>
      <c r="I618"/>
      <c r="J618"/>
      <c r="K618"/>
      <c r="L618"/>
      <c r="M618"/>
      <c r="N618"/>
      <c r="O618"/>
      <c r="P618" s="225"/>
      <c r="Q618" s="225"/>
      <c r="R618"/>
      <c r="S618"/>
      <c r="T618"/>
      <c r="U618"/>
      <c r="V618"/>
      <c r="W618"/>
      <c r="X618"/>
    </row>
    <row r="619" spans="5:24" x14ac:dyDescent="0.3">
      <c r="E619" s="173"/>
      <c r="F619" s="173"/>
      <c r="I619"/>
      <c r="J619"/>
      <c r="K619"/>
      <c r="L619"/>
      <c r="M619"/>
      <c r="N619"/>
      <c r="O619"/>
      <c r="P619" s="225"/>
      <c r="Q619" s="225"/>
      <c r="R619"/>
      <c r="S619"/>
      <c r="T619"/>
      <c r="U619"/>
      <c r="V619"/>
      <c r="W619"/>
      <c r="X619"/>
    </row>
    <row r="620" spans="5:24" x14ac:dyDescent="0.3">
      <c r="E620" s="173"/>
      <c r="F620" s="173"/>
      <c r="I620"/>
      <c r="J620"/>
      <c r="K620"/>
      <c r="L620"/>
      <c r="M620"/>
      <c r="N620"/>
      <c r="O620"/>
      <c r="P620" s="225"/>
      <c r="Q620" s="225"/>
      <c r="R620"/>
      <c r="S620"/>
      <c r="T620"/>
      <c r="U620"/>
      <c r="V620"/>
      <c r="W620"/>
      <c r="X620"/>
    </row>
    <row r="621" spans="5:24" x14ac:dyDescent="0.3">
      <c r="E621" s="173"/>
      <c r="F621" s="173"/>
      <c r="I621"/>
      <c r="J621"/>
      <c r="K621"/>
      <c r="L621"/>
      <c r="M621"/>
      <c r="N621"/>
      <c r="O621"/>
      <c r="P621" s="225"/>
      <c r="Q621" s="225"/>
      <c r="R621"/>
      <c r="S621"/>
      <c r="T621"/>
      <c r="U621"/>
      <c r="V621"/>
      <c r="W621"/>
      <c r="X621"/>
    </row>
    <row r="622" spans="5:24" x14ac:dyDescent="0.3">
      <c r="E622" s="173"/>
      <c r="F622" s="173"/>
      <c r="I622"/>
      <c r="J622"/>
      <c r="K622"/>
      <c r="L622"/>
      <c r="M622"/>
      <c r="N622"/>
      <c r="O622"/>
      <c r="P622" s="225"/>
      <c r="Q622" s="225"/>
      <c r="R622"/>
      <c r="S622"/>
      <c r="T622"/>
      <c r="U622"/>
      <c r="V622"/>
      <c r="W622"/>
      <c r="X622"/>
    </row>
    <row r="623" spans="5:24" x14ac:dyDescent="0.3">
      <c r="E623" s="173"/>
      <c r="F623" s="173"/>
      <c r="I623"/>
      <c r="J623"/>
      <c r="K623"/>
      <c r="L623"/>
      <c r="M623"/>
      <c r="N623"/>
      <c r="O623"/>
      <c r="P623" s="225"/>
      <c r="Q623" s="225"/>
      <c r="R623"/>
      <c r="S623"/>
      <c r="T623"/>
      <c r="U623"/>
      <c r="V623"/>
      <c r="W623"/>
      <c r="X623"/>
    </row>
    <row r="624" spans="5:24" x14ac:dyDescent="0.3">
      <c r="E624" s="173"/>
      <c r="F624" s="173"/>
      <c r="I624"/>
      <c r="J624"/>
      <c r="K624"/>
      <c r="L624"/>
      <c r="M624"/>
      <c r="N624"/>
      <c r="O624"/>
      <c r="P624" s="225"/>
      <c r="Q624" s="225"/>
      <c r="R624"/>
      <c r="S624"/>
      <c r="T624"/>
      <c r="U624"/>
      <c r="V624"/>
      <c r="W624"/>
      <c r="X624"/>
    </row>
    <row r="625" spans="5:24" x14ac:dyDescent="0.3">
      <c r="E625" s="173"/>
      <c r="F625" s="173"/>
      <c r="I625"/>
      <c r="J625"/>
      <c r="K625"/>
      <c r="L625"/>
      <c r="M625"/>
      <c r="N625"/>
      <c r="O625"/>
      <c r="P625" s="225"/>
      <c r="Q625" s="225"/>
      <c r="R625"/>
      <c r="S625"/>
      <c r="T625"/>
      <c r="U625"/>
      <c r="V625"/>
      <c r="W625"/>
      <c r="X625"/>
    </row>
    <row r="626" spans="5:24" x14ac:dyDescent="0.3">
      <c r="E626" s="173"/>
      <c r="F626" s="173"/>
      <c r="I626"/>
      <c r="J626"/>
      <c r="K626"/>
      <c r="L626"/>
      <c r="M626"/>
      <c r="N626"/>
      <c r="O626"/>
      <c r="P626" s="225"/>
      <c r="Q626" s="225"/>
      <c r="R626"/>
      <c r="S626"/>
      <c r="T626"/>
      <c r="U626"/>
      <c r="V626"/>
      <c r="W626"/>
      <c r="X626"/>
    </row>
    <row r="627" spans="5:24" x14ac:dyDescent="0.3">
      <c r="E627" s="173"/>
      <c r="F627" s="173"/>
      <c r="I627"/>
      <c r="J627"/>
      <c r="K627"/>
      <c r="L627"/>
      <c r="M627"/>
      <c r="N627"/>
      <c r="O627"/>
      <c r="P627" s="225"/>
      <c r="Q627" s="225"/>
      <c r="R627"/>
      <c r="S627"/>
      <c r="T627"/>
      <c r="U627"/>
      <c r="V627"/>
      <c r="W627"/>
      <c r="X627"/>
    </row>
    <row r="628" spans="5:24" x14ac:dyDescent="0.3">
      <c r="E628" s="173"/>
      <c r="F628" s="173"/>
      <c r="I628"/>
      <c r="J628"/>
      <c r="K628"/>
      <c r="L628"/>
      <c r="M628"/>
      <c r="N628"/>
      <c r="O628"/>
      <c r="P628" s="225"/>
      <c r="Q628" s="225"/>
      <c r="R628"/>
      <c r="S628"/>
      <c r="T628"/>
      <c r="U628"/>
      <c r="V628"/>
      <c r="W628"/>
      <c r="X628"/>
    </row>
    <row r="629" spans="5:24" x14ac:dyDescent="0.3">
      <c r="E629" s="173"/>
      <c r="F629" s="173"/>
      <c r="I629"/>
      <c r="J629"/>
      <c r="K629"/>
      <c r="L629"/>
      <c r="M629"/>
      <c r="N629"/>
      <c r="O629"/>
      <c r="P629" s="225"/>
      <c r="Q629" s="225"/>
      <c r="R629"/>
      <c r="S629"/>
      <c r="T629"/>
      <c r="U629"/>
      <c r="V629"/>
      <c r="W629"/>
      <c r="X629"/>
    </row>
    <row r="630" spans="5:24" x14ac:dyDescent="0.3">
      <c r="E630" s="173"/>
      <c r="F630" s="173"/>
      <c r="I630"/>
      <c r="J630"/>
      <c r="K630"/>
      <c r="L630"/>
      <c r="M630"/>
      <c r="N630"/>
      <c r="O630"/>
      <c r="P630" s="225"/>
      <c r="Q630" s="225"/>
      <c r="R630"/>
      <c r="S630"/>
      <c r="T630"/>
      <c r="U630"/>
      <c r="V630"/>
      <c r="W630"/>
      <c r="X630"/>
    </row>
    <row r="631" spans="5:24" x14ac:dyDescent="0.3">
      <c r="E631" s="173"/>
      <c r="F631" s="173"/>
      <c r="I631"/>
      <c r="J631"/>
      <c r="K631"/>
      <c r="L631"/>
      <c r="M631"/>
      <c r="N631"/>
      <c r="O631"/>
      <c r="P631" s="225"/>
      <c r="Q631" s="225"/>
      <c r="R631"/>
      <c r="S631"/>
      <c r="T631"/>
      <c r="U631"/>
      <c r="V631"/>
      <c r="W631"/>
      <c r="X631"/>
    </row>
    <row r="632" spans="5:24" x14ac:dyDescent="0.3">
      <c r="E632" s="173"/>
      <c r="F632" s="173"/>
      <c r="I632"/>
      <c r="J632"/>
      <c r="K632"/>
      <c r="L632"/>
      <c r="M632"/>
      <c r="N632"/>
      <c r="O632"/>
      <c r="P632" s="225"/>
      <c r="Q632" s="225"/>
      <c r="R632"/>
      <c r="S632"/>
      <c r="T632"/>
      <c r="U632"/>
      <c r="V632"/>
      <c r="W632"/>
      <c r="X632"/>
    </row>
    <row r="633" spans="5:24" x14ac:dyDescent="0.3">
      <c r="E633" s="173"/>
      <c r="F633" s="173"/>
      <c r="I633"/>
      <c r="J633"/>
      <c r="K633"/>
      <c r="L633"/>
      <c r="M633"/>
      <c r="N633"/>
      <c r="O633"/>
      <c r="P633" s="225"/>
      <c r="Q633" s="225"/>
      <c r="R633"/>
      <c r="S633"/>
      <c r="T633"/>
      <c r="U633"/>
      <c r="V633"/>
      <c r="W633"/>
      <c r="X633"/>
    </row>
    <row r="634" spans="5:24" x14ac:dyDescent="0.3">
      <c r="E634" s="173"/>
      <c r="F634" s="173"/>
      <c r="I634"/>
      <c r="J634"/>
      <c r="K634"/>
      <c r="L634"/>
      <c r="M634"/>
      <c r="N634"/>
      <c r="O634"/>
      <c r="P634" s="225"/>
      <c r="Q634" s="225"/>
      <c r="R634"/>
      <c r="S634"/>
      <c r="T634"/>
      <c r="U634"/>
      <c r="V634"/>
      <c r="W634"/>
      <c r="X634"/>
    </row>
    <row r="635" spans="5:24" x14ac:dyDescent="0.3">
      <c r="E635" s="173"/>
      <c r="F635" s="173"/>
      <c r="I635"/>
      <c r="J635"/>
      <c r="K635"/>
      <c r="L635"/>
      <c r="M635"/>
      <c r="N635"/>
      <c r="O635"/>
      <c r="P635" s="225"/>
      <c r="Q635" s="225"/>
      <c r="R635"/>
      <c r="S635"/>
      <c r="T635"/>
      <c r="U635"/>
      <c r="V635"/>
      <c r="W635"/>
      <c r="X635"/>
    </row>
    <row r="636" spans="5:24" x14ac:dyDescent="0.3">
      <c r="E636" s="173"/>
      <c r="F636" s="173"/>
      <c r="I636"/>
      <c r="J636"/>
      <c r="K636"/>
      <c r="L636"/>
      <c r="M636"/>
      <c r="N636"/>
      <c r="O636"/>
      <c r="P636" s="225"/>
      <c r="Q636" s="225"/>
      <c r="R636"/>
      <c r="S636"/>
      <c r="T636"/>
      <c r="U636"/>
      <c r="V636"/>
      <c r="W636"/>
      <c r="X636"/>
    </row>
    <row r="637" spans="5:24" x14ac:dyDescent="0.3">
      <c r="E637" s="173"/>
      <c r="F637" s="173"/>
      <c r="I637"/>
      <c r="J637"/>
      <c r="K637"/>
      <c r="L637"/>
      <c r="M637"/>
      <c r="N637"/>
      <c r="O637"/>
      <c r="P637" s="225"/>
      <c r="Q637" s="225"/>
      <c r="R637"/>
      <c r="S637"/>
      <c r="T637"/>
      <c r="U637"/>
      <c r="V637"/>
      <c r="W637"/>
      <c r="X637"/>
    </row>
    <row r="638" spans="5:24" x14ac:dyDescent="0.3">
      <c r="E638" s="173"/>
      <c r="F638" s="173"/>
      <c r="I638"/>
      <c r="J638"/>
      <c r="K638"/>
      <c r="L638"/>
      <c r="M638"/>
      <c r="N638"/>
      <c r="O638"/>
      <c r="P638" s="225"/>
      <c r="Q638" s="225"/>
      <c r="R638"/>
      <c r="S638"/>
      <c r="T638"/>
      <c r="U638"/>
      <c r="V638"/>
      <c r="W638"/>
      <c r="X638"/>
    </row>
    <row r="639" spans="5:24" x14ac:dyDescent="0.3">
      <c r="E639" s="173"/>
      <c r="F639" s="173"/>
      <c r="I639"/>
      <c r="J639"/>
      <c r="K639"/>
      <c r="L639"/>
      <c r="M639"/>
      <c r="N639"/>
      <c r="O639"/>
      <c r="P639" s="225"/>
      <c r="Q639" s="225"/>
      <c r="R639"/>
      <c r="S639"/>
      <c r="T639"/>
      <c r="U639"/>
      <c r="V639"/>
      <c r="W639"/>
      <c r="X639"/>
    </row>
    <row r="640" spans="5:24" x14ac:dyDescent="0.3">
      <c r="E640" s="173"/>
      <c r="F640" s="173"/>
      <c r="I640"/>
      <c r="J640"/>
      <c r="K640"/>
      <c r="L640"/>
      <c r="M640"/>
      <c r="N640"/>
      <c r="O640"/>
      <c r="P640" s="225"/>
      <c r="Q640" s="225"/>
      <c r="R640"/>
      <c r="S640"/>
      <c r="T640"/>
      <c r="U640"/>
      <c r="V640"/>
      <c r="W640"/>
      <c r="X640"/>
    </row>
    <row r="641" spans="5:24" x14ac:dyDescent="0.3">
      <c r="E641" s="173"/>
      <c r="F641" s="173"/>
      <c r="I641"/>
      <c r="J641"/>
      <c r="K641"/>
      <c r="L641"/>
      <c r="M641"/>
      <c r="N641"/>
      <c r="O641"/>
      <c r="P641" s="225"/>
      <c r="Q641" s="225"/>
      <c r="R641"/>
      <c r="S641"/>
      <c r="T641"/>
      <c r="U641"/>
      <c r="V641"/>
      <c r="W641"/>
      <c r="X641"/>
    </row>
    <row r="642" spans="5:24" x14ac:dyDescent="0.3">
      <c r="E642" s="173"/>
      <c r="F642" s="173"/>
      <c r="I642"/>
      <c r="J642"/>
      <c r="K642"/>
      <c r="L642"/>
      <c r="M642"/>
      <c r="N642"/>
      <c r="O642"/>
      <c r="P642" s="225"/>
      <c r="Q642" s="225"/>
      <c r="R642"/>
      <c r="S642"/>
      <c r="T642"/>
      <c r="U642"/>
      <c r="V642"/>
      <c r="W642"/>
      <c r="X642"/>
    </row>
    <row r="643" spans="5:24" x14ac:dyDescent="0.3">
      <c r="E643" s="173"/>
      <c r="F643" s="173"/>
      <c r="I643"/>
      <c r="J643"/>
      <c r="K643"/>
      <c r="L643"/>
      <c r="M643"/>
      <c r="N643"/>
      <c r="O643"/>
      <c r="P643" s="225"/>
      <c r="Q643" s="225"/>
      <c r="R643"/>
      <c r="S643"/>
      <c r="T643"/>
      <c r="U643"/>
      <c r="V643"/>
      <c r="W643"/>
      <c r="X643"/>
    </row>
    <row r="644" spans="5:24" x14ac:dyDescent="0.3">
      <c r="E644" s="173"/>
      <c r="F644" s="173"/>
      <c r="I644"/>
      <c r="J644"/>
      <c r="K644"/>
      <c r="L644"/>
      <c r="M644"/>
      <c r="N644"/>
      <c r="O644"/>
      <c r="P644" s="225"/>
      <c r="Q644" s="225"/>
      <c r="R644"/>
      <c r="S644"/>
      <c r="T644"/>
      <c r="U644"/>
      <c r="V644"/>
      <c r="W644"/>
      <c r="X644"/>
    </row>
    <row r="645" spans="5:24" x14ac:dyDescent="0.3">
      <c r="E645" s="173"/>
      <c r="F645" s="173"/>
      <c r="I645"/>
      <c r="J645"/>
      <c r="K645"/>
      <c r="L645"/>
      <c r="M645"/>
      <c r="N645"/>
      <c r="O645"/>
      <c r="P645" s="225"/>
      <c r="Q645" s="225"/>
      <c r="R645"/>
      <c r="S645"/>
      <c r="T645"/>
      <c r="U645"/>
      <c r="V645"/>
      <c r="W645"/>
      <c r="X645"/>
    </row>
    <row r="646" spans="5:24" x14ac:dyDescent="0.3">
      <c r="E646" s="173"/>
      <c r="F646" s="173"/>
      <c r="I646"/>
      <c r="J646"/>
      <c r="K646"/>
      <c r="L646"/>
      <c r="M646"/>
      <c r="N646"/>
      <c r="O646"/>
      <c r="P646" s="225"/>
      <c r="Q646" s="225"/>
      <c r="R646"/>
      <c r="S646"/>
      <c r="T646"/>
      <c r="U646"/>
      <c r="V646"/>
      <c r="W646"/>
      <c r="X646"/>
    </row>
    <row r="647" spans="5:24" x14ac:dyDescent="0.3">
      <c r="E647" s="173"/>
      <c r="F647" s="173"/>
      <c r="I647"/>
      <c r="J647"/>
      <c r="K647"/>
      <c r="L647"/>
      <c r="M647"/>
      <c r="N647"/>
      <c r="O647"/>
      <c r="P647" s="225"/>
      <c r="Q647" s="225"/>
      <c r="R647"/>
      <c r="S647"/>
      <c r="T647"/>
      <c r="U647"/>
      <c r="V647"/>
      <c r="W647"/>
      <c r="X647"/>
    </row>
    <row r="648" spans="5:24" x14ac:dyDescent="0.3">
      <c r="E648" s="173"/>
      <c r="F648" s="173"/>
      <c r="I648"/>
      <c r="J648"/>
      <c r="K648"/>
      <c r="L648"/>
      <c r="M648"/>
      <c r="N648"/>
      <c r="O648"/>
      <c r="P648" s="225"/>
      <c r="Q648" s="225"/>
      <c r="R648"/>
      <c r="S648"/>
      <c r="T648"/>
      <c r="U648"/>
      <c r="V648"/>
      <c r="W648"/>
      <c r="X648"/>
    </row>
    <row r="649" spans="5:24" x14ac:dyDescent="0.3">
      <c r="E649" s="173"/>
      <c r="F649" s="173"/>
      <c r="I649"/>
      <c r="J649"/>
      <c r="K649"/>
      <c r="L649"/>
      <c r="M649"/>
      <c r="N649"/>
      <c r="O649"/>
      <c r="P649" s="225"/>
      <c r="Q649" s="225"/>
      <c r="R649"/>
      <c r="S649"/>
      <c r="T649"/>
      <c r="U649"/>
      <c r="V649"/>
      <c r="W649"/>
      <c r="X649"/>
    </row>
    <row r="650" spans="5:24" x14ac:dyDescent="0.3">
      <c r="E650" s="173"/>
      <c r="F650" s="173"/>
      <c r="I650"/>
      <c r="J650"/>
      <c r="K650"/>
      <c r="L650"/>
      <c r="M650"/>
      <c r="N650"/>
      <c r="O650"/>
      <c r="P650" s="225"/>
      <c r="Q650" s="225"/>
      <c r="R650"/>
      <c r="S650"/>
      <c r="T650"/>
      <c r="U650"/>
      <c r="V650"/>
      <c r="W650"/>
      <c r="X650"/>
    </row>
    <row r="651" spans="5:24" x14ac:dyDescent="0.3">
      <c r="E651" s="173"/>
      <c r="F651" s="173"/>
      <c r="I651"/>
      <c r="J651"/>
      <c r="K651"/>
      <c r="L651"/>
      <c r="M651"/>
      <c r="N651"/>
      <c r="O651"/>
      <c r="P651" s="225"/>
      <c r="Q651" s="225"/>
      <c r="R651"/>
      <c r="S651"/>
      <c r="T651"/>
      <c r="U651"/>
      <c r="V651"/>
      <c r="W651"/>
      <c r="X651"/>
    </row>
    <row r="652" spans="5:24" x14ac:dyDescent="0.3">
      <c r="E652" s="173"/>
      <c r="F652" s="173"/>
      <c r="I652"/>
      <c r="J652"/>
      <c r="K652"/>
      <c r="L652"/>
      <c r="M652"/>
      <c r="N652"/>
      <c r="O652"/>
      <c r="P652" s="225"/>
      <c r="Q652" s="225"/>
      <c r="R652"/>
      <c r="S652"/>
      <c r="T652"/>
      <c r="U652"/>
      <c r="V652"/>
      <c r="W652"/>
      <c r="X652"/>
    </row>
    <row r="653" spans="5:24" x14ac:dyDescent="0.3">
      <c r="E653" s="173"/>
      <c r="F653" s="173"/>
      <c r="I653"/>
      <c r="J653"/>
      <c r="K653"/>
      <c r="L653"/>
      <c r="M653"/>
      <c r="N653"/>
      <c r="O653"/>
      <c r="P653" s="225"/>
      <c r="Q653" s="225"/>
      <c r="R653"/>
      <c r="S653"/>
      <c r="T653"/>
      <c r="U653"/>
      <c r="V653"/>
      <c r="W653"/>
      <c r="X653"/>
    </row>
    <row r="654" spans="5:24" x14ac:dyDescent="0.3">
      <c r="E654" s="173"/>
      <c r="F654" s="173"/>
      <c r="I654"/>
      <c r="J654"/>
      <c r="K654"/>
      <c r="L654"/>
      <c r="M654"/>
      <c r="N654"/>
      <c r="O654"/>
      <c r="P654" s="225"/>
      <c r="Q654" s="225"/>
      <c r="R654"/>
      <c r="S654"/>
      <c r="T654"/>
      <c r="U654"/>
      <c r="V654"/>
      <c r="W654"/>
      <c r="X654"/>
    </row>
    <row r="655" spans="5:24" x14ac:dyDescent="0.3">
      <c r="E655" s="173"/>
      <c r="F655" s="173"/>
      <c r="I655"/>
      <c r="J655"/>
      <c r="K655"/>
      <c r="L655"/>
      <c r="M655"/>
      <c r="N655"/>
      <c r="O655"/>
      <c r="P655" s="225"/>
      <c r="Q655" s="225"/>
      <c r="R655"/>
      <c r="S655"/>
      <c r="T655"/>
      <c r="U655"/>
      <c r="V655"/>
      <c r="W655"/>
      <c r="X655"/>
    </row>
    <row r="656" spans="5:24" x14ac:dyDescent="0.3">
      <c r="E656" s="173"/>
      <c r="F656" s="173"/>
      <c r="I656"/>
      <c r="J656"/>
      <c r="K656"/>
      <c r="L656"/>
      <c r="M656"/>
      <c r="N656"/>
      <c r="O656"/>
      <c r="P656" s="225"/>
      <c r="Q656" s="225"/>
      <c r="R656"/>
      <c r="S656"/>
      <c r="T656"/>
      <c r="U656"/>
      <c r="V656"/>
      <c r="W656"/>
      <c r="X656"/>
    </row>
    <row r="657" spans="5:24" x14ac:dyDescent="0.3">
      <c r="E657" s="173"/>
      <c r="F657" s="173"/>
      <c r="I657"/>
      <c r="J657"/>
      <c r="K657"/>
      <c r="L657"/>
      <c r="M657"/>
      <c r="N657"/>
      <c r="O657"/>
      <c r="P657" s="225"/>
      <c r="Q657" s="225"/>
      <c r="R657"/>
      <c r="S657"/>
      <c r="T657"/>
      <c r="U657"/>
      <c r="V657"/>
      <c r="W657"/>
      <c r="X657"/>
    </row>
    <row r="658" spans="5:24" x14ac:dyDescent="0.3">
      <c r="E658" s="173"/>
      <c r="F658" s="173"/>
      <c r="I658"/>
      <c r="J658"/>
      <c r="K658"/>
      <c r="L658"/>
      <c r="M658"/>
      <c r="N658"/>
      <c r="O658"/>
      <c r="P658" s="225"/>
      <c r="Q658" s="225"/>
      <c r="R658"/>
      <c r="S658"/>
      <c r="T658"/>
      <c r="U658"/>
      <c r="V658"/>
      <c r="W658"/>
      <c r="X658"/>
    </row>
    <row r="659" spans="5:24" x14ac:dyDescent="0.3">
      <c r="E659" s="173"/>
      <c r="F659" s="173"/>
      <c r="I659"/>
      <c r="J659"/>
      <c r="K659"/>
      <c r="L659"/>
      <c r="M659"/>
      <c r="N659"/>
      <c r="O659"/>
      <c r="P659" s="225"/>
      <c r="Q659" s="225"/>
      <c r="R659"/>
      <c r="S659"/>
      <c r="T659"/>
      <c r="U659"/>
      <c r="V659"/>
      <c r="W659"/>
      <c r="X659"/>
    </row>
    <row r="660" spans="5:24" x14ac:dyDescent="0.3">
      <c r="E660" s="173"/>
      <c r="F660" s="173"/>
      <c r="I660"/>
      <c r="J660"/>
      <c r="K660"/>
      <c r="L660"/>
      <c r="M660"/>
      <c r="N660"/>
      <c r="O660"/>
      <c r="P660" s="225"/>
      <c r="Q660" s="225"/>
      <c r="R660"/>
      <c r="S660"/>
      <c r="T660"/>
      <c r="U660"/>
      <c r="V660"/>
      <c r="W660"/>
      <c r="X660"/>
    </row>
    <row r="661" spans="5:24" x14ac:dyDescent="0.3">
      <c r="E661" s="173"/>
      <c r="F661" s="173"/>
      <c r="I661"/>
      <c r="J661"/>
      <c r="K661"/>
      <c r="L661"/>
      <c r="M661"/>
      <c r="N661"/>
      <c r="O661"/>
      <c r="P661" s="225"/>
      <c r="Q661" s="225"/>
      <c r="R661"/>
      <c r="S661"/>
      <c r="T661"/>
      <c r="U661"/>
      <c r="V661"/>
      <c r="W661"/>
      <c r="X661"/>
    </row>
    <row r="662" spans="5:24" x14ac:dyDescent="0.3">
      <c r="E662" s="173"/>
      <c r="F662" s="173"/>
      <c r="I662"/>
      <c r="J662"/>
      <c r="K662"/>
      <c r="L662"/>
      <c r="M662"/>
      <c r="N662"/>
      <c r="O662"/>
      <c r="P662" s="225"/>
      <c r="Q662" s="225"/>
      <c r="R662"/>
      <c r="S662"/>
      <c r="T662"/>
      <c r="U662"/>
      <c r="V662"/>
      <c r="W662"/>
      <c r="X662"/>
    </row>
    <row r="663" spans="5:24" x14ac:dyDescent="0.3">
      <c r="E663" s="173"/>
      <c r="F663" s="173"/>
      <c r="I663"/>
      <c r="J663"/>
      <c r="K663"/>
      <c r="L663"/>
      <c r="M663"/>
      <c r="N663"/>
      <c r="O663"/>
      <c r="P663" s="225"/>
      <c r="Q663" s="225"/>
      <c r="R663"/>
      <c r="S663"/>
      <c r="T663"/>
      <c r="U663"/>
      <c r="V663"/>
      <c r="W663"/>
      <c r="X663"/>
    </row>
    <row r="664" spans="5:24" x14ac:dyDescent="0.3">
      <c r="E664" s="173"/>
      <c r="F664" s="173"/>
      <c r="I664"/>
      <c r="J664"/>
      <c r="K664"/>
      <c r="L664"/>
      <c r="M664"/>
      <c r="N664"/>
      <c r="O664"/>
      <c r="P664" s="225"/>
      <c r="Q664" s="225"/>
      <c r="R664"/>
      <c r="S664"/>
      <c r="T664"/>
      <c r="U664"/>
      <c r="V664"/>
      <c r="W664"/>
      <c r="X664"/>
    </row>
    <row r="665" spans="5:24" x14ac:dyDescent="0.3">
      <c r="E665" s="173"/>
      <c r="F665" s="173"/>
      <c r="I665"/>
      <c r="J665"/>
      <c r="K665"/>
      <c r="L665"/>
      <c r="M665"/>
      <c r="N665"/>
      <c r="O665"/>
      <c r="P665" s="225"/>
      <c r="Q665" s="225"/>
      <c r="R665"/>
      <c r="S665"/>
      <c r="T665"/>
      <c r="U665"/>
      <c r="V665"/>
      <c r="W665"/>
      <c r="X665"/>
    </row>
    <row r="666" spans="5:24" x14ac:dyDescent="0.3">
      <c r="E666" s="173"/>
      <c r="F666" s="173"/>
      <c r="I666"/>
      <c r="J666"/>
      <c r="K666"/>
      <c r="L666"/>
      <c r="M666"/>
      <c r="N666"/>
      <c r="O666"/>
      <c r="P666" s="225"/>
      <c r="Q666" s="225"/>
      <c r="R666"/>
      <c r="S666"/>
      <c r="T666"/>
      <c r="U666"/>
      <c r="V666"/>
      <c r="W666"/>
      <c r="X666"/>
    </row>
    <row r="667" spans="5:24" x14ac:dyDescent="0.3">
      <c r="E667" s="173"/>
      <c r="F667" s="173"/>
      <c r="I667"/>
      <c r="J667"/>
      <c r="K667"/>
      <c r="L667"/>
      <c r="M667"/>
      <c r="N667"/>
      <c r="O667"/>
      <c r="P667" s="225"/>
      <c r="Q667" s="225"/>
      <c r="R667"/>
      <c r="S667"/>
      <c r="T667"/>
      <c r="U667"/>
      <c r="V667"/>
      <c r="W667"/>
      <c r="X667"/>
    </row>
    <row r="668" spans="5:24" x14ac:dyDescent="0.3">
      <c r="E668" s="173"/>
      <c r="F668" s="173"/>
      <c r="I668"/>
      <c r="J668"/>
      <c r="K668"/>
      <c r="L668"/>
      <c r="M668"/>
      <c r="N668"/>
      <c r="O668"/>
      <c r="P668" s="225"/>
      <c r="Q668" s="225"/>
      <c r="R668"/>
      <c r="S668"/>
      <c r="T668"/>
      <c r="U668"/>
      <c r="V668"/>
      <c r="W668"/>
      <c r="X668"/>
    </row>
    <row r="669" spans="5:24" x14ac:dyDescent="0.3">
      <c r="E669" s="173"/>
      <c r="F669" s="173"/>
      <c r="I669"/>
      <c r="J669"/>
      <c r="K669"/>
      <c r="L669"/>
      <c r="M669"/>
      <c r="N669"/>
      <c r="O669"/>
      <c r="P669" s="225"/>
      <c r="Q669" s="225"/>
      <c r="R669"/>
      <c r="S669"/>
      <c r="T669"/>
      <c r="U669"/>
      <c r="V669"/>
      <c r="W669"/>
      <c r="X669"/>
    </row>
    <row r="670" spans="5:24" x14ac:dyDescent="0.3">
      <c r="E670" s="173"/>
      <c r="F670" s="173"/>
      <c r="I670"/>
      <c r="J670"/>
      <c r="K670"/>
      <c r="L670"/>
      <c r="M670"/>
      <c r="N670"/>
      <c r="O670"/>
      <c r="P670" s="225"/>
      <c r="Q670" s="225"/>
      <c r="R670"/>
      <c r="S670"/>
      <c r="T670"/>
      <c r="U670"/>
      <c r="V670"/>
      <c r="W670"/>
      <c r="X670"/>
    </row>
    <row r="671" spans="5:24" x14ac:dyDescent="0.3">
      <c r="E671" s="173"/>
      <c r="F671" s="173"/>
      <c r="I671"/>
      <c r="J671"/>
      <c r="K671"/>
      <c r="L671"/>
      <c r="M671"/>
      <c r="N671"/>
      <c r="O671"/>
      <c r="P671" s="225"/>
      <c r="Q671" s="225"/>
      <c r="R671"/>
      <c r="S671"/>
      <c r="T671"/>
      <c r="U671"/>
      <c r="V671"/>
      <c r="W671"/>
      <c r="X671"/>
    </row>
    <row r="672" spans="5:24" x14ac:dyDescent="0.3">
      <c r="E672" s="173"/>
      <c r="F672" s="173"/>
      <c r="I672"/>
      <c r="J672"/>
      <c r="K672"/>
      <c r="L672"/>
      <c r="M672"/>
      <c r="N672"/>
      <c r="O672"/>
      <c r="P672" s="225"/>
      <c r="Q672" s="225"/>
      <c r="R672"/>
      <c r="S672"/>
      <c r="T672"/>
      <c r="U672"/>
      <c r="V672"/>
      <c r="W672"/>
      <c r="X672"/>
    </row>
    <row r="673" spans="5:24" x14ac:dyDescent="0.3">
      <c r="E673" s="173"/>
      <c r="F673" s="173"/>
      <c r="I673"/>
      <c r="J673"/>
      <c r="K673"/>
      <c r="L673"/>
      <c r="M673"/>
      <c r="N673"/>
      <c r="O673"/>
      <c r="P673" s="225"/>
      <c r="Q673" s="225"/>
      <c r="R673"/>
      <c r="S673"/>
      <c r="T673"/>
      <c r="U673"/>
      <c r="V673"/>
      <c r="W673"/>
      <c r="X673"/>
    </row>
    <row r="674" spans="5:24" x14ac:dyDescent="0.3">
      <c r="E674" s="173"/>
      <c r="F674" s="173"/>
      <c r="I674"/>
      <c r="J674"/>
      <c r="K674"/>
      <c r="L674"/>
      <c r="M674"/>
      <c r="N674"/>
      <c r="O674"/>
      <c r="P674" s="225"/>
      <c r="Q674" s="225"/>
      <c r="R674"/>
      <c r="S674"/>
      <c r="T674"/>
      <c r="U674"/>
      <c r="V674"/>
      <c r="W674"/>
      <c r="X674"/>
    </row>
    <row r="675" spans="5:24" x14ac:dyDescent="0.3">
      <c r="E675" s="173"/>
      <c r="F675" s="173"/>
      <c r="I675"/>
      <c r="J675"/>
      <c r="K675"/>
      <c r="L675"/>
      <c r="M675"/>
      <c r="N675"/>
      <c r="O675"/>
      <c r="P675" s="225"/>
      <c r="Q675" s="225"/>
      <c r="R675"/>
      <c r="S675"/>
      <c r="T675"/>
      <c r="U675"/>
      <c r="V675"/>
      <c r="W675"/>
      <c r="X675"/>
    </row>
    <row r="676" spans="5:24" x14ac:dyDescent="0.3">
      <c r="E676" s="173"/>
      <c r="F676" s="173"/>
      <c r="I676"/>
      <c r="J676"/>
      <c r="K676"/>
      <c r="L676"/>
      <c r="M676"/>
      <c r="N676"/>
      <c r="O676"/>
      <c r="P676" s="225"/>
      <c r="Q676" s="225"/>
      <c r="R676"/>
      <c r="S676"/>
      <c r="T676"/>
      <c r="U676"/>
      <c r="V676"/>
      <c r="W676"/>
      <c r="X676"/>
    </row>
    <row r="677" spans="5:24" x14ac:dyDescent="0.3">
      <c r="E677" s="173"/>
      <c r="F677" s="173"/>
      <c r="I677"/>
      <c r="J677"/>
      <c r="K677"/>
      <c r="L677"/>
      <c r="M677"/>
      <c r="N677"/>
      <c r="O677"/>
      <c r="P677" s="225"/>
      <c r="Q677" s="225"/>
      <c r="R677"/>
      <c r="S677"/>
      <c r="T677"/>
      <c r="U677"/>
      <c r="V677"/>
      <c r="W677"/>
      <c r="X677"/>
    </row>
    <row r="678" spans="5:24" x14ac:dyDescent="0.3">
      <c r="E678" s="173"/>
      <c r="F678" s="173"/>
      <c r="I678"/>
      <c r="J678"/>
      <c r="K678"/>
      <c r="L678"/>
      <c r="M678"/>
      <c r="N678"/>
      <c r="O678"/>
      <c r="P678" s="225"/>
      <c r="Q678" s="225"/>
      <c r="R678"/>
      <c r="S678"/>
      <c r="T678"/>
      <c r="U678"/>
      <c r="V678"/>
      <c r="W678"/>
      <c r="X678"/>
    </row>
    <row r="679" spans="5:24" x14ac:dyDescent="0.3">
      <c r="E679" s="173"/>
      <c r="F679" s="173"/>
      <c r="I679"/>
      <c r="J679"/>
      <c r="K679"/>
      <c r="L679"/>
      <c r="M679"/>
      <c r="N679"/>
      <c r="O679"/>
      <c r="P679" s="225"/>
      <c r="Q679" s="225"/>
      <c r="R679"/>
      <c r="S679"/>
      <c r="T679"/>
      <c r="U679"/>
      <c r="V679"/>
      <c r="W679"/>
      <c r="X679"/>
    </row>
    <row r="680" spans="5:24" x14ac:dyDescent="0.3">
      <c r="E680" s="173"/>
      <c r="F680" s="173"/>
      <c r="I680"/>
      <c r="J680"/>
      <c r="K680"/>
      <c r="L680"/>
      <c r="M680"/>
      <c r="N680"/>
      <c r="O680"/>
      <c r="P680" s="225"/>
      <c r="Q680" s="225"/>
      <c r="R680"/>
      <c r="S680"/>
      <c r="T680"/>
      <c r="U680"/>
      <c r="V680"/>
      <c r="W680"/>
      <c r="X680"/>
    </row>
    <row r="681" spans="5:24" x14ac:dyDescent="0.3">
      <c r="E681" s="173"/>
      <c r="F681" s="173"/>
      <c r="I681"/>
      <c r="J681"/>
      <c r="K681"/>
      <c r="L681"/>
      <c r="M681"/>
      <c r="N681"/>
      <c r="O681"/>
      <c r="P681" s="225"/>
      <c r="Q681" s="225"/>
      <c r="R681"/>
      <c r="S681"/>
      <c r="T681"/>
      <c r="U681"/>
      <c r="V681"/>
      <c r="W681"/>
      <c r="X681"/>
    </row>
    <row r="682" spans="5:24" x14ac:dyDescent="0.3">
      <c r="E682" s="173"/>
      <c r="F682" s="173"/>
      <c r="I682"/>
      <c r="J682"/>
      <c r="K682"/>
      <c r="L682"/>
      <c r="M682"/>
      <c r="N682"/>
      <c r="O682"/>
      <c r="P682" s="225"/>
      <c r="Q682" s="225"/>
      <c r="R682"/>
      <c r="S682"/>
      <c r="T682"/>
      <c r="U682"/>
      <c r="V682"/>
      <c r="W682"/>
      <c r="X682"/>
    </row>
    <row r="683" spans="5:24" x14ac:dyDescent="0.3">
      <c r="E683" s="173"/>
      <c r="F683" s="173"/>
      <c r="I683"/>
      <c r="J683"/>
      <c r="K683"/>
      <c r="L683"/>
      <c r="M683"/>
      <c r="N683"/>
      <c r="O683"/>
      <c r="P683" s="225"/>
      <c r="Q683" s="225"/>
      <c r="R683"/>
      <c r="S683"/>
      <c r="T683"/>
      <c r="U683"/>
      <c r="V683"/>
      <c r="W683"/>
      <c r="X683"/>
    </row>
    <row r="684" spans="5:24" x14ac:dyDescent="0.3">
      <c r="E684" s="173"/>
      <c r="F684" s="173"/>
      <c r="I684"/>
      <c r="J684"/>
      <c r="K684"/>
      <c r="L684"/>
      <c r="M684"/>
      <c r="N684"/>
      <c r="O684"/>
      <c r="P684" s="225"/>
      <c r="Q684" s="225"/>
      <c r="R684"/>
      <c r="S684"/>
      <c r="T684"/>
      <c r="U684"/>
      <c r="V684"/>
      <c r="W684"/>
      <c r="X684"/>
    </row>
    <row r="685" spans="5:24" x14ac:dyDescent="0.3">
      <c r="E685" s="173"/>
      <c r="F685" s="173"/>
      <c r="I685"/>
      <c r="J685"/>
      <c r="K685"/>
      <c r="L685"/>
      <c r="M685"/>
      <c r="N685"/>
      <c r="O685"/>
      <c r="P685" s="225"/>
      <c r="Q685" s="225"/>
      <c r="R685"/>
      <c r="S685"/>
      <c r="T685"/>
      <c r="U685"/>
      <c r="V685"/>
      <c r="W685"/>
      <c r="X685"/>
    </row>
    <row r="686" spans="5:24" x14ac:dyDescent="0.3">
      <c r="E686" s="173"/>
      <c r="F686" s="173"/>
      <c r="I686"/>
      <c r="J686"/>
      <c r="K686"/>
      <c r="L686"/>
      <c r="M686"/>
      <c r="N686"/>
      <c r="O686"/>
      <c r="P686" s="225"/>
      <c r="Q686" s="225"/>
      <c r="R686"/>
      <c r="S686"/>
      <c r="T686"/>
      <c r="U686"/>
      <c r="V686"/>
      <c r="W686"/>
      <c r="X686"/>
    </row>
    <row r="687" spans="5:24" x14ac:dyDescent="0.3">
      <c r="E687" s="173"/>
      <c r="F687" s="173"/>
      <c r="I687"/>
      <c r="J687"/>
      <c r="K687"/>
      <c r="L687"/>
      <c r="M687"/>
      <c r="N687"/>
      <c r="O687"/>
      <c r="P687" s="225"/>
      <c r="Q687" s="225"/>
      <c r="R687"/>
      <c r="S687"/>
      <c r="T687"/>
      <c r="U687"/>
      <c r="V687"/>
      <c r="W687"/>
      <c r="X687"/>
    </row>
    <row r="688" spans="5:24" x14ac:dyDescent="0.3">
      <c r="E688" s="173"/>
      <c r="F688" s="173"/>
      <c r="I688"/>
      <c r="J688"/>
      <c r="K688"/>
      <c r="L688"/>
      <c r="M688"/>
      <c r="N688"/>
      <c r="O688"/>
      <c r="P688" s="225"/>
      <c r="Q688" s="225"/>
      <c r="R688"/>
      <c r="S688"/>
      <c r="T688"/>
      <c r="U688"/>
      <c r="V688"/>
      <c r="W688"/>
      <c r="X688"/>
    </row>
    <row r="689" spans="5:24" x14ac:dyDescent="0.3">
      <c r="E689" s="173"/>
      <c r="F689" s="173"/>
      <c r="I689"/>
      <c r="J689"/>
      <c r="K689"/>
      <c r="L689"/>
      <c r="M689"/>
      <c r="N689"/>
      <c r="O689"/>
      <c r="P689" s="225"/>
      <c r="Q689" s="225"/>
      <c r="R689"/>
      <c r="S689"/>
      <c r="T689"/>
      <c r="U689"/>
      <c r="V689"/>
      <c r="W689"/>
      <c r="X689"/>
    </row>
    <row r="690" spans="5:24" x14ac:dyDescent="0.3">
      <c r="E690" s="173"/>
      <c r="F690" s="173"/>
      <c r="I690"/>
      <c r="J690"/>
      <c r="K690"/>
      <c r="L690"/>
      <c r="M690"/>
      <c r="N690"/>
      <c r="O690"/>
      <c r="P690" s="225"/>
      <c r="Q690" s="225"/>
      <c r="R690"/>
      <c r="S690"/>
      <c r="T690"/>
      <c r="U690"/>
      <c r="V690"/>
      <c r="W690"/>
      <c r="X690"/>
    </row>
    <row r="691" spans="5:24" x14ac:dyDescent="0.3">
      <c r="E691" s="173"/>
      <c r="F691" s="173"/>
      <c r="I691"/>
      <c r="J691"/>
      <c r="K691"/>
      <c r="L691"/>
      <c r="M691"/>
      <c r="N691"/>
      <c r="O691"/>
      <c r="P691" s="225"/>
      <c r="Q691" s="225"/>
      <c r="R691"/>
      <c r="S691"/>
      <c r="T691"/>
      <c r="U691"/>
      <c r="V691"/>
      <c r="W691"/>
      <c r="X691"/>
    </row>
    <row r="692" spans="5:24" x14ac:dyDescent="0.3">
      <c r="E692" s="173"/>
      <c r="F692" s="173"/>
      <c r="I692"/>
      <c r="J692"/>
      <c r="K692"/>
      <c r="L692"/>
      <c r="M692"/>
      <c r="N692"/>
      <c r="O692"/>
      <c r="P692" s="225"/>
      <c r="Q692" s="225"/>
      <c r="R692"/>
      <c r="S692"/>
      <c r="T692"/>
      <c r="U692"/>
      <c r="V692"/>
      <c r="W692"/>
      <c r="X692"/>
    </row>
    <row r="693" spans="5:24" x14ac:dyDescent="0.3">
      <c r="E693" s="173"/>
      <c r="F693" s="173"/>
      <c r="I693"/>
      <c r="J693"/>
      <c r="K693"/>
      <c r="L693"/>
      <c r="M693"/>
      <c r="N693"/>
      <c r="O693"/>
      <c r="P693" s="225"/>
      <c r="Q693" s="225"/>
      <c r="R693"/>
      <c r="S693"/>
      <c r="T693"/>
      <c r="U693"/>
      <c r="V693"/>
      <c r="W693"/>
      <c r="X693"/>
    </row>
    <row r="694" spans="5:24" x14ac:dyDescent="0.3">
      <c r="E694" s="173"/>
      <c r="F694" s="173"/>
      <c r="I694"/>
      <c r="J694"/>
      <c r="K694"/>
      <c r="L694"/>
      <c r="M694"/>
      <c r="N694"/>
      <c r="O694"/>
      <c r="P694" s="225"/>
      <c r="Q694" s="225"/>
      <c r="R694"/>
      <c r="S694"/>
      <c r="T694"/>
      <c r="U694"/>
      <c r="V694"/>
      <c r="W694"/>
      <c r="X694"/>
    </row>
    <row r="695" spans="5:24" x14ac:dyDescent="0.3">
      <c r="E695" s="173"/>
      <c r="F695" s="173"/>
      <c r="I695"/>
      <c r="J695"/>
      <c r="K695"/>
      <c r="L695"/>
      <c r="M695"/>
      <c r="N695"/>
      <c r="O695"/>
      <c r="P695" s="225"/>
      <c r="Q695" s="225"/>
      <c r="R695"/>
      <c r="S695"/>
      <c r="T695"/>
      <c r="U695"/>
      <c r="V695"/>
      <c r="W695"/>
      <c r="X695"/>
    </row>
    <row r="696" spans="5:24" x14ac:dyDescent="0.3">
      <c r="E696" s="173"/>
      <c r="F696" s="173"/>
      <c r="I696"/>
      <c r="J696"/>
      <c r="K696"/>
      <c r="L696"/>
      <c r="M696"/>
      <c r="N696"/>
      <c r="O696"/>
      <c r="P696" s="225"/>
      <c r="Q696" s="225"/>
      <c r="R696"/>
      <c r="S696"/>
      <c r="T696"/>
      <c r="U696"/>
      <c r="V696"/>
      <c r="W696"/>
      <c r="X696"/>
    </row>
    <row r="697" spans="5:24" x14ac:dyDescent="0.3">
      <c r="E697" s="173"/>
      <c r="F697" s="173"/>
      <c r="I697"/>
      <c r="J697"/>
      <c r="K697"/>
      <c r="L697"/>
      <c r="M697"/>
      <c r="N697"/>
      <c r="O697"/>
      <c r="P697" s="225"/>
      <c r="Q697" s="225"/>
      <c r="R697"/>
      <c r="S697"/>
      <c r="T697"/>
      <c r="U697"/>
      <c r="V697"/>
      <c r="W697"/>
      <c r="X697"/>
    </row>
    <row r="698" spans="5:24" x14ac:dyDescent="0.3">
      <c r="E698" s="173"/>
      <c r="F698" s="173"/>
      <c r="I698"/>
      <c r="J698"/>
      <c r="K698"/>
      <c r="L698"/>
      <c r="M698"/>
      <c r="N698"/>
      <c r="O698"/>
      <c r="P698" s="225"/>
      <c r="Q698" s="225"/>
      <c r="R698"/>
      <c r="S698"/>
      <c r="T698"/>
      <c r="U698"/>
      <c r="V698"/>
      <c r="W698"/>
      <c r="X698"/>
    </row>
    <row r="699" spans="5:24" x14ac:dyDescent="0.3">
      <c r="E699" s="173"/>
      <c r="F699" s="173"/>
      <c r="I699"/>
      <c r="J699"/>
      <c r="K699"/>
      <c r="L699"/>
      <c r="M699"/>
      <c r="N699"/>
      <c r="O699"/>
      <c r="P699" s="225"/>
      <c r="Q699" s="225"/>
      <c r="R699"/>
      <c r="S699"/>
      <c r="T699"/>
      <c r="U699"/>
      <c r="V699"/>
      <c r="W699"/>
      <c r="X699"/>
    </row>
    <row r="700" spans="5:24" x14ac:dyDescent="0.3">
      <c r="E700" s="173"/>
      <c r="F700" s="173"/>
      <c r="I700"/>
      <c r="J700"/>
      <c r="K700"/>
      <c r="L700"/>
      <c r="M700"/>
      <c r="N700"/>
      <c r="O700"/>
      <c r="P700" s="225"/>
      <c r="Q700" s="225"/>
      <c r="R700"/>
      <c r="S700"/>
      <c r="T700"/>
      <c r="U700"/>
      <c r="V700"/>
      <c r="W700"/>
      <c r="X700"/>
    </row>
    <row r="701" spans="5:24" x14ac:dyDescent="0.3">
      <c r="E701" s="173"/>
      <c r="F701" s="173"/>
      <c r="I701"/>
      <c r="J701"/>
      <c r="K701"/>
      <c r="L701"/>
      <c r="M701"/>
      <c r="N701"/>
      <c r="O701"/>
      <c r="P701" s="225"/>
      <c r="Q701" s="225"/>
      <c r="R701"/>
      <c r="S701"/>
      <c r="T701"/>
      <c r="U701"/>
      <c r="V701"/>
      <c r="W701"/>
      <c r="X701"/>
    </row>
    <row r="702" spans="5:24" x14ac:dyDescent="0.3">
      <c r="E702" s="173"/>
      <c r="F702" s="173"/>
      <c r="I702"/>
      <c r="J702"/>
      <c r="K702"/>
      <c r="L702"/>
      <c r="M702"/>
      <c r="N702"/>
      <c r="O702"/>
      <c r="P702" s="225"/>
      <c r="Q702" s="225"/>
      <c r="R702"/>
      <c r="S702"/>
      <c r="T702"/>
      <c r="U702"/>
      <c r="V702"/>
      <c r="W702"/>
      <c r="X702"/>
    </row>
    <row r="703" spans="5:24" x14ac:dyDescent="0.3">
      <c r="E703" s="173"/>
      <c r="F703" s="173"/>
      <c r="I703"/>
      <c r="J703"/>
      <c r="K703"/>
      <c r="L703"/>
      <c r="M703"/>
      <c r="N703"/>
      <c r="O703"/>
      <c r="P703" s="225"/>
      <c r="Q703" s="225"/>
      <c r="R703"/>
      <c r="S703"/>
      <c r="T703"/>
      <c r="U703"/>
      <c r="V703"/>
      <c r="W703"/>
      <c r="X703"/>
    </row>
    <row r="704" spans="5:24" x14ac:dyDescent="0.3">
      <c r="E704" s="173"/>
      <c r="F704" s="173"/>
      <c r="I704"/>
      <c r="J704"/>
      <c r="K704"/>
      <c r="L704"/>
      <c r="M704"/>
      <c r="N704"/>
      <c r="O704"/>
      <c r="P704" s="225"/>
      <c r="Q704" s="225"/>
      <c r="R704"/>
      <c r="S704"/>
      <c r="T704"/>
      <c r="U704"/>
      <c r="V704"/>
      <c r="W704"/>
      <c r="X704"/>
    </row>
    <row r="705" spans="5:24" x14ac:dyDescent="0.3">
      <c r="E705" s="173"/>
      <c r="F705" s="173"/>
      <c r="I705"/>
      <c r="J705"/>
      <c r="K705"/>
      <c r="L705"/>
      <c r="M705"/>
      <c r="N705"/>
      <c r="O705"/>
      <c r="P705" s="225"/>
      <c r="Q705" s="225"/>
      <c r="R705"/>
      <c r="S705"/>
      <c r="T705"/>
      <c r="U705"/>
      <c r="V705"/>
      <c r="W705"/>
      <c r="X705"/>
    </row>
    <row r="706" spans="5:24" x14ac:dyDescent="0.3">
      <c r="E706" s="173"/>
      <c r="F706" s="173"/>
      <c r="I706"/>
      <c r="J706"/>
      <c r="K706"/>
      <c r="L706"/>
      <c r="M706"/>
      <c r="N706"/>
      <c r="O706"/>
      <c r="P706" s="225"/>
      <c r="Q706" s="225"/>
      <c r="R706"/>
      <c r="S706"/>
      <c r="T706"/>
      <c r="U706"/>
      <c r="V706"/>
      <c r="W706"/>
      <c r="X706"/>
    </row>
    <row r="707" spans="5:24" x14ac:dyDescent="0.3">
      <c r="E707" s="173"/>
      <c r="F707" s="173"/>
      <c r="I707"/>
      <c r="J707"/>
      <c r="K707"/>
      <c r="L707"/>
      <c r="M707"/>
      <c r="N707"/>
      <c r="O707"/>
      <c r="P707" s="225"/>
      <c r="Q707" s="225"/>
      <c r="R707"/>
      <c r="S707"/>
      <c r="T707"/>
      <c r="U707"/>
      <c r="V707"/>
      <c r="W707"/>
      <c r="X707"/>
    </row>
    <row r="708" spans="5:24" x14ac:dyDescent="0.3">
      <c r="E708" s="173"/>
      <c r="F708" s="173"/>
      <c r="I708"/>
      <c r="J708"/>
      <c r="K708"/>
      <c r="L708"/>
      <c r="M708"/>
      <c r="N708"/>
      <c r="O708"/>
      <c r="P708" s="225"/>
      <c r="Q708" s="225"/>
      <c r="R708"/>
      <c r="S708"/>
      <c r="T708"/>
      <c r="U708"/>
      <c r="V708"/>
      <c r="W708"/>
      <c r="X708"/>
    </row>
    <row r="709" spans="5:24" x14ac:dyDescent="0.3">
      <c r="E709" s="173"/>
      <c r="F709" s="173"/>
      <c r="I709"/>
      <c r="J709"/>
      <c r="K709"/>
      <c r="L709"/>
      <c r="M709"/>
      <c r="N709"/>
      <c r="O709"/>
      <c r="P709" s="225"/>
      <c r="Q709" s="225"/>
      <c r="R709"/>
      <c r="S709"/>
      <c r="T709"/>
      <c r="U709"/>
      <c r="V709"/>
      <c r="W709"/>
      <c r="X709"/>
    </row>
    <row r="710" spans="5:24" x14ac:dyDescent="0.3">
      <c r="E710" s="173"/>
      <c r="F710" s="173"/>
      <c r="I710"/>
      <c r="J710"/>
      <c r="K710"/>
      <c r="L710"/>
      <c r="M710"/>
      <c r="N710"/>
      <c r="O710"/>
      <c r="P710" s="225"/>
      <c r="Q710" s="225"/>
      <c r="R710"/>
      <c r="S710"/>
      <c r="T710"/>
      <c r="U710"/>
      <c r="V710"/>
      <c r="W710"/>
      <c r="X710"/>
    </row>
    <row r="711" spans="5:24" x14ac:dyDescent="0.3">
      <c r="E711" s="173"/>
      <c r="F711" s="173"/>
      <c r="I711"/>
      <c r="J711"/>
      <c r="K711"/>
      <c r="L711"/>
      <c r="M711"/>
      <c r="N711"/>
      <c r="O711"/>
      <c r="P711" s="225"/>
      <c r="Q711" s="225"/>
      <c r="R711"/>
      <c r="S711"/>
      <c r="T711"/>
      <c r="U711"/>
      <c r="V711"/>
      <c r="W711"/>
      <c r="X711"/>
    </row>
    <row r="712" spans="5:24" x14ac:dyDescent="0.3">
      <c r="E712" s="173"/>
      <c r="F712" s="173"/>
      <c r="I712"/>
      <c r="J712"/>
      <c r="K712"/>
      <c r="L712"/>
      <c r="M712"/>
      <c r="N712"/>
      <c r="O712"/>
      <c r="P712" s="225"/>
      <c r="Q712" s="225"/>
      <c r="R712"/>
      <c r="S712"/>
      <c r="T712"/>
      <c r="U712"/>
      <c r="V712"/>
      <c r="W712"/>
      <c r="X712"/>
    </row>
    <row r="713" spans="5:24" x14ac:dyDescent="0.3">
      <c r="E713" s="173"/>
      <c r="F713" s="173"/>
      <c r="I713"/>
      <c r="J713"/>
      <c r="K713"/>
      <c r="L713"/>
      <c r="M713"/>
      <c r="N713"/>
      <c r="O713"/>
      <c r="P713" s="225"/>
      <c r="Q713" s="225"/>
      <c r="R713"/>
      <c r="S713"/>
      <c r="T713"/>
      <c r="U713"/>
      <c r="V713"/>
      <c r="W713"/>
      <c r="X713"/>
    </row>
    <row r="714" spans="5:24" x14ac:dyDescent="0.3">
      <c r="E714" s="173"/>
      <c r="F714" s="173"/>
      <c r="I714"/>
      <c r="J714"/>
      <c r="K714"/>
      <c r="L714"/>
      <c r="M714"/>
      <c r="N714"/>
      <c r="O714"/>
      <c r="P714" s="225"/>
      <c r="Q714" s="225"/>
      <c r="R714"/>
      <c r="S714"/>
      <c r="T714"/>
      <c r="U714"/>
      <c r="V714"/>
      <c r="W714"/>
      <c r="X714"/>
    </row>
    <row r="715" spans="5:24" x14ac:dyDescent="0.3">
      <c r="E715" s="173"/>
      <c r="F715" s="173"/>
      <c r="I715"/>
      <c r="J715"/>
      <c r="K715"/>
      <c r="L715"/>
      <c r="M715"/>
      <c r="N715"/>
      <c r="O715"/>
      <c r="P715" s="225"/>
      <c r="Q715" s="225"/>
      <c r="R715"/>
      <c r="S715"/>
      <c r="T715"/>
      <c r="U715"/>
      <c r="V715"/>
      <c r="W715"/>
      <c r="X715"/>
    </row>
    <row r="716" spans="5:24" x14ac:dyDescent="0.3">
      <c r="E716" s="173"/>
      <c r="F716" s="173"/>
      <c r="I716"/>
      <c r="J716"/>
      <c r="K716"/>
      <c r="L716"/>
      <c r="M716"/>
      <c r="N716"/>
      <c r="O716"/>
      <c r="P716" s="225"/>
      <c r="Q716" s="225"/>
      <c r="R716"/>
      <c r="S716"/>
      <c r="T716"/>
      <c r="U716"/>
      <c r="V716"/>
      <c r="W716"/>
      <c r="X716"/>
    </row>
    <row r="717" spans="5:24" x14ac:dyDescent="0.3">
      <c r="E717" s="173"/>
      <c r="F717" s="173"/>
      <c r="I717"/>
      <c r="J717"/>
      <c r="K717"/>
      <c r="L717"/>
      <c r="M717"/>
      <c r="N717"/>
      <c r="O717"/>
      <c r="P717" s="225"/>
      <c r="Q717" s="225"/>
      <c r="R717"/>
      <c r="S717"/>
      <c r="T717"/>
      <c r="U717"/>
      <c r="V717"/>
      <c r="W717"/>
      <c r="X717"/>
    </row>
    <row r="718" spans="5:24" x14ac:dyDescent="0.3">
      <c r="E718" s="173"/>
      <c r="F718" s="173"/>
      <c r="I718"/>
      <c r="J718"/>
      <c r="K718"/>
      <c r="L718"/>
      <c r="M718"/>
      <c r="N718"/>
      <c r="O718"/>
      <c r="P718" s="225"/>
      <c r="Q718" s="225"/>
      <c r="R718"/>
      <c r="S718"/>
      <c r="T718"/>
      <c r="U718"/>
      <c r="V718"/>
      <c r="W718"/>
      <c r="X718"/>
    </row>
    <row r="719" spans="5:24" x14ac:dyDescent="0.3">
      <c r="E719" s="173"/>
      <c r="F719" s="173"/>
      <c r="I719"/>
      <c r="J719"/>
      <c r="K719"/>
      <c r="L719"/>
      <c r="M719"/>
      <c r="N719"/>
      <c r="O719"/>
      <c r="P719" s="225"/>
      <c r="Q719" s="225"/>
      <c r="R719"/>
      <c r="S719"/>
      <c r="T719"/>
      <c r="U719"/>
      <c r="V719"/>
      <c r="W719"/>
      <c r="X719"/>
    </row>
    <row r="720" spans="5:24" x14ac:dyDescent="0.3">
      <c r="E720" s="173"/>
      <c r="F720" s="173"/>
      <c r="I720"/>
      <c r="J720"/>
      <c r="K720"/>
      <c r="L720"/>
      <c r="M720"/>
      <c r="N720"/>
      <c r="O720"/>
      <c r="P720" s="225"/>
      <c r="Q720" s="225"/>
      <c r="R720"/>
      <c r="S720"/>
      <c r="T720"/>
      <c r="U720"/>
      <c r="V720"/>
      <c r="W720"/>
      <c r="X720"/>
    </row>
    <row r="721" spans="5:24" x14ac:dyDescent="0.3">
      <c r="E721" s="173"/>
      <c r="F721" s="173"/>
      <c r="I721"/>
      <c r="J721"/>
      <c r="K721"/>
      <c r="L721"/>
      <c r="M721"/>
      <c r="N721"/>
      <c r="O721"/>
      <c r="P721" s="225"/>
      <c r="Q721" s="225"/>
      <c r="R721"/>
      <c r="S721"/>
      <c r="T721"/>
      <c r="U721"/>
      <c r="V721"/>
      <c r="W721"/>
      <c r="X721"/>
    </row>
    <row r="722" spans="5:24" x14ac:dyDescent="0.3">
      <c r="E722" s="173"/>
      <c r="F722" s="173"/>
      <c r="I722"/>
      <c r="J722"/>
      <c r="K722"/>
      <c r="L722"/>
      <c r="M722"/>
      <c r="N722"/>
      <c r="O722"/>
      <c r="P722" s="225"/>
      <c r="Q722" s="225"/>
      <c r="R722"/>
      <c r="S722"/>
      <c r="T722"/>
      <c r="U722"/>
      <c r="V722"/>
      <c r="W722"/>
      <c r="X722"/>
    </row>
    <row r="723" spans="5:24" x14ac:dyDescent="0.3">
      <c r="E723" s="173"/>
      <c r="F723" s="173"/>
      <c r="I723"/>
      <c r="J723"/>
      <c r="K723"/>
      <c r="L723"/>
      <c r="M723"/>
      <c r="N723"/>
      <c r="O723"/>
      <c r="P723" s="225"/>
      <c r="Q723" s="225"/>
      <c r="R723"/>
      <c r="S723"/>
      <c r="T723"/>
      <c r="U723"/>
      <c r="V723"/>
      <c r="W723"/>
      <c r="X723"/>
    </row>
    <row r="724" spans="5:24" x14ac:dyDescent="0.3">
      <c r="E724" s="173"/>
      <c r="F724" s="173"/>
      <c r="I724"/>
      <c r="J724"/>
      <c r="K724"/>
      <c r="L724"/>
      <c r="M724"/>
      <c r="N724"/>
      <c r="O724"/>
      <c r="P724" s="225"/>
      <c r="Q724" s="225"/>
      <c r="R724"/>
      <c r="S724"/>
      <c r="T724"/>
      <c r="U724"/>
      <c r="V724"/>
      <c r="W724"/>
      <c r="X724"/>
    </row>
    <row r="725" spans="5:24" x14ac:dyDescent="0.3">
      <c r="E725" s="173"/>
      <c r="F725" s="173"/>
      <c r="I725"/>
      <c r="J725"/>
      <c r="K725"/>
      <c r="L725"/>
      <c r="M725"/>
      <c r="N725"/>
      <c r="O725"/>
      <c r="P725" s="225"/>
      <c r="Q725" s="225"/>
      <c r="R725"/>
      <c r="S725"/>
      <c r="T725"/>
      <c r="U725"/>
      <c r="V725"/>
      <c r="W725"/>
      <c r="X725"/>
    </row>
    <row r="726" spans="5:24" x14ac:dyDescent="0.3">
      <c r="E726" s="173"/>
      <c r="F726" s="173"/>
      <c r="I726"/>
      <c r="J726"/>
      <c r="K726"/>
      <c r="L726"/>
      <c r="M726"/>
      <c r="N726"/>
      <c r="O726"/>
      <c r="P726" s="225"/>
      <c r="Q726" s="225"/>
      <c r="R726"/>
      <c r="S726"/>
      <c r="T726"/>
      <c r="U726"/>
      <c r="V726"/>
      <c r="W726"/>
      <c r="X726"/>
    </row>
    <row r="727" spans="5:24" x14ac:dyDescent="0.3">
      <c r="E727" s="173"/>
      <c r="F727" s="173"/>
      <c r="I727"/>
      <c r="J727"/>
      <c r="K727"/>
      <c r="L727"/>
      <c r="M727"/>
      <c r="N727"/>
      <c r="O727"/>
      <c r="P727" s="225"/>
      <c r="Q727" s="225"/>
      <c r="R727"/>
      <c r="S727"/>
      <c r="T727"/>
      <c r="U727"/>
      <c r="V727"/>
      <c r="W727"/>
      <c r="X727"/>
    </row>
    <row r="728" spans="5:24" x14ac:dyDescent="0.3">
      <c r="E728" s="173"/>
      <c r="F728" s="173"/>
      <c r="I728"/>
      <c r="J728"/>
      <c r="K728"/>
      <c r="L728"/>
      <c r="M728"/>
      <c r="N728"/>
      <c r="O728"/>
      <c r="P728" s="225"/>
      <c r="Q728" s="225"/>
      <c r="R728"/>
      <c r="S728"/>
      <c r="T728"/>
      <c r="U728"/>
      <c r="V728"/>
      <c r="W728"/>
      <c r="X728"/>
    </row>
    <row r="729" spans="5:24" x14ac:dyDescent="0.3">
      <c r="E729" s="173"/>
      <c r="F729" s="173"/>
      <c r="I729"/>
      <c r="J729"/>
      <c r="K729"/>
      <c r="L729"/>
      <c r="M729"/>
      <c r="N729"/>
      <c r="O729"/>
      <c r="P729" s="225"/>
      <c r="Q729" s="225"/>
      <c r="R729"/>
      <c r="S729"/>
      <c r="T729"/>
      <c r="U729"/>
      <c r="V729"/>
      <c r="W729"/>
      <c r="X729"/>
    </row>
    <row r="730" spans="5:24" x14ac:dyDescent="0.3">
      <c r="E730" s="173"/>
      <c r="F730" s="173"/>
      <c r="I730"/>
      <c r="J730"/>
      <c r="K730"/>
      <c r="L730"/>
      <c r="M730"/>
      <c r="N730"/>
      <c r="O730"/>
      <c r="P730" s="225"/>
      <c r="Q730" s="225"/>
      <c r="R730"/>
      <c r="S730"/>
      <c r="T730"/>
      <c r="U730"/>
      <c r="V730"/>
      <c r="W730"/>
      <c r="X730"/>
    </row>
    <row r="731" spans="5:24" x14ac:dyDescent="0.3">
      <c r="E731" s="173"/>
      <c r="F731" s="173"/>
      <c r="I731"/>
      <c r="J731"/>
      <c r="K731"/>
      <c r="L731"/>
      <c r="M731"/>
      <c r="N731"/>
      <c r="O731"/>
      <c r="P731" s="225"/>
      <c r="Q731" s="225"/>
      <c r="R731"/>
      <c r="S731"/>
      <c r="T731"/>
      <c r="U731"/>
      <c r="V731"/>
      <c r="W731"/>
      <c r="X731"/>
    </row>
    <row r="732" spans="5:24" x14ac:dyDescent="0.3">
      <c r="E732" s="173"/>
      <c r="F732" s="173"/>
      <c r="I732"/>
      <c r="J732"/>
      <c r="K732"/>
      <c r="L732"/>
      <c r="M732"/>
      <c r="N732"/>
      <c r="O732"/>
      <c r="P732" s="225"/>
      <c r="Q732" s="225"/>
      <c r="R732"/>
      <c r="S732"/>
      <c r="T732"/>
      <c r="U732"/>
      <c r="V732"/>
      <c r="W732"/>
      <c r="X732"/>
    </row>
    <row r="733" spans="5:24" x14ac:dyDescent="0.3">
      <c r="E733" s="173"/>
      <c r="F733" s="173"/>
      <c r="I733"/>
      <c r="J733"/>
      <c r="K733"/>
      <c r="L733"/>
      <c r="M733"/>
      <c r="N733"/>
      <c r="O733"/>
      <c r="P733" s="225"/>
      <c r="Q733" s="225"/>
      <c r="R733"/>
      <c r="S733"/>
      <c r="T733"/>
      <c r="U733"/>
      <c r="V733"/>
      <c r="W733"/>
      <c r="X733"/>
    </row>
    <row r="734" spans="5:24" x14ac:dyDescent="0.3">
      <c r="E734" s="173"/>
      <c r="F734" s="173"/>
      <c r="I734"/>
      <c r="J734"/>
      <c r="K734"/>
      <c r="L734"/>
      <c r="M734"/>
      <c r="N734"/>
      <c r="O734"/>
      <c r="P734" s="225"/>
      <c r="Q734" s="225"/>
      <c r="R734"/>
      <c r="S734"/>
      <c r="T734"/>
      <c r="U734"/>
      <c r="V734"/>
      <c r="W734"/>
      <c r="X734"/>
    </row>
    <row r="735" spans="5:24" x14ac:dyDescent="0.3">
      <c r="E735" s="173"/>
      <c r="F735" s="173"/>
      <c r="I735"/>
      <c r="J735"/>
      <c r="K735"/>
      <c r="L735"/>
      <c r="M735"/>
      <c r="N735"/>
      <c r="O735"/>
      <c r="P735" s="225"/>
      <c r="Q735" s="225"/>
      <c r="R735"/>
      <c r="S735"/>
      <c r="T735"/>
      <c r="U735"/>
      <c r="V735"/>
      <c r="W735"/>
      <c r="X735"/>
    </row>
    <row r="736" spans="5:24" x14ac:dyDescent="0.3">
      <c r="E736" s="173"/>
      <c r="F736" s="173"/>
      <c r="I736"/>
      <c r="J736"/>
      <c r="K736"/>
      <c r="L736"/>
      <c r="M736"/>
      <c r="N736"/>
      <c r="O736"/>
      <c r="P736" s="225"/>
      <c r="Q736" s="225"/>
      <c r="R736"/>
      <c r="S736"/>
      <c r="T736"/>
      <c r="U736"/>
      <c r="V736"/>
      <c r="W736"/>
      <c r="X736"/>
    </row>
    <row r="737" spans="5:24" x14ac:dyDescent="0.3">
      <c r="E737" s="173"/>
      <c r="F737" s="173"/>
      <c r="I737"/>
      <c r="J737"/>
      <c r="K737"/>
      <c r="L737"/>
      <c r="M737"/>
      <c r="N737"/>
      <c r="O737"/>
      <c r="P737" s="225"/>
      <c r="Q737" s="225"/>
      <c r="R737"/>
      <c r="S737"/>
      <c r="T737"/>
      <c r="U737"/>
      <c r="V737"/>
      <c r="W737"/>
      <c r="X737"/>
    </row>
    <row r="738" spans="5:24" x14ac:dyDescent="0.3">
      <c r="E738" s="173"/>
      <c r="F738" s="173"/>
      <c r="I738"/>
      <c r="J738"/>
      <c r="K738"/>
      <c r="L738"/>
      <c r="M738"/>
      <c r="N738"/>
      <c r="O738"/>
      <c r="P738" s="225"/>
      <c r="Q738" s="225"/>
      <c r="R738"/>
      <c r="S738"/>
      <c r="T738"/>
      <c r="U738"/>
      <c r="V738"/>
      <c r="W738"/>
      <c r="X738"/>
    </row>
    <row r="739" spans="5:24" x14ac:dyDescent="0.3">
      <c r="E739" s="173"/>
      <c r="F739" s="173"/>
      <c r="I739"/>
      <c r="J739"/>
      <c r="K739"/>
      <c r="L739"/>
      <c r="M739"/>
      <c r="N739"/>
      <c r="O739"/>
      <c r="P739" s="225"/>
      <c r="Q739" s="225"/>
      <c r="R739"/>
      <c r="S739"/>
      <c r="T739"/>
      <c r="U739"/>
      <c r="V739"/>
      <c r="W739"/>
      <c r="X739"/>
    </row>
    <row r="740" spans="5:24" x14ac:dyDescent="0.3">
      <c r="E740" s="173"/>
      <c r="F740" s="173"/>
      <c r="I740"/>
      <c r="J740"/>
      <c r="K740"/>
      <c r="L740"/>
      <c r="M740"/>
      <c r="N740"/>
      <c r="O740"/>
      <c r="P740" s="225"/>
      <c r="Q740" s="225"/>
      <c r="R740"/>
      <c r="S740"/>
      <c r="T740"/>
      <c r="U740"/>
      <c r="V740"/>
      <c r="W740"/>
      <c r="X740"/>
    </row>
    <row r="741" spans="5:24" x14ac:dyDescent="0.3">
      <c r="E741" s="173"/>
      <c r="F741" s="173"/>
      <c r="I741"/>
      <c r="J741"/>
      <c r="K741"/>
      <c r="L741"/>
      <c r="M741"/>
      <c r="N741"/>
      <c r="O741"/>
      <c r="P741" s="225"/>
      <c r="Q741" s="225"/>
      <c r="R741"/>
      <c r="S741"/>
      <c r="T741"/>
      <c r="U741"/>
      <c r="V741"/>
      <c r="W741"/>
      <c r="X741"/>
    </row>
    <row r="742" spans="5:24" x14ac:dyDescent="0.3">
      <c r="E742" s="173"/>
      <c r="F742" s="173"/>
      <c r="I742"/>
      <c r="J742"/>
      <c r="K742"/>
      <c r="L742"/>
      <c r="M742"/>
      <c r="N742"/>
      <c r="O742"/>
      <c r="P742" s="225"/>
      <c r="Q742" s="225"/>
      <c r="R742"/>
      <c r="S742"/>
      <c r="T742"/>
      <c r="U742"/>
      <c r="V742"/>
      <c r="W742"/>
      <c r="X742"/>
    </row>
    <row r="743" spans="5:24" x14ac:dyDescent="0.3">
      <c r="E743" s="173"/>
      <c r="F743" s="173"/>
      <c r="I743"/>
      <c r="J743"/>
      <c r="K743"/>
      <c r="L743"/>
      <c r="M743"/>
      <c r="N743"/>
      <c r="O743"/>
      <c r="P743" s="225"/>
      <c r="Q743" s="225"/>
      <c r="R743"/>
      <c r="S743"/>
      <c r="T743"/>
      <c r="U743"/>
      <c r="V743"/>
      <c r="W743"/>
      <c r="X743"/>
    </row>
    <row r="744" spans="5:24" x14ac:dyDescent="0.3">
      <c r="E744" s="173"/>
      <c r="F744" s="173"/>
      <c r="I744"/>
      <c r="J744"/>
      <c r="K744"/>
      <c r="L744"/>
      <c r="M744"/>
      <c r="N744"/>
      <c r="O744"/>
      <c r="P744" s="225"/>
      <c r="Q744" s="225"/>
      <c r="R744"/>
      <c r="S744"/>
      <c r="T744"/>
      <c r="U744"/>
      <c r="V744"/>
      <c r="W744"/>
      <c r="X744"/>
    </row>
    <row r="745" spans="5:24" x14ac:dyDescent="0.3">
      <c r="E745" s="173"/>
      <c r="F745" s="173"/>
      <c r="I745"/>
      <c r="J745"/>
      <c r="K745"/>
      <c r="L745"/>
      <c r="M745"/>
      <c r="N745"/>
      <c r="O745"/>
      <c r="P745" s="225"/>
      <c r="Q745" s="225"/>
      <c r="R745"/>
      <c r="S745"/>
      <c r="T745"/>
      <c r="U745"/>
      <c r="V745"/>
      <c r="W745"/>
      <c r="X745"/>
    </row>
    <row r="746" spans="5:24" x14ac:dyDescent="0.3">
      <c r="E746" s="173"/>
      <c r="F746" s="173"/>
      <c r="I746"/>
      <c r="J746"/>
      <c r="K746"/>
      <c r="L746"/>
      <c r="M746"/>
      <c r="N746"/>
      <c r="O746"/>
      <c r="P746" s="225"/>
      <c r="Q746" s="225"/>
      <c r="R746"/>
      <c r="S746"/>
      <c r="T746"/>
      <c r="U746"/>
      <c r="V746"/>
      <c r="W746"/>
      <c r="X746"/>
    </row>
    <row r="747" spans="5:24" x14ac:dyDescent="0.3">
      <c r="E747" s="173"/>
      <c r="F747" s="173"/>
      <c r="I747"/>
      <c r="J747"/>
      <c r="K747"/>
      <c r="L747"/>
      <c r="M747"/>
      <c r="N747"/>
      <c r="O747"/>
      <c r="P747" s="225"/>
      <c r="Q747" s="225"/>
      <c r="R747"/>
      <c r="S747"/>
      <c r="T747"/>
      <c r="U747"/>
      <c r="V747"/>
      <c r="W747"/>
      <c r="X747"/>
    </row>
    <row r="748" spans="5:24" x14ac:dyDescent="0.3">
      <c r="E748" s="173"/>
      <c r="F748" s="173"/>
      <c r="I748"/>
      <c r="J748"/>
      <c r="K748"/>
      <c r="L748"/>
      <c r="M748"/>
      <c r="N748"/>
      <c r="O748"/>
      <c r="P748" s="225"/>
      <c r="Q748" s="225"/>
      <c r="R748"/>
      <c r="S748"/>
      <c r="T748"/>
      <c r="U748"/>
      <c r="V748"/>
      <c r="W748"/>
      <c r="X748"/>
    </row>
    <row r="749" spans="5:24" x14ac:dyDescent="0.3">
      <c r="E749" s="173"/>
      <c r="F749" s="173"/>
      <c r="I749"/>
      <c r="J749"/>
      <c r="K749"/>
      <c r="L749"/>
      <c r="M749"/>
      <c r="N749"/>
      <c r="O749"/>
      <c r="P749" s="225"/>
      <c r="Q749" s="225"/>
      <c r="R749"/>
      <c r="S749"/>
      <c r="T749"/>
      <c r="U749"/>
      <c r="V749"/>
      <c r="W749"/>
      <c r="X749"/>
    </row>
    <row r="750" spans="5:24" x14ac:dyDescent="0.3">
      <c r="E750" s="173"/>
      <c r="F750" s="173"/>
      <c r="I750"/>
      <c r="J750"/>
      <c r="K750"/>
      <c r="L750"/>
      <c r="M750"/>
      <c r="N750"/>
      <c r="O750"/>
      <c r="P750" s="225"/>
      <c r="Q750" s="225"/>
      <c r="R750"/>
      <c r="S750"/>
      <c r="T750"/>
      <c r="U750"/>
      <c r="V750"/>
      <c r="W750"/>
      <c r="X750"/>
    </row>
    <row r="751" spans="5:24" x14ac:dyDescent="0.3">
      <c r="E751" s="173"/>
      <c r="F751" s="173"/>
      <c r="I751"/>
      <c r="J751"/>
      <c r="K751"/>
      <c r="L751"/>
      <c r="M751"/>
      <c r="N751"/>
      <c r="O751"/>
      <c r="P751" s="225"/>
      <c r="Q751" s="225"/>
      <c r="R751"/>
      <c r="S751"/>
      <c r="T751"/>
      <c r="U751"/>
      <c r="V751"/>
      <c r="W751"/>
      <c r="X751"/>
    </row>
    <row r="752" spans="5:24" x14ac:dyDescent="0.3">
      <c r="E752" s="173"/>
      <c r="F752" s="173"/>
      <c r="I752"/>
      <c r="J752"/>
      <c r="K752"/>
      <c r="L752"/>
      <c r="M752"/>
      <c r="N752"/>
      <c r="O752"/>
      <c r="P752" s="225"/>
      <c r="Q752" s="225"/>
      <c r="R752"/>
      <c r="S752"/>
      <c r="T752"/>
      <c r="U752"/>
      <c r="V752"/>
      <c r="W752"/>
      <c r="X752"/>
    </row>
    <row r="753" spans="5:24" x14ac:dyDescent="0.3">
      <c r="E753" s="173"/>
      <c r="F753" s="173"/>
      <c r="I753"/>
      <c r="J753"/>
      <c r="K753"/>
      <c r="L753"/>
      <c r="M753"/>
      <c r="N753"/>
      <c r="O753"/>
      <c r="P753" s="225"/>
      <c r="Q753" s="225"/>
      <c r="R753"/>
      <c r="S753"/>
      <c r="T753"/>
      <c r="U753"/>
      <c r="V753"/>
      <c r="W753"/>
      <c r="X753"/>
    </row>
    <row r="754" spans="5:24" x14ac:dyDescent="0.3">
      <c r="E754" s="173"/>
      <c r="F754" s="173"/>
      <c r="I754"/>
      <c r="J754"/>
      <c r="K754"/>
      <c r="L754"/>
      <c r="M754"/>
      <c r="N754"/>
      <c r="O754"/>
      <c r="P754" s="225"/>
      <c r="Q754" s="225"/>
      <c r="R754"/>
      <c r="S754"/>
      <c r="T754"/>
      <c r="U754"/>
      <c r="V754"/>
      <c r="W754"/>
      <c r="X754"/>
    </row>
    <row r="755" spans="5:24" x14ac:dyDescent="0.3">
      <c r="E755" s="173"/>
      <c r="F755" s="173"/>
      <c r="I755"/>
      <c r="J755"/>
      <c r="K755"/>
      <c r="L755"/>
      <c r="M755"/>
      <c r="N755"/>
      <c r="O755"/>
      <c r="P755" s="225"/>
      <c r="Q755" s="225"/>
      <c r="R755"/>
      <c r="S755"/>
      <c r="T755"/>
      <c r="U755"/>
      <c r="V755"/>
      <c r="W755"/>
      <c r="X755"/>
    </row>
    <row r="756" spans="5:24" x14ac:dyDescent="0.3">
      <c r="E756" s="173"/>
      <c r="F756" s="173"/>
      <c r="I756"/>
      <c r="J756"/>
      <c r="K756"/>
      <c r="L756"/>
      <c r="M756"/>
      <c r="N756"/>
      <c r="O756"/>
      <c r="P756" s="225"/>
      <c r="Q756" s="225"/>
      <c r="R756"/>
      <c r="S756"/>
      <c r="T756"/>
      <c r="U756"/>
      <c r="V756"/>
      <c r="W756"/>
      <c r="X756"/>
    </row>
    <row r="757" spans="5:24" x14ac:dyDescent="0.3">
      <c r="E757" s="173"/>
      <c r="F757" s="173"/>
      <c r="I757"/>
      <c r="J757"/>
      <c r="K757"/>
      <c r="L757"/>
      <c r="M757"/>
      <c r="N757"/>
      <c r="O757"/>
      <c r="P757" s="225"/>
      <c r="Q757" s="225"/>
      <c r="R757"/>
      <c r="S757"/>
      <c r="T757"/>
      <c r="U757"/>
      <c r="V757"/>
      <c r="W757"/>
      <c r="X757"/>
    </row>
    <row r="758" spans="5:24" x14ac:dyDescent="0.3">
      <c r="E758" s="173"/>
      <c r="F758" s="173"/>
      <c r="I758"/>
      <c r="J758"/>
      <c r="K758"/>
      <c r="L758"/>
      <c r="M758"/>
      <c r="N758"/>
      <c r="O758"/>
      <c r="P758" s="225"/>
      <c r="Q758" s="225"/>
      <c r="R758"/>
      <c r="S758"/>
      <c r="T758"/>
      <c r="U758"/>
      <c r="V758"/>
      <c r="W758"/>
      <c r="X758"/>
    </row>
    <row r="759" spans="5:24" x14ac:dyDescent="0.3">
      <c r="E759" s="173"/>
      <c r="F759" s="173"/>
      <c r="I759"/>
      <c r="J759"/>
      <c r="K759"/>
      <c r="L759"/>
      <c r="M759"/>
      <c r="N759"/>
      <c r="O759"/>
      <c r="P759" s="225"/>
      <c r="Q759" s="225"/>
      <c r="R759"/>
      <c r="S759"/>
      <c r="T759"/>
      <c r="U759"/>
      <c r="V759"/>
      <c r="W759"/>
      <c r="X759"/>
    </row>
    <row r="760" spans="5:24" x14ac:dyDescent="0.3">
      <c r="E760" s="173"/>
      <c r="F760" s="173"/>
      <c r="I760"/>
      <c r="J760"/>
      <c r="K760"/>
      <c r="L760"/>
      <c r="M760"/>
      <c r="N760"/>
      <c r="O760"/>
      <c r="P760" s="225"/>
      <c r="Q760" s="225"/>
      <c r="R760"/>
      <c r="S760"/>
      <c r="T760"/>
      <c r="U760"/>
      <c r="V760"/>
      <c r="W760"/>
      <c r="X760"/>
    </row>
    <row r="761" spans="5:24" x14ac:dyDescent="0.3">
      <c r="E761" s="173"/>
      <c r="F761" s="173"/>
      <c r="I761"/>
      <c r="J761"/>
      <c r="K761"/>
      <c r="L761"/>
      <c r="M761"/>
      <c r="N761"/>
      <c r="O761"/>
      <c r="P761" s="225"/>
      <c r="Q761" s="225"/>
      <c r="R761"/>
      <c r="S761"/>
      <c r="T761"/>
      <c r="U761"/>
      <c r="V761"/>
      <c r="W761"/>
      <c r="X761"/>
    </row>
    <row r="762" spans="5:24" x14ac:dyDescent="0.3">
      <c r="E762" s="173"/>
      <c r="F762" s="173"/>
      <c r="I762"/>
      <c r="J762"/>
      <c r="K762"/>
      <c r="L762"/>
      <c r="M762"/>
      <c r="N762"/>
      <c r="O762"/>
      <c r="P762" s="225"/>
      <c r="Q762" s="225"/>
      <c r="R762"/>
      <c r="S762"/>
      <c r="T762"/>
      <c r="U762"/>
      <c r="V762"/>
      <c r="W762"/>
      <c r="X762"/>
    </row>
    <row r="763" spans="5:24" x14ac:dyDescent="0.3">
      <c r="E763" s="173"/>
      <c r="F763" s="173"/>
      <c r="I763"/>
      <c r="J763"/>
      <c r="K763"/>
      <c r="L763"/>
      <c r="M763"/>
      <c r="N763"/>
      <c r="O763"/>
      <c r="P763" s="225"/>
      <c r="Q763" s="225"/>
      <c r="R763"/>
      <c r="S763"/>
      <c r="T763"/>
      <c r="U763"/>
      <c r="V763"/>
      <c r="W763"/>
      <c r="X763"/>
    </row>
    <row r="764" spans="5:24" x14ac:dyDescent="0.3">
      <c r="E764" s="173"/>
      <c r="F764" s="173"/>
      <c r="I764"/>
      <c r="J764"/>
      <c r="K764"/>
      <c r="L764"/>
      <c r="M764"/>
      <c r="N764"/>
      <c r="O764"/>
      <c r="P764" s="225"/>
      <c r="Q764" s="225"/>
      <c r="R764"/>
      <c r="S764"/>
      <c r="T764"/>
      <c r="U764"/>
      <c r="V764"/>
      <c r="W764"/>
      <c r="X764"/>
    </row>
    <row r="765" spans="5:24" x14ac:dyDescent="0.3">
      <c r="E765" s="173"/>
      <c r="F765" s="173"/>
      <c r="I765"/>
      <c r="J765"/>
      <c r="K765"/>
      <c r="L765"/>
      <c r="M765"/>
      <c r="N765"/>
      <c r="O765"/>
      <c r="P765" s="225"/>
      <c r="Q765" s="225"/>
      <c r="R765"/>
      <c r="S765"/>
      <c r="T765"/>
      <c r="U765"/>
      <c r="V765"/>
      <c r="W765"/>
      <c r="X765"/>
    </row>
    <row r="766" spans="5:24" x14ac:dyDescent="0.3">
      <c r="E766" s="173"/>
      <c r="F766" s="173"/>
      <c r="I766"/>
      <c r="J766"/>
      <c r="K766"/>
      <c r="L766"/>
      <c r="M766"/>
      <c r="N766"/>
      <c r="O766"/>
      <c r="P766" s="225"/>
      <c r="Q766" s="225"/>
      <c r="R766"/>
      <c r="S766"/>
      <c r="T766"/>
      <c r="U766"/>
      <c r="V766"/>
      <c r="W766"/>
      <c r="X766"/>
    </row>
    <row r="767" spans="5:24" x14ac:dyDescent="0.3">
      <c r="E767" s="173"/>
      <c r="F767" s="173"/>
      <c r="I767"/>
      <c r="J767"/>
      <c r="K767"/>
      <c r="L767"/>
      <c r="M767"/>
      <c r="N767"/>
      <c r="O767"/>
      <c r="P767" s="225"/>
      <c r="Q767" s="225"/>
      <c r="R767"/>
      <c r="S767"/>
      <c r="T767"/>
      <c r="U767"/>
      <c r="V767"/>
      <c r="W767"/>
      <c r="X767"/>
    </row>
    <row r="768" spans="5:24" x14ac:dyDescent="0.3">
      <c r="E768" s="173"/>
      <c r="F768" s="173"/>
      <c r="I768"/>
      <c r="J768"/>
      <c r="K768"/>
      <c r="L768"/>
      <c r="M768"/>
      <c r="N768"/>
      <c r="O768"/>
      <c r="P768" s="225"/>
      <c r="Q768" s="225"/>
      <c r="R768"/>
      <c r="S768"/>
      <c r="T768"/>
      <c r="U768"/>
      <c r="V768"/>
      <c r="W768"/>
      <c r="X768"/>
    </row>
    <row r="769" spans="5:24" x14ac:dyDescent="0.3">
      <c r="E769" s="173"/>
      <c r="F769" s="173"/>
      <c r="I769"/>
      <c r="J769"/>
      <c r="K769"/>
      <c r="L769"/>
      <c r="M769"/>
      <c r="N769"/>
      <c r="O769"/>
      <c r="P769" s="225"/>
      <c r="Q769" s="225"/>
      <c r="R769"/>
      <c r="S769"/>
      <c r="T769"/>
      <c r="U769"/>
      <c r="V769"/>
      <c r="W769"/>
      <c r="X769"/>
    </row>
    <row r="770" spans="5:24" x14ac:dyDescent="0.3">
      <c r="E770" s="173"/>
      <c r="F770" s="173"/>
      <c r="I770"/>
      <c r="J770"/>
      <c r="K770"/>
      <c r="L770"/>
      <c r="M770"/>
      <c r="N770"/>
      <c r="O770"/>
      <c r="P770" s="225"/>
      <c r="Q770" s="225"/>
      <c r="R770"/>
      <c r="S770"/>
      <c r="T770"/>
      <c r="U770"/>
      <c r="V770"/>
      <c r="W770"/>
      <c r="X770"/>
    </row>
    <row r="771" spans="5:24" x14ac:dyDescent="0.3">
      <c r="E771" s="173"/>
      <c r="F771" s="173"/>
      <c r="I771"/>
      <c r="J771"/>
      <c r="K771"/>
      <c r="L771"/>
      <c r="M771"/>
      <c r="N771"/>
      <c r="O771"/>
      <c r="P771" s="225"/>
      <c r="Q771" s="225"/>
      <c r="R771"/>
      <c r="S771"/>
      <c r="T771"/>
      <c r="U771"/>
      <c r="V771"/>
      <c r="W771"/>
      <c r="X771"/>
    </row>
    <row r="772" spans="5:24" x14ac:dyDescent="0.3">
      <c r="E772" s="173"/>
      <c r="F772" s="173"/>
      <c r="I772"/>
      <c r="J772"/>
      <c r="K772"/>
      <c r="L772"/>
      <c r="M772"/>
      <c r="N772"/>
      <c r="O772"/>
      <c r="P772" s="225"/>
      <c r="Q772" s="225"/>
      <c r="R772"/>
      <c r="S772"/>
      <c r="T772"/>
      <c r="U772"/>
      <c r="V772"/>
      <c r="W772"/>
      <c r="X772"/>
    </row>
    <row r="773" spans="5:24" x14ac:dyDescent="0.3">
      <c r="E773" s="173"/>
      <c r="F773" s="173"/>
      <c r="I773"/>
      <c r="J773"/>
      <c r="K773"/>
      <c r="L773"/>
      <c r="M773"/>
      <c r="N773"/>
      <c r="O773"/>
      <c r="P773" s="225"/>
      <c r="Q773" s="225"/>
      <c r="R773"/>
      <c r="S773"/>
      <c r="T773"/>
      <c r="U773"/>
      <c r="V773"/>
      <c r="W773"/>
      <c r="X773"/>
    </row>
    <row r="774" spans="5:24" x14ac:dyDescent="0.3">
      <c r="E774" s="173"/>
      <c r="F774" s="173"/>
      <c r="I774"/>
      <c r="J774"/>
      <c r="K774"/>
      <c r="L774"/>
      <c r="M774"/>
      <c r="N774"/>
      <c r="O774"/>
      <c r="P774" s="225"/>
      <c r="Q774" s="225"/>
      <c r="R774"/>
      <c r="S774"/>
      <c r="T774"/>
      <c r="U774"/>
      <c r="V774"/>
      <c r="W774"/>
      <c r="X774"/>
    </row>
    <row r="775" spans="5:24" x14ac:dyDescent="0.3">
      <c r="E775" s="173"/>
      <c r="F775" s="173"/>
      <c r="I775"/>
      <c r="J775"/>
      <c r="K775"/>
      <c r="L775"/>
      <c r="M775"/>
      <c r="N775"/>
      <c r="O775"/>
      <c r="P775" s="225"/>
      <c r="Q775" s="225"/>
      <c r="R775"/>
      <c r="S775"/>
      <c r="T775"/>
      <c r="U775"/>
      <c r="V775"/>
      <c r="W775"/>
      <c r="X775"/>
    </row>
    <row r="776" spans="5:24" x14ac:dyDescent="0.3">
      <c r="E776" s="173"/>
      <c r="F776" s="173"/>
      <c r="I776"/>
      <c r="J776"/>
      <c r="K776"/>
      <c r="L776"/>
      <c r="M776"/>
      <c r="N776"/>
      <c r="O776"/>
      <c r="P776" s="225"/>
      <c r="Q776" s="225"/>
      <c r="R776"/>
      <c r="S776"/>
      <c r="T776"/>
      <c r="U776"/>
      <c r="V776"/>
      <c r="W776"/>
      <c r="X776"/>
    </row>
    <row r="777" spans="5:24" x14ac:dyDescent="0.3">
      <c r="E777" s="173"/>
      <c r="F777" s="173"/>
      <c r="I777"/>
      <c r="J777"/>
      <c r="K777"/>
      <c r="L777"/>
      <c r="M777"/>
      <c r="N777"/>
      <c r="O777"/>
      <c r="P777" s="225"/>
      <c r="Q777" s="225"/>
      <c r="R777"/>
      <c r="S777"/>
      <c r="T777"/>
      <c r="U777"/>
      <c r="V777"/>
      <c r="W777"/>
      <c r="X777"/>
    </row>
    <row r="778" spans="5:24" x14ac:dyDescent="0.3">
      <c r="E778" s="173"/>
      <c r="F778" s="173"/>
      <c r="I778"/>
      <c r="J778"/>
      <c r="K778"/>
      <c r="L778"/>
      <c r="M778"/>
      <c r="N778"/>
      <c r="O778"/>
      <c r="P778" s="225"/>
      <c r="Q778" s="225"/>
      <c r="R778"/>
      <c r="S778"/>
      <c r="T778"/>
      <c r="U778"/>
      <c r="V778"/>
      <c r="W778"/>
      <c r="X778"/>
    </row>
    <row r="779" spans="5:24" x14ac:dyDescent="0.3">
      <c r="E779" s="173"/>
      <c r="F779" s="173"/>
      <c r="I779"/>
      <c r="J779"/>
      <c r="K779"/>
      <c r="L779"/>
      <c r="M779"/>
      <c r="N779"/>
      <c r="O779"/>
      <c r="P779" s="225"/>
      <c r="Q779" s="225"/>
      <c r="R779"/>
      <c r="S779"/>
      <c r="T779"/>
      <c r="U779"/>
      <c r="V779"/>
      <c r="W779"/>
      <c r="X779"/>
    </row>
    <row r="780" spans="5:24" x14ac:dyDescent="0.3">
      <c r="E780" s="173"/>
      <c r="F780" s="173"/>
      <c r="I780"/>
      <c r="J780"/>
      <c r="K780"/>
      <c r="L780"/>
      <c r="M780"/>
      <c r="N780"/>
      <c r="O780"/>
      <c r="P780" s="225"/>
      <c r="Q780" s="225"/>
      <c r="R780"/>
      <c r="S780"/>
      <c r="T780"/>
      <c r="U780"/>
      <c r="V780"/>
      <c r="W780"/>
      <c r="X780"/>
    </row>
    <row r="781" spans="5:24" x14ac:dyDescent="0.3">
      <c r="E781" s="173"/>
      <c r="F781" s="173"/>
      <c r="I781"/>
      <c r="J781"/>
      <c r="K781"/>
      <c r="L781"/>
      <c r="M781"/>
      <c r="N781"/>
      <c r="O781"/>
      <c r="P781" s="225"/>
      <c r="Q781" s="225"/>
      <c r="R781"/>
      <c r="S781"/>
      <c r="T781"/>
      <c r="U781"/>
      <c r="V781"/>
      <c r="W781"/>
      <c r="X781"/>
    </row>
    <row r="782" spans="5:24" x14ac:dyDescent="0.3">
      <c r="E782" s="173"/>
      <c r="F782" s="173"/>
      <c r="I782"/>
      <c r="J782"/>
      <c r="K782"/>
      <c r="L782"/>
      <c r="M782"/>
      <c r="N782"/>
      <c r="O782"/>
      <c r="P782" s="225"/>
      <c r="Q782" s="225"/>
      <c r="R782"/>
      <c r="S782"/>
      <c r="T782"/>
      <c r="U782"/>
      <c r="V782"/>
      <c r="W782"/>
      <c r="X782"/>
    </row>
    <row r="783" spans="5:24" x14ac:dyDescent="0.3">
      <c r="E783" s="173"/>
      <c r="F783" s="173"/>
      <c r="I783"/>
      <c r="J783"/>
      <c r="K783"/>
      <c r="L783"/>
      <c r="M783"/>
      <c r="N783"/>
      <c r="O783"/>
      <c r="P783" s="225"/>
      <c r="Q783" s="225"/>
      <c r="R783"/>
      <c r="S783"/>
      <c r="T783"/>
      <c r="U783"/>
      <c r="V783"/>
      <c r="W783"/>
      <c r="X783"/>
    </row>
    <row r="784" spans="5:24" x14ac:dyDescent="0.3">
      <c r="E784" s="173"/>
      <c r="F784" s="173"/>
      <c r="I784"/>
      <c r="J784"/>
      <c r="K784"/>
      <c r="L784"/>
      <c r="M784"/>
      <c r="N784"/>
      <c r="O784"/>
      <c r="P784" s="225"/>
      <c r="Q784" s="225"/>
      <c r="R784"/>
      <c r="S784"/>
      <c r="T784"/>
      <c r="U784"/>
      <c r="V784"/>
      <c r="W784"/>
      <c r="X784"/>
    </row>
    <row r="785" spans="5:24" x14ac:dyDescent="0.3">
      <c r="E785" s="173"/>
      <c r="F785" s="173"/>
      <c r="I785"/>
      <c r="J785"/>
      <c r="K785"/>
      <c r="L785"/>
      <c r="M785"/>
      <c r="N785"/>
      <c r="O785"/>
      <c r="P785" s="225"/>
      <c r="Q785" s="225"/>
      <c r="R785"/>
      <c r="S785"/>
      <c r="T785"/>
      <c r="U785"/>
      <c r="V785"/>
      <c r="W785"/>
      <c r="X785"/>
    </row>
    <row r="786" spans="5:24" x14ac:dyDescent="0.3">
      <c r="E786" s="173"/>
      <c r="F786" s="173"/>
      <c r="I786"/>
      <c r="J786"/>
      <c r="K786"/>
      <c r="L786"/>
      <c r="M786"/>
      <c r="N786"/>
      <c r="O786"/>
      <c r="P786" s="225"/>
      <c r="Q786" s="225"/>
      <c r="R786"/>
      <c r="S786"/>
      <c r="T786"/>
      <c r="U786"/>
      <c r="V786"/>
      <c r="W786"/>
      <c r="X786"/>
    </row>
    <row r="787" spans="5:24" x14ac:dyDescent="0.3">
      <c r="E787" s="173"/>
      <c r="F787" s="173"/>
      <c r="I787"/>
      <c r="J787"/>
      <c r="K787"/>
      <c r="L787"/>
      <c r="M787"/>
      <c r="N787"/>
      <c r="O787"/>
      <c r="P787" s="225"/>
      <c r="Q787" s="225"/>
      <c r="R787"/>
      <c r="S787"/>
      <c r="T787"/>
      <c r="U787"/>
      <c r="V787"/>
      <c r="W787"/>
      <c r="X787"/>
    </row>
    <row r="788" spans="5:24" x14ac:dyDescent="0.3">
      <c r="E788" s="173"/>
      <c r="F788" s="173"/>
      <c r="I788"/>
      <c r="J788"/>
      <c r="K788"/>
      <c r="L788"/>
      <c r="M788"/>
      <c r="N788"/>
      <c r="O788"/>
      <c r="P788" s="225"/>
      <c r="Q788" s="225"/>
      <c r="R788"/>
      <c r="S788"/>
      <c r="T788"/>
      <c r="U788"/>
      <c r="V788"/>
      <c r="W788"/>
      <c r="X788"/>
    </row>
    <row r="789" spans="5:24" x14ac:dyDescent="0.3">
      <c r="E789" s="173"/>
      <c r="F789" s="173"/>
      <c r="I789"/>
      <c r="J789"/>
      <c r="K789"/>
      <c r="L789"/>
      <c r="M789"/>
      <c r="N789"/>
      <c r="O789"/>
      <c r="P789" s="225"/>
      <c r="Q789" s="225"/>
      <c r="R789"/>
      <c r="S789"/>
      <c r="T789"/>
      <c r="U789"/>
      <c r="V789"/>
      <c r="W789"/>
      <c r="X789"/>
    </row>
    <row r="790" spans="5:24" x14ac:dyDescent="0.3">
      <c r="E790" s="173"/>
      <c r="F790" s="173"/>
      <c r="I790"/>
      <c r="J790"/>
      <c r="K790"/>
      <c r="L790"/>
      <c r="M790"/>
      <c r="N790"/>
      <c r="O790"/>
      <c r="P790" s="225"/>
      <c r="Q790" s="225"/>
      <c r="R790"/>
      <c r="S790"/>
      <c r="T790"/>
      <c r="U790"/>
      <c r="V790"/>
      <c r="W790"/>
      <c r="X790"/>
    </row>
    <row r="791" spans="5:24" x14ac:dyDescent="0.3">
      <c r="E791" s="173"/>
      <c r="F791" s="173"/>
      <c r="I791"/>
      <c r="J791"/>
      <c r="K791"/>
      <c r="L791"/>
      <c r="M791"/>
      <c r="N791"/>
      <c r="O791"/>
      <c r="P791" s="225"/>
      <c r="Q791" s="225"/>
      <c r="R791"/>
      <c r="S791"/>
      <c r="T791"/>
      <c r="U791"/>
      <c r="V791"/>
      <c r="W791"/>
      <c r="X791"/>
    </row>
    <row r="792" spans="5:24" x14ac:dyDescent="0.3">
      <c r="E792" s="173"/>
      <c r="F792" s="173"/>
      <c r="I792"/>
      <c r="J792"/>
      <c r="K792"/>
      <c r="L792"/>
      <c r="M792"/>
      <c r="N792"/>
      <c r="O792"/>
      <c r="P792" s="225"/>
      <c r="Q792" s="225"/>
      <c r="R792"/>
      <c r="S792"/>
      <c r="T792"/>
      <c r="U792"/>
      <c r="V792"/>
      <c r="W792"/>
      <c r="X792"/>
    </row>
    <row r="793" spans="5:24" x14ac:dyDescent="0.3">
      <c r="E793" s="173"/>
      <c r="F793" s="173"/>
      <c r="I793"/>
      <c r="J793"/>
      <c r="K793"/>
      <c r="L793"/>
      <c r="M793"/>
      <c r="N793"/>
      <c r="O793"/>
      <c r="P793" s="225"/>
      <c r="Q793" s="225"/>
      <c r="R793"/>
      <c r="S793"/>
      <c r="T793"/>
      <c r="U793"/>
      <c r="V793"/>
      <c r="W793"/>
      <c r="X793"/>
    </row>
    <row r="794" spans="5:24" x14ac:dyDescent="0.3">
      <c r="E794" s="173"/>
      <c r="F794" s="173"/>
      <c r="I794"/>
      <c r="J794"/>
      <c r="K794"/>
      <c r="L794"/>
      <c r="M794"/>
      <c r="N794"/>
      <c r="O794"/>
      <c r="P794" s="225"/>
      <c r="Q794" s="225"/>
      <c r="R794"/>
      <c r="S794"/>
      <c r="T794"/>
      <c r="U794"/>
      <c r="V794"/>
      <c r="W794"/>
      <c r="X794"/>
    </row>
    <row r="795" spans="5:24" x14ac:dyDescent="0.3">
      <c r="E795" s="173"/>
      <c r="F795" s="173"/>
      <c r="I795"/>
      <c r="J795"/>
      <c r="K795"/>
      <c r="L795"/>
      <c r="M795"/>
      <c r="N795"/>
      <c r="O795"/>
      <c r="P795" s="225"/>
      <c r="Q795" s="225"/>
      <c r="R795"/>
      <c r="S795"/>
      <c r="T795"/>
      <c r="U795"/>
      <c r="V795"/>
      <c r="W795"/>
      <c r="X795"/>
    </row>
    <row r="796" spans="5:24" x14ac:dyDescent="0.3">
      <c r="E796" s="173"/>
      <c r="F796" s="173"/>
      <c r="I796"/>
      <c r="J796"/>
      <c r="K796"/>
      <c r="L796"/>
      <c r="M796"/>
      <c r="N796"/>
      <c r="O796"/>
      <c r="P796" s="225"/>
      <c r="Q796" s="225"/>
      <c r="R796"/>
      <c r="S796"/>
      <c r="T796"/>
      <c r="U796"/>
      <c r="V796"/>
      <c r="W796"/>
      <c r="X796"/>
    </row>
    <row r="797" spans="5:24" x14ac:dyDescent="0.3">
      <c r="E797" s="173"/>
      <c r="F797" s="173"/>
      <c r="I797"/>
      <c r="J797"/>
      <c r="K797"/>
      <c r="L797"/>
      <c r="M797"/>
      <c r="N797"/>
      <c r="O797"/>
      <c r="P797" s="225"/>
      <c r="Q797" s="225"/>
      <c r="R797"/>
      <c r="S797"/>
      <c r="T797"/>
      <c r="U797"/>
      <c r="V797"/>
      <c r="W797"/>
      <c r="X797"/>
    </row>
    <row r="798" spans="5:24" x14ac:dyDescent="0.3">
      <c r="E798" s="173"/>
      <c r="F798" s="173"/>
      <c r="I798"/>
      <c r="J798"/>
      <c r="K798"/>
      <c r="L798"/>
      <c r="M798"/>
      <c r="N798"/>
      <c r="O798"/>
      <c r="P798" s="225"/>
      <c r="Q798" s="225"/>
      <c r="R798"/>
      <c r="S798"/>
      <c r="T798"/>
      <c r="U798"/>
      <c r="V798"/>
      <c r="W798"/>
      <c r="X798"/>
    </row>
    <row r="799" spans="5:24" x14ac:dyDescent="0.3">
      <c r="E799" s="173"/>
      <c r="F799" s="173"/>
      <c r="I799"/>
      <c r="J799"/>
      <c r="K799"/>
      <c r="L799"/>
      <c r="M799"/>
      <c r="N799"/>
      <c r="O799"/>
      <c r="P799" s="225"/>
      <c r="Q799" s="225"/>
      <c r="R799"/>
      <c r="S799"/>
      <c r="T799"/>
      <c r="U799"/>
      <c r="V799"/>
      <c r="W799"/>
      <c r="X799"/>
    </row>
    <row r="800" spans="5:24" x14ac:dyDescent="0.3">
      <c r="E800" s="173"/>
      <c r="F800" s="173"/>
      <c r="I800"/>
      <c r="J800"/>
      <c r="K800"/>
      <c r="L800"/>
      <c r="M800"/>
      <c r="N800"/>
      <c r="O800"/>
      <c r="P800" s="225"/>
      <c r="Q800" s="225"/>
      <c r="R800"/>
      <c r="S800"/>
      <c r="T800"/>
      <c r="U800"/>
      <c r="V800"/>
      <c r="W800"/>
      <c r="X800"/>
    </row>
    <row r="801" spans="5:24" x14ac:dyDescent="0.3">
      <c r="E801" s="173"/>
      <c r="F801" s="173"/>
      <c r="I801"/>
      <c r="J801"/>
      <c r="K801"/>
      <c r="L801"/>
      <c r="M801"/>
      <c r="N801"/>
      <c r="O801"/>
      <c r="P801" s="225"/>
      <c r="Q801" s="225"/>
      <c r="R801"/>
      <c r="S801"/>
      <c r="T801"/>
      <c r="U801"/>
      <c r="V801"/>
      <c r="W801"/>
      <c r="X801"/>
    </row>
    <row r="802" spans="5:24" x14ac:dyDescent="0.3">
      <c r="E802" s="173"/>
      <c r="F802" s="173"/>
      <c r="I802"/>
      <c r="J802"/>
      <c r="K802"/>
      <c r="L802"/>
      <c r="M802"/>
      <c r="N802"/>
      <c r="O802"/>
      <c r="P802" s="225"/>
      <c r="Q802" s="225"/>
      <c r="R802"/>
      <c r="S802"/>
      <c r="T802"/>
      <c r="U802"/>
      <c r="V802"/>
      <c r="W802"/>
      <c r="X802"/>
    </row>
    <row r="803" spans="5:24" x14ac:dyDescent="0.3">
      <c r="E803" s="173"/>
      <c r="F803" s="173"/>
      <c r="I803"/>
      <c r="J803"/>
      <c r="K803"/>
      <c r="L803"/>
      <c r="M803"/>
      <c r="N803"/>
      <c r="O803"/>
      <c r="P803" s="225"/>
      <c r="Q803" s="225"/>
      <c r="R803"/>
      <c r="S803"/>
      <c r="T803"/>
      <c r="U803"/>
      <c r="V803"/>
      <c r="W803"/>
      <c r="X803"/>
    </row>
    <row r="804" spans="5:24" x14ac:dyDescent="0.3">
      <c r="E804" s="173"/>
      <c r="F804" s="173"/>
      <c r="I804"/>
      <c r="J804"/>
      <c r="K804"/>
      <c r="L804"/>
      <c r="M804"/>
      <c r="N804"/>
      <c r="O804"/>
      <c r="P804" s="225"/>
      <c r="Q804" s="225"/>
      <c r="R804"/>
      <c r="S804"/>
      <c r="T804"/>
      <c r="U804"/>
      <c r="V804"/>
      <c r="W804"/>
      <c r="X804"/>
    </row>
    <row r="805" spans="5:24" x14ac:dyDescent="0.3">
      <c r="E805" s="173"/>
      <c r="F805" s="173"/>
      <c r="I805"/>
      <c r="J805"/>
      <c r="K805"/>
      <c r="L805"/>
      <c r="M805"/>
      <c r="N805"/>
      <c r="O805"/>
      <c r="P805" s="225"/>
      <c r="Q805" s="225"/>
      <c r="R805"/>
      <c r="S805"/>
      <c r="T805"/>
      <c r="U805"/>
      <c r="V805"/>
      <c r="W805"/>
      <c r="X805"/>
    </row>
    <row r="806" spans="5:24" x14ac:dyDescent="0.3">
      <c r="E806" s="173"/>
      <c r="F806" s="173"/>
      <c r="I806"/>
      <c r="J806"/>
      <c r="K806"/>
      <c r="L806"/>
      <c r="M806"/>
      <c r="N806"/>
      <c r="O806"/>
      <c r="P806" s="225"/>
      <c r="Q806" s="225"/>
      <c r="R806"/>
      <c r="S806"/>
      <c r="T806"/>
      <c r="U806"/>
      <c r="V806"/>
      <c r="W806"/>
      <c r="X806"/>
    </row>
    <row r="807" spans="5:24" x14ac:dyDescent="0.3">
      <c r="E807" s="173"/>
      <c r="F807" s="173"/>
      <c r="I807"/>
      <c r="J807"/>
      <c r="K807"/>
      <c r="L807"/>
      <c r="M807"/>
      <c r="N807"/>
      <c r="O807"/>
      <c r="P807" s="225"/>
      <c r="Q807" s="225"/>
      <c r="R807"/>
      <c r="S807"/>
      <c r="T807"/>
      <c r="U807"/>
      <c r="V807"/>
      <c r="W807"/>
      <c r="X807"/>
    </row>
    <row r="808" spans="5:24" x14ac:dyDescent="0.3">
      <c r="E808" s="173"/>
      <c r="F808" s="173"/>
      <c r="I808"/>
      <c r="J808"/>
      <c r="K808"/>
      <c r="L808"/>
      <c r="M808"/>
      <c r="N808"/>
      <c r="O808"/>
      <c r="P808" s="225"/>
      <c r="Q808" s="225"/>
      <c r="R808"/>
      <c r="S808"/>
      <c r="T808"/>
      <c r="U808"/>
      <c r="V808"/>
      <c r="W808"/>
      <c r="X808"/>
    </row>
    <row r="809" spans="5:24" x14ac:dyDescent="0.3">
      <c r="E809" s="173"/>
      <c r="F809" s="173"/>
      <c r="I809"/>
      <c r="J809"/>
      <c r="K809"/>
      <c r="L809"/>
      <c r="M809"/>
      <c r="N809"/>
      <c r="O809"/>
      <c r="P809" s="225"/>
      <c r="Q809" s="225"/>
      <c r="R809"/>
      <c r="S809"/>
      <c r="T809"/>
      <c r="U809"/>
      <c r="V809"/>
      <c r="W809"/>
      <c r="X809"/>
    </row>
    <row r="810" spans="5:24" x14ac:dyDescent="0.3">
      <c r="E810" s="173"/>
      <c r="F810" s="173"/>
      <c r="I810"/>
      <c r="J810"/>
      <c r="K810"/>
      <c r="L810"/>
      <c r="M810"/>
      <c r="N810"/>
      <c r="O810"/>
      <c r="P810" s="225"/>
      <c r="Q810" s="225"/>
      <c r="R810"/>
      <c r="S810"/>
      <c r="T810"/>
      <c r="U810"/>
      <c r="V810"/>
      <c r="W810"/>
      <c r="X810"/>
    </row>
    <row r="811" spans="5:24" x14ac:dyDescent="0.3">
      <c r="E811" s="173"/>
      <c r="F811" s="173"/>
      <c r="I811"/>
      <c r="J811"/>
      <c r="K811"/>
      <c r="L811"/>
      <c r="M811"/>
      <c r="N811"/>
      <c r="O811"/>
      <c r="P811" s="225"/>
      <c r="Q811" s="225"/>
      <c r="R811"/>
      <c r="S811"/>
      <c r="T811"/>
      <c r="U811"/>
      <c r="V811"/>
      <c r="W811"/>
      <c r="X811"/>
    </row>
    <row r="812" spans="5:24" x14ac:dyDescent="0.3">
      <c r="E812" s="173"/>
      <c r="F812" s="173"/>
      <c r="I812"/>
      <c r="J812"/>
      <c r="K812"/>
      <c r="L812"/>
      <c r="M812"/>
      <c r="N812"/>
      <c r="O812"/>
      <c r="P812" s="225"/>
      <c r="Q812" s="225"/>
      <c r="R812"/>
      <c r="S812"/>
      <c r="T812"/>
      <c r="U812"/>
      <c r="V812"/>
      <c r="W812"/>
      <c r="X812"/>
    </row>
    <row r="813" spans="5:24" x14ac:dyDescent="0.3">
      <c r="E813" s="173"/>
      <c r="F813" s="173"/>
      <c r="I813"/>
      <c r="J813"/>
      <c r="K813"/>
      <c r="L813"/>
      <c r="M813"/>
      <c r="N813"/>
      <c r="O813"/>
      <c r="P813" s="225"/>
      <c r="Q813" s="225"/>
      <c r="R813"/>
      <c r="S813"/>
      <c r="T813"/>
      <c r="U813"/>
      <c r="V813"/>
      <c r="W813"/>
      <c r="X813"/>
    </row>
    <row r="814" spans="5:24" x14ac:dyDescent="0.3">
      <c r="E814" s="173"/>
      <c r="F814" s="173"/>
      <c r="I814"/>
      <c r="J814"/>
      <c r="K814"/>
      <c r="L814"/>
      <c r="M814"/>
      <c r="N814"/>
      <c r="O814"/>
      <c r="P814" s="225"/>
      <c r="Q814" s="225"/>
      <c r="R814"/>
      <c r="S814"/>
      <c r="T814"/>
      <c r="U814"/>
      <c r="V814"/>
      <c r="W814"/>
      <c r="X814"/>
    </row>
    <row r="815" spans="5:24" x14ac:dyDescent="0.3">
      <c r="E815" s="173"/>
      <c r="F815" s="173"/>
      <c r="I815"/>
      <c r="J815"/>
      <c r="K815"/>
      <c r="L815"/>
      <c r="M815"/>
      <c r="N815"/>
      <c r="O815"/>
      <c r="P815" s="225"/>
      <c r="Q815" s="225"/>
      <c r="R815"/>
      <c r="S815"/>
      <c r="T815"/>
      <c r="U815"/>
      <c r="V815"/>
      <c r="W815"/>
      <c r="X815"/>
    </row>
    <row r="816" spans="5:24" x14ac:dyDescent="0.3">
      <c r="E816" s="173"/>
      <c r="F816" s="173"/>
      <c r="I816"/>
      <c r="J816"/>
      <c r="K816"/>
      <c r="L816"/>
      <c r="M816"/>
      <c r="N816"/>
      <c r="O816"/>
      <c r="P816" s="225"/>
      <c r="Q816" s="225"/>
      <c r="R816"/>
      <c r="S816"/>
      <c r="T816"/>
      <c r="U816"/>
      <c r="V816"/>
      <c r="W816"/>
      <c r="X816"/>
    </row>
    <row r="817" spans="5:24" x14ac:dyDescent="0.3">
      <c r="E817" s="173"/>
      <c r="F817" s="173"/>
      <c r="I817"/>
      <c r="J817"/>
      <c r="K817"/>
      <c r="L817"/>
      <c r="M817"/>
      <c r="N817"/>
      <c r="O817"/>
      <c r="P817" s="225"/>
      <c r="Q817" s="225"/>
      <c r="R817"/>
      <c r="S817"/>
      <c r="T817"/>
      <c r="U817"/>
      <c r="V817"/>
      <c r="W817"/>
      <c r="X817"/>
    </row>
    <row r="818" spans="5:24" x14ac:dyDescent="0.3">
      <c r="E818" s="173"/>
      <c r="F818" s="173"/>
      <c r="I818"/>
      <c r="J818"/>
      <c r="K818"/>
      <c r="L818"/>
      <c r="M818"/>
      <c r="N818"/>
      <c r="O818"/>
      <c r="P818" s="225"/>
      <c r="Q818" s="225"/>
      <c r="R818"/>
      <c r="S818"/>
      <c r="T818"/>
      <c r="U818"/>
      <c r="V818"/>
      <c r="W818"/>
      <c r="X818"/>
    </row>
    <row r="819" spans="5:24" x14ac:dyDescent="0.3">
      <c r="E819" s="173"/>
      <c r="F819" s="173"/>
      <c r="I819"/>
      <c r="J819"/>
      <c r="K819"/>
      <c r="L819"/>
      <c r="M819"/>
      <c r="N819"/>
      <c r="O819"/>
      <c r="P819" s="225"/>
      <c r="Q819" s="225"/>
      <c r="R819"/>
      <c r="S819"/>
      <c r="T819"/>
      <c r="U819"/>
      <c r="V819"/>
      <c r="W819"/>
      <c r="X819"/>
    </row>
    <row r="820" spans="5:24" x14ac:dyDescent="0.3">
      <c r="E820" s="173"/>
      <c r="F820" s="173"/>
      <c r="I820"/>
      <c r="J820"/>
      <c r="K820"/>
      <c r="L820"/>
      <c r="M820"/>
      <c r="N820"/>
      <c r="O820"/>
      <c r="P820" s="225"/>
      <c r="Q820" s="225"/>
      <c r="R820"/>
      <c r="S820"/>
      <c r="T820"/>
      <c r="U820"/>
      <c r="V820"/>
      <c r="W820"/>
      <c r="X820"/>
    </row>
    <row r="821" spans="5:24" x14ac:dyDescent="0.3">
      <c r="E821" s="173"/>
      <c r="F821" s="173"/>
      <c r="I821"/>
      <c r="J821"/>
      <c r="K821"/>
      <c r="L821"/>
      <c r="M821"/>
      <c r="N821"/>
      <c r="O821"/>
      <c r="P821" s="225"/>
      <c r="Q821" s="225"/>
      <c r="R821"/>
      <c r="S821"/>
      <c r="T821"/>
      <c r="U821"/>
      <c r="V821"/>
      <c r="W821"/>
      <c r="X821"/>
    </row>
    <row r="822" spans="5:24" x14ac:dyDescent="0.3">
      <c r="E822" s="173"/>
      <c r="F822" s="173"/>
      <c r="I822"/>
      <c r="J822"/>
      <c r="K822"/>
      <c r="L822"/>
      <c r="M822"/>
      <c r="N822"/>
      <c r="O822"/>
      <c r="P822" s="225"/>
      <c r="Q822" s="225"/>
      <c r="R822"/>
      <c r="S822"/>
      <c r="T822"/>
      <c r="U822"/>
      <c r="V822"/>
      <c r="W822"/>
      <c r="X822"/>
    </row>
    <row r="823" spans="5:24" x14ac:dyDescent="0.3">
      <c r="E823" s="173"/>
      <c r="F823" s="173"/>
      <c r="I823"/>
      <c r="J823"/>
      <c r="K823"/>
      <c r="L823"/>
      <c r="M823"/>
      <c r="N823"/>
      <c r="O823"/>
      <c r="P823" s="225"/>
      <c r="Q823" s="225"/>
      <c r="R823"/>
      <c r="S823"/>
      <c r="T823"/>
      <c r="U823"/>
      <c r="V823"/>
      <c r="W823"/>
      <c r="X823"/>
    </row>
    <row r="824" spans="5:24" x14ac:dyDescent="0.3">
      <c r="E824" s="173"/>
      <c r="F824" s="173"/>
      <c r="I824"/>
      <c r="J824"/>
      <c r="K824"/>
      <c r="L824"/>
      <c r="M824"/>
      <c r="N824"/>
      <c r="O824"/>
      <c r="P824" s="225"/>
      <c r="Q824" s="225"/>
      <c r="R824"/>
      <c r="S824"/>
      <c r="T824"/>
      <c r="U824"/>
      <c r="V824"/>
      <c r="W824"/>
      <c r="X824"/>
    </row>
    <row r="825" spans="5:24" x14ac:dyDescent="0.3">
      <c r="E825" s="173"/>
      <c r="F825" s="173"/>
      <c r="I825"/>
      <c r="J825"/>
      <c r="K825"/>
      <c r="L825"/>
      <c r="M825"/>
      <c r="N825"/>
      <c r="O825"/>
      <c r="P825" s="225"/>
      <c r="Q825" s="225"/>
      <c r="R825"/>
      <c r="S825"/>
      <c r="T825"/>
      <c r="U825"/>
      <c r="V825"/>
      <c r="W825"/>
      <c r="X825"/>
    </row>
    <row r="826" spans="5:24" x14ac:dyDescent="0.3">
      <c r="E826" s="173"/>
      <c r="F826" s="173"/>
      <c r="I826"/>
      <c r="J826"/>
      <c r="K826"/>
      <c r="L826"/>
      <c r="M826"/>
      <c r="N826"/>
      <c r="O826"/>
      <c r="P826" s="225"/>
      <c r="Q826" s="225"/>
      <c r="R826"/>
      <c r="S826"/>
      <c r="T826"/>
      <c r="U826"/>
      <c r="V826"/>
      <c r="W826"/>
      <c r="X826"/>
    </row>
    <row r="827" spans="5:24" x14ac:dyDescent="0.3">
      <c r="E827" s="173"/>
      <c r="F827" s="173"/>
      <c r="I827"/>
      <c r="J827"/>
      <c r="K827"/>
      <c r="L827"/>
      <c r="M827"/>
      <c r="N827"/>
      <c r="O827"/>
      <c r="P827" s="225"/>
      <c r="Q827" s="225"/>
      <c r="R827"/>
      <c r="S827"/>
      <c r="T827"/>
      <c r="U827"/>
      <c r="V827"/>
      <c r="W827"/>
      <c r="X827"/>
    </row>
    <row r="828" spans="5:24" x14ac:dyDescent="0.3">
      <c r="E828" s="173"/>
      <c r="F828" s="173"/>
      <c r="I828"/>
      <c r="J828"/>
      <c r="K828"/>
      <c r="L828"/>
      <c r="M828"/>
      <c r="N828"/>
      <c r="O828"/>
      <c r="P828" s="225"/>
      <c r="Q828" s="225"/>
      <c r="R828"/>
      <c r="S828"/>
      <c r="T828"/>
      <c r="U828"/>
      <c r="V828"/>
      <c r="W828"/>
      <c r="X828"/>
    </row>
    <row r="829" spans="5:24" x14ac:dyDescent="0.3">
      <c r="E829" s="173"/>
      <c r="F829" s="173"/>
      <c r="I829"/>
      <c r="J829"/>
      <c r="K829"/>
      <c r="L829"/>
      <c r="M829"/>
      <c r="N829"/>
      <c r="O829"/>
      <c r="P829" s="225"/>
      <c r="Q829" s="225"/>
      <c r="R829"/>
      <c r="S829"/>
      <c r="T829"/>
      <c r="U829"/>
      <c r="V829"/>
      <c r="W829"/>
      <c r="X829"/>
    </row>
    <row r="830" spans="5:24" x14ac:dyDescent="0.3">
      <c r="E830" s="173"/>
      <c r="F830" s="173"/>
      <c r="I830"/>
      <c r="J830"/>
      <c r="K830"/>
      <c r="L830"/>
      <c r="M830"/>
      <c r="N830"/>
      <c r="O830"/>
      <c r="P830" s="225"/>
      <c r="Q830" s="225"/>
      <c r="R830"/>
      <c r="S830"/>
      <c r="T830"/>
      <c r="U830"/>
      <c r="V830"/>
      <c r="W830"/>
      <c r="X830"/>
    </row>
    <row r="831" spans="5:24" x14ac:dyDescent="0.3">
      <c r="E831" s="173"/>
      <c r="F831" s="173"/>
      <c r="I831"/>
      <c r="J831"/>
      <c r="K831"/>
      <c r="L831"/>
      <c r="M831"/>
      <c r="N831"/>
      <c r="O831"/>
      <c r="P831" s="225"/>
      <c r="Q831" s="225"/>
      <c r="R831"/>
      <c r="S831"/>
      <c r="T831"/>
      <c r="U831"/>
      <c r="V831"/>
      <c r="W831"/>
      <c r="X831"/>
    </row>
    <row r="832" spans="5:24" x14ac:dyDescent="0.3">
      <c r="E832" s="173"/>
      <c r="F832" s="173"/>
      <c r="I832"/>
      <c r="J832"/>
      <c r="K832"/>
      <c r="L832"/>
      <c r="M832"/>
      <c r="N832"/>
      <c r="O832"/>
      <c r="P832" s="225"/>
      <c r="Q832" s="225"/>
      <c r="R832"/>
      <c r="S832"/>
      <c r="T832"/>
      <c r="U832"/>
      <c r="V832"/>
      <c r="W832"/>
      <c r="X832"/>
    </row>
    <row r="833" spans="5:24" x14ac:dyDescent="0.3">
      <c r="E833" s="173"/>
      <c r="F833" s="173"/>
      <c r="I833"/>
      <c r="J833"/>
      <c r="K833"/>
      <c r="L833"/>
      <c r="M833"/>
      <c r="N833"/>
      <c r="O833"/>
      <c r="P833" s="225"/>
      <c r="Q833" s="225"/>
      <c r="R833"/>
      <c r="S833"/>
      <c r="T833"/>
      <c r="U833"/>
      <c r="V833"/>
      <c r="W833"/>
      <c r="X833"/>
    </row>
    <row r="834" spans="5:24" x14ac:dyDescent="0.3">
      <c r="E834" s="173"/>
      <c r="F834" s="173"/>
      <c r="I834"/>
      <c r="J834"/>
      <c r="K834"/>
      <c r="L834"/>
      <c r="M834"/>
      <c r="N834"/>
      <c r="O834"/>
      <c r="P834" s="225"/>
      <c r="Q834" s="225"/>
      <c r="R834"/>
      <c r="S834"/>
      <c r="T834"/>
      <c r="U834"/>
      <c r="V834"/>
      <c r="W834"/>
      <c r="X834"/>
    </row>
    <row r="835" spans="5:24" x14ac:dyDescent="0.3">
      <c r="E835" s="173"/>
      <c r="F835" s="173"/>
      <c r="I835"/>
      <c r="J835"/>
      <c r="K835"/>
      <c r="L835"/>
      <c r="M835"/>
      <c r="N835"/>
      <c r="O835"/>
      <c r="P835" s="225"/>
      <c r="Q835" s="225"/>
      <c r="R835"/>
      <c r="S835"/>
      <c r="T835"/>
      <c r="U835"/>
      <c r="V835"/>
      <c r="W835"/>
      <c r="X835"/>
    </row>
    <row r="836" spans="5:24" x14ac:dyDescent="0.3">
      <c r="E836" s="173"/>
      <c r="F836" s="173"/>
      <c r="I836"/>
      <c r="J836"/>
      <c r="K836"/>
      <c r="L836"/>
      <c r="M836"/>
      <c r="N836"/>
      <c r="O836"/>
      <c r="P836" s="225"/>
      <c r="Q836" s="225"/>
      <c r="R836"/>
      <c r="S836"/>
      <c r="T836"/>
      <c r="U836"/>
      <c r="V836"/>
      <c r="W836"/>
      <c r="X836"/>
    </row>
    <row r="837" spans="5:24" x14ac:dyDescent="0.3">
      <c r="E837" s="173"/>
      <c r="F837" s="173"/>
      <c r="I837"/>
      <c r="J837"/>
      <c r="K837"/>
      <c r="L837"/>
      <c r="M837"/>
      <c r="N837"/>
      <c r="O837"/>
      <c r="P837" s="225"/>
      <c r="Q837" s="225"/>
      <c r="R837"/>
      <c r="S837"/>
      <c r="T837"/>
      <c r="U837"/>
      <c r="V837"/>
      <c r="W837"/>
      <c r="X837"/>
    </row>
    <row r="838" spans="5:24" x14ac:dyDescent="0.3">
      <c r="E838" s="173"/>
      <c r="F838" s="173"/>
      <c r="I838"/>
      <c r="J838"/>
      <c r="K838"/>
      <c r="L838"/>
      <c r="M838"/>
      <c r="N838"/>
      <c r="O838"/>
      <c r="P838" s="225"/>
      <c r="Q838" s="225"/>
      <c r="R838"/>
      <c r="S838"/>
      <c r="T838"/>
      <c r="U838"/>
      <c r="V838"/>
      <c r="W838"/>
      <c r="X838"/>
    </row>
    <row r="839" spans="5:24" x14ac:dyDescent="0.3">
      <c r="E839" s="173"/>
      <c r="F839" s="173"/>
      <c r="I839"/>
      <c r="J839"/>
      <c r="K839"/>
      <c r="L839"/>
      <c r="M839"/>
      <c r="N839"/>
      <c r="O839"/>
      <c r="P839" s="225"/>
      <c r="Q839" s="225"/>
      <c r="R839"/>
      <c r="S839"/>
      <c r="T839"/>
      <c r="U839"/>
      <c r="V839"/>
      <c r="W839"/>
      <c r="X839"/>
    </row>
    <row r="840" spans="5:24" x14ac:dyDescent="0.3">
      <c r="E840" s="173"/>
      <c r="F840" s="173"/>
      <c r="I840"/>
      <c r="J840"/>
      <c r="K840"/>
      <c r="L840"/>
      <c r="M840"/>
      <c r="N840"/>
      <c r="O840"/>
      <c r="P840" s="225"/>
      <c r="Q840" s="225"/>
      <c r="R840"/>
      <c r="S840"/>
      <c r="T840"/>
      <c r="U840"/>
      <c r="V840"/>
      <c r="W840"/>
      <c r="X840"/>
    </row>
    <row r="841" spans="5:24" x14ac:dyDescent="0.3">
      <c r="E841" s="173"/>
      <c r="F841" s="173"/>
      <c r="I841"/>
      <c r="J841"/>
      <c r="K841"/>
      <c r="L841"/>
      <c r="M841"/>
      <c r="N841"/>
      <c r="O841"/>
      <c r="P841" s="225"/>
      <c r="Q841" s="225"/>
      <c r="R841"/>
      <c r="S841"/>
      <c r="T841"/>
      <c r="U841"/>
      <c r="V841"/>
      <c r="W841"/>
      <c r="X841"/>
    </row>
    <row r="842" spans="5:24" x14ac:dyDescent="0.3">
      <c r="E842" s="173"/>
      <c r="F842" s="173"/>
      <c r="I842"/>
      <c r="J842"/>
      <c r="K842"/>
      <c r="L842"/>
      <c r="M842"/>
      <c r="N842"/>
      <c r="O842"/>
      <c r="P842" s="225"/>
      <c r="Q842" s="225"/>
      <c r="R842"/>
      <c r="S842"/>
      <c r="T842"/>
      <c r="U842"/>
      <c r="V842"/>
      <c r="W842"/>
      <c r="X842"/>
    </row>
    <row r="843" spans="5:24" x14ac:dyDescent="0.3">
      <c r="E843" s="173"/>
      <c r="F843" s="173"/>
      <c r="I843"/>
      <c r="J843"/>
      <c r="K843"/>
      <c r="L843"/>
      <c r="M843"/>
      <c r="N843"/>
      <c r="O843"/>
      <c r="P843" s="225"/>
      <c r="Q843" s="225"/>
      <c r="R843"/>
      <c r="S843"/>
      <c r="T843"/>
      <c r="U843"/>
      <c r="V843"/>
      <c r="W843"/>
      <c r="X843"/>
    </row>
    <row r="844" spans="5:24" x14ac:dyDescent="0.3">
      <c r="E844" s="173"/>
      <c r="F844" s="173"/>
      <c r="I844"/>
      <c r="J844"/>
      <c r="K844"/>
      <c r="L844"/>
      <c r="M844"/>
      <c r="N844"/>
      <c r="O844"/>
      <c r="P844" s="225"/>
      <c r="Q844" s="225"/>
      <c r="R844"/>
      <c r="S844"/>
      <c r="T844"/>
      <c r="U844"/>
      <c r="V844"/>
      <c r="W844"/>
      <c r="X844"/>
    </row>
    <row r="845" spans="5:24" x14ac:dyDescent="0.3">
      <c r="E845" s="173"/>
      <c r="F845" s="173"/>
      <c r="I845"/>
      <c r="J845"/>
      <c r="K845"/>
      <c r="L845"/>
      <c r="M845"/>
      <c r="N845"/>
      <c r="O845"/>
      <c r="P845" s="225"/>
      <c r="Q845" s="225"/>
      <c r="R845"/>
      <c r="S845"/>
      <c r="T845"/>
      <c r="U845"/>
      <c r="V845"/>
      <c r="W845"/>
      <c r="X845"/>
    </row>
    <row r="846" spans="5:24" x14ac:dyDescent="0.3">
      <c r="E846" s="173"/>
      <c r="F846" s="173"/>
      <c r="I846"/>
      <c r="J846"/>
      <c r="K846"/>
      <c r="L846"/>
      <c r="M846"/>
      <c r="N846"/>
      <c r="O846"/>
      <c r="P846" s="225"/>
      <c r="Q846" s="225"/>
      <c r="R846"/>
      <c r="S846"/>
      <c r="T846"/>
      <c r="U846"/>
      <c r="V846"/>
      <c r="W846"/>
      <c r="X846"/>
    </row>
    <row r="847" spans="5:24" x14ac:dyDescent="0.3">
      <c r="E847" s="173"/>
      <c r="F847" s="173"/>
      <c r="I847"/>
      <c r="J847"/>
      <c r="K847"/>
      <c r="L847"/>
      <c r="M847"/>
      <c r="N847"/>
      <c r="O847"/>
      <c r="P847" s="225"/>
      <c r="Q847" s="225"/>
      <c r="R847"/>
      <c r="S847"/>
      <c r="T847"/>
      <c r="U847"/>
      <c r="V847"/>
      <c r="W847"/>
      <c r="X847"/>
    </row>
    <row r="848" spans="5:24" x14ac:dyDescent="0.3">
      <c r="E848" s="173"/>
      <c r="F848" s="173"/>
      <c r="I848"/>
      <c r="J848"/>
      <c r="K848"/>
      <c r="L848"/>
      <c r="M848"/>
      <c r="N848"/>
      <c r="O848"/>
      <c r="P848" s="225"/>
      <c r="Q848" s="225"/>
      <c r="R848"/>
      <c r="S848"/>
      <c r="T848"/>
      <c r="U848"/>
      <c r="V848"/>
      <c r="W848"/>
      <c r="X848"/>
    </row>
    <row r="849" spans="5:24" x14ac:dyDescent="0.3">
      <c r="E849" s="173"/>
      <c r="F849" s="173"/>
      <c r="I849"/>
      <c r="J849"/>
      <c r="K849"/>
      <c r="L849"/>
      <c r="M849"/>
      <c r="N849"/>
      <c r="O849"/>
      <c r="P849" s="225"/>
      <c r="Q849" s="225"/>
      <c r="R849"/>
      <c r="S849"/>
      <c r="T849"/>
      <c r="U849"/>
      <c r="V849"/>
      <c r="W849"/>
      <c r="X849"/>
    </row>
    <row r="850" spans="5:24" x14ac:dyDescent="0.3">
      <c r="E850" s="173"/>
      <c r="F850" s="173"/>
      <c r="I850"/>
      <c r="J850"/>
      <c r="K850"/>
      <c r="L850"/>
      <c r="M850"/>
      <c r="N850"/>
      <c r="O850"/>
      <c r="P850" s="225"/>
      <c r="Q850" s="225"/>
      <c r="R850"/>
      <c r="S850"/>
      <c r="T850"/>
      <c r="U850"/>
      <c r="V850"/>
      <c r="W850"/>
      <c r="X850"/>
    </row>
    <row r="851" spans="5:24" x14ac:dyDescent="0.3">
      <c r="E851" s="173"/>
      <c r="F851" s="173"/>
      <c r="I851"/>
      <c r="J851"/>
      <c r="K851"/>
      <c r="L851"/>
      <c r="M851"/>
      <c r="N851"/>
      <c r="O851"/>
      <c r="P851" s="225"/>
      <c r="Q851" s="225"/>
      <c r="R851"/>
      <c r="S851"/>
      <c r="T851"/>
      <c r="U851"/>
      <c r="V851"/>
      <c r="W851"/>
      <c r="X851"/>
    </row>
    <row r="852" spans="5:24" x14ac:dyDescent="0.3">
      <c r="E852" s="173"/>
      <c r="F852" s="173"/>
      <c r="I852"/>
      <c r="J852"/>
      <c r="K852"/>
      <c r="L852"/>
      <c r="M852"/>
      <c r="N852"/>
      <c r="O852"/>
      <c r="P852" s="225"/>
      <c r="Q852" s="225"/>
      <c r="R852"/>
      <c r="S852"/>
      <c r="T852"/>
      <c r="U852"/>
      <c r="V852"/>
      <c r="W852"/>
      <c r="X852"/>
    </row>
    <row r="853" spans="5:24" x14ac:dyDescent="0.3">
      <c r="E853" s="173"/>
      <c r="F853" s="173"/>
      <c r="I853"/>
      <c r="J853"/>
      <c r="K853"/>
      <c r="L853"/>
      <c r="M853"/>
      <c r="N853"/>
      <c r="O853"/>
      <c r="P853" s="225"/>
      <c r="Q853" s="225"/>
      <c r="R853"/>
      <c r="S853"/>
      <c r="T853"/>
      <c r="U853"/>
      <c r="V853"/>
      <c r="W853"/>
      <c r="X853"/>
    </row>
    <row r="854" spans="5:24" x14ac:dyDescent="0.3">
      <c r="E854" s="173"/>
      <c r="F854" s="173"/>
      <c r="I854"/>
      <c r="J854"/>
      <c r="K854"/>
      <c r="L854"/>
      <c r="M854"/>
      <c r="N854"/>
      <c r="O854"/>
      <c r="P854" s="225"/>
      <c r="Q854" s="225"/>
      <c r="R854"/>
      <c r="S854"/>
      <c r="T854"/>
      <c r="U854"/>
      <c r="V854"/>
      <c r="W854"/>
      <c r="X854"/>
    </row>
    <row r="855" spans="5:24" x14ac:dyDescent="0.3">
      <c r="E855" s="173"/>
      <c r="F855" s="173"/>
      <c r="I855"/>
      <c r="J855"/>
      <c r="K855"/>
      <c r="L855"/>
      <c r="M855"/>
      <c r="N855"/>
      <c r="O855"/>
      <c r="P855" s="225"/>
      <c r="Q855" s="225"/>
      <c r="R855"/>
      <c r="S855"/>
      <c r="T855"/>
      <c r="U855"/>
      <c r="V855"/>
      <c r="W855"/>
      <c r="X855"/>
    </row>
    <row r="856" spans="5:24" x14ac:dyDescent="0.3">
      <c r="E856" s="173"/>
      <c r="F856" s="173"/>
      <c r="I856"/>
      <c r="J856"/>
      <c r="K856"/>
      <c r="L856"/>
      <c r="M856"/>
      <c r="N856"/>
      <c r="O856"/>
      <c r="P856" s="225"/>
      <c r="Q856" s="225"/>
      <c r="R856"/>
      <c r="S856"/>
      <c r="T856"/>
      <c r="U856"/>
      <c r="V856"/>
      <c r="W856"/>
      <c r="X856"/>
    </row>
    <row r="857" spans="5:24" x14ac:dyDescent="0.3">
      <c r="E857" s="173"/>
      <c r="F857" s="173"/>
      <c r="I857"/>
      <c r="J857"/>
      <c r="K857"/>
      <c r="L857"/>
      <c r="M857"/>
      <c r="N857"/>
      <c r="O857"/>
      <c r="P857" s="225"/>
      <c r="Q857" s="225"/>
      <c r="R857"/>
      <c r="S857"/>
      <c r="T857"/>
      <c r="U857"/>
      <c r="V857"/>
      <c r="W857"/>
      <c r="X857"/>
    </row>
    <row r="858" spans="5:24" x14ac:dyDescent="0.3">
      <c r="E858" s="173"/>
      <c r="F858" s="173"/>
      <c r="I858"/>
      <c r="J858"/>
      <c r="K858"/>
      <c r="L858"/>
      <c r="M858"/>
      <c r="N858"/>
      <c r="O858"/>
      <c r="P858" s="225"/>
      <c r="Q858" s="225"/>
      <c r="R858"/>
      <c r="S858"/>
      <c r="T858"/>
      <c r="U858"/>
      <c r="V858"/>
      <c r="W858"/>
      <c r="X858"/>
    </row>
    <row r="859" spans="5:24" x14ac:dyDescent="0.3">
      <c r="E859" s="173"/>
      <c r="F859" s="173"/>
      <c r="I859"/>
      <c r="J859"/>
      <c r="K859"/>
      <c r="L859"/>
      <c r="M859"/>
      <c r="N859"/>
      <c r="O859"/>
      <c r="P859" s="225"/>
      <c r="Q859" s="225"/>
      <c r="R859"/>
      <c r="S859"/>
      <c r="T859"/>
      <c r="U859"/>
      <c r="V859"/>
      <c r="W859"/>
      <c r="X859"/>
    </row>
    <row r="860" spans="5:24" x14ac:dyDescent="0.3">
      <c r="E860" s="173"/>
      <c r="F860" s="173"/>
      <c r="I860"/>
      <c r="J860"/>
      <c r="K860"/>
      <c r="L860"/>
      <c r="M860"/>
      <c r="N860"/>
      <c r="O860"/>
      <c r="P860" s="225"/>
      <c r="Q860" s="225"/>
      <c r="R860"/>
      <c r="S860"/>
      <c r="T860"/>
      <c r="U860"/>
      <c r="V860"/>
      <c r="W860"/>
      <c r="X860"/>
    </row>
    <row r="861" spans="5:24" x14ac:dyDescent="0.3">
      <c r="E861" s="173"/>
      <c r="F861" s="173"/>
      <c r="I861"/>
      <c r="J861"/>
      <c r="K861"/>
      <c r="L861"/>
      <c r="M861"/>
      <c r="N861"/>
      <c r="O861"/>
      <c r="P861" s="225"/>
      <c r="Q861" s="225"/>
      <c r="R861"/>
      <c r="S861"/>
      <c r="T861"/>
      <c r="U861"/>
      <c r="V861"/>
      <c r="W861"/>
      <c r="X861"/>
    </row>
    <row r="862" spans="5:24" x14ac:dyDescent="0.3">
      <c r="E862" s="173"/>
      <c r="F862" s="173"/>
      <c r="I862"/>
      <c r="J862"/>
      <c r="K862"/>
      <c r="L862"/>
      <c r="M862"/>
      <c r="N862"/>
      <c r="O862"/>
      <c r="P862" s="225"/>
      <c r="Q862" s="225"/>
      <c r="R862"/>
      <c r="S862"/>
      <c r="T862"/>
      <c r="U862"/>
      <c r="V862"/>
      <c r="W862"/>
      <c r="X862"/>
    </row>
    <row r="863" spans="5:24" x14ac:dyDescent="0.3">
      <c r="E863" s="173"/>
      <c r="F863" s="173"/>
      <c r="I863"/>
      <c r="J863"/>
      <c r="K863"/>
      <c r="L863"/>
      <c r="M863"/>
      <c r="N863"/>
      <c r="O863"/>
      <c r="P863" s="225"/>
      <c r="Q863" s="225"/>
      <c r="R863"/>
      <c r="S863"/>
      <c r="T863"/>
      <c r="U863"/>
      <c r="V863"/>
      <c r="W863"/>
      <c r="X863"/>
    </row>
    <row r="864" spans="5:24" x14ac:dyDescent="0.3">
      <c r="E864" s="173"/>
      <c r="F864" s="173"/>
      <c r="I864"/>
      <c r="J864"/>
      <c r="K864"/>
      <c r="L864"/>
      <c r="M864"/>
      <c r="N864"/>
      <c r="O864"/>
      <c r="P864" s="225"/>
      <c r="Q864" s="225"/>
      <c r="R864"/>
      <c r="S864"/>
      <c r="T864"/>
      <c r="U864"/>
      <c r="V864"/>
      <c r="W864"/>
      <c r="X864"/>
    </row>
    <row r="865" spans="5:24" x14ac:dyDescent="0.3">
      <c r="E865" s="173"/>
      <c r="F865" s="173"/>
      <c r="I865"/>
      <c r="J865"/>
      <c r="K865"/>
      <c r="L865"/>
      <c r="M865"/>
      <c r="N865"/>
      <c r="O865"/>
      <c r="P865" s="225"/>
      <c r="Q865" s="225"/>
      <c r="R865"/>
      <c r="S865"/>
      <c r="T865"/>
      <c r="U865"/>
      <c r="V865"/>
      <c r="W865"/>
      <c r="X865"/>
    </row>
    <row r="866" spans="5:24" x14ac:dyDescent="0.3">
      <c r="E866" s="173"/>
      <c r="F866" s="173"/>
      <c r="I866"/>
      <c r="J866"/>
      <c r="K866"/>
      <c r="L866"/>
      <c r="M866"/>
      <c r="N866"/>
      <c r="O866"/>
      <c r="P866" s="225"/>
      <c r="Q866" s="225"/>
      <c r="R866"/>
      <c r="S866"/>
      <c r="T866"/>
      <c r="U866"/>
      <c r="V866"/>
      <c r="W866"/>
      <c r="X866"/>
    </row>
    <row r="867" spans="5:24" x14ac:dyDescent="0.3">
      <c r="E867" s="173"/>
      <c r="F867" s="173"/>
      <c r="I867"/>
      <c r="J867"/>
      <c r="K867"/>
      <c r="L867"/>
      <c r="M867"/>
      <c r="N867"/>
      <c r="O867"/>
      <c r="P867" s="225"/>
      <c r="Q867" s="225"/>
      <c r="R867"/>
      <c r="S867"/>
      <c r="T867"/>
      <c r="U867"/>
      <c r="V867"/>
      <c r="W867"/>
      <c r="X867"/>
    </row>
    <row r="868" spans="5:24" x14ac:dyDescent="0.3">
      <c r="E868" s="173"/>
      <c r="F868" s="173"/>
      <c r="I868"/>
      <c r="J868"/>
      <c r="K868"/>
      <c r="L868"/>
      <c r="M868"/>
      <c r="N868"/>
      <c r="O868"/>
      <c r="P868" s="225"/>
      <c r="Q868" s="225"/>
      <c r="R868"/>
      <c r="S868"/>
      <c r="T868"/>
      <c r="U868"/>
      <c r="V868"/>
      <c r="W868"/>
      <c r="X868"/>
    </row>
    <row r="869" spans="5:24" x14ac:dyDescent="0.3">
      <c r="E869" s="173"/>
      <c r="F869" s="173"/>
      <c r="I869"/>
      <c r="J869"/>
      <c r="K869"/>
      <c r="L869"/>
      <c r="M869"/>
      <c r="N869"/>
      <c r="O869"/>
      <c r="P869" s="225"/>
      <c r="Q869" s="225"/>
      <c r="R869"/>
      <c r="S869"/>
      <c r="T869"/>
      <c r="U869"/>
      <c r="V869"/>
      <c r="W869"/>
      <c r="X869"/>
    </row>
    <row r="870" spans="5:24" x14ac:dyDescent="0.3">
      <c r="E870" s="173"/>
      <c r="F870" s="173"/>
      <c r="I870"/>
      <c r="J870"/>
      <c r="K870"/>
      <c r="L870"/>
      <c r="M870"/>
      <c r="N870"/>
      <c r="O870"/>
      <c r="P870" s="225"/>
      <c r="Q870" s="225"/>
      <c r="R870"/>
      <c r="S870"/>
      <c r="T870"/>
      <c r="U870"/>
      <c r="V870"/>
      <c r="W870"/>
      <c r="X870"/>
    </row>
    <row r="871" spans="5:24" x14ac:dyDescent="0.3">
      <c r="E871" s="173"/>
      <c r="F871" s="173"/>
      <c r="I871"/>
      <c r="J871"/>
      <c r="K871"/>
      <c r="L871"/>
      <c r="M871"/>
      <c r="N871"/>
      <c r="O871"/>
      <c r="P871" s="225"/>
      <c r="Q871" s="225"/>
      <c r="R871"/>
      <c r="S871"/>
      <c r="T871"/>
      <c r="U871"/>
      <c r="V871"/>
      <c r="W871"/>
      <c r="X871"/>
    </row>
    <row r="872" spans="5:24" x14ac:dyDescent="0.3">
      <c r="E872" s="173"/>
      <c r="F872" s="173"/>
      <c r="I872"/>
      <c r="J872"/>
      <c r="K872"/>
      <c r="L872"/>
      <c r="M872"/>
      <c r="N872"/>
      <c r="O872"/>
      <c r="P872" s="225"/>
      <c r="Q872" s="225"/>
      <c r="R872"/>
      <c r="S872"/>
      <c r="T872"/>
      <c r="U872"/>
      <c r="V872"/>
      <c r="W872"/>
      <c r="X872"/>
    </row>
    <row r="873" spans="5:24" x14ac:dyDescent="0.3">
      <c r="E873" s="173"/>
      <c r="F873" s="173"/>
      <c r="I873"/>
      <c r="J873"/>
      <c r="K873"/>
      <c r="L873"/>
      <c r="M873"/>
      <c r="N873"/>
      <c r="O873"/>
      <c r="P873" s="225"/>
      <c r="Q873" s="225"/>
      <c r="R873"/>
      <c r="S873"/>
      <c r="T873"/>
      <c r="U873"/>
      <c r="V873"/>
      <c r="W873"/>
      <c r="X873"/>
    </row>
    <row r="874" spans="5:24" x14ac:dyDescent="0.3">
      <c r="E874" s="173"/>
      <c r="F874" s="173"/>
      <c r="I874"/>
      <c r="J874"/>
      <c r="K874"/>
      <c r="L874"/>
      <c r="M874"/>
      <c r="N874"/>
      <c r="O874"/>
      <c r="P874" s="225"/>
      <c r="Q874" s="225"/>
      <c r="R874"/>
      <c r="S874"/>
      <c r="T874"/>
      <c r="U874"/>
      <c r="V874"/>
      <c r="W874"/>
      <c r="X874"/>
    </row>
    <row r="875" spans="5:24" x14ac:dyDescent="0.3">
      <c r="E875" s="173"/>
      <c r="F875" s="173"/>
      <c r="I875"/>
      <c r="J875"/>
      <c r="K875"/>
      <c r="L875"/>
      <c r="M875"/>
      <c r="N875"/>
      <c r="O875"/>
      <c r="P875" s="225"/>
      <c r="Q875" s="225"/>
      <c r="R875"/>
      <c r="S875"/>
      <c r="T875"/>
      <c r="U875"/>
      <c r="V875"/>
      <c r="W875"/>
      <c r="X875"/>
    </row>
    <row r="876" spans="5:24" x14ac:dyDescent="0.3">
      <c r="E876" s="173"/>
      <c r="F876" s="173"/>
      <c r="I876"/>
      <c r="J876"/>
      <c r="K876"/>
      <c r="L876"/>
      <c r="M876"/>
      <c r="N876"/>
      <c r="O876"/>
      <c r="P876" s="225"/>
      <c r="Q876" s="225"/>
      <c r="R876"/>
      <c r="S876"/>
      <c r="T876"/>
      <c r="U876"/>
      <c r="V876"/>
      <c r="W876"/>
      <c r="X876"/>
    </row>
    <row r="877" spans="5:24" x14ac:dyDescent="0.3">
      <c r="E877" s="173"/>
      <c r="F877" s="173"/>
      <c r="I877"/>
      <c r="J877"/>
      <c r="K877"/>
      <c r="L877"/>
      <c r="M877"/>
      <c r="N877"/>
      <c r="O877"/>
      <c r="P877" s="225"/>
      <c r="Q877" s="225"/>
      <c r="R877"/>
      <c r="S877"/>
      <c r="T877"/>
      <c r="U877"/>
      <c r="V877"/>
      <c r="W877"/>
      <c r="X877"/>
    </row>
    <row r="878" spans="5:24" x14ac:dyDescent="0.3">
      <c r="E878" s="173"/>
      <c r="F878" s="173"/>
      <c r="I878"/>
      <c r="J878"/>
      <c r="K878"/>
      <c r="L878"/>
      <c r="M878"/>
      <c r="N878"/>
      <c r="O878"/>
      <c r="P878" s="225"/>
      <c r="Q878" s="225"/>
      <c r="R878"/>
      <c r="S878"/>
      <c r="T878"/>
      <c r="U878"/>
      <c r="V878"/>
      <c r="W878"/>
      <c r="X878"/>
    </row>
    <row r="879" spans="5:24" x14ac:dyDescent="0.3">
      <c r="E879" s="173"/>
      <c r="F879" s="173"/>
      <c r="I879"/>
      <c r="J879"/>
      <c r="K879"/>
      <c r="L879"/>
      <c r="M879"/>
      <c r="N879"/>
      <c r="O879"/>
      <c r="P879" s="225"/>
      <c r="Q879" s="225"/>
      <c r="R879"/>
      <c r="S879"/>
      <c r="T879"/>
      <c r="U879"/>
      <c r="V879"/>
      <c r="W879"/>
      <c r="X879"/>
    </row>
    <row r="880" spans="5:24" x14ac:dyDescent="0.3">
      <c r="E880" s="173"/>
      <c r="F880" s="173"/>
      <c r="I880"/>
      <c r="J880"/>
      <c r="K880"/>
      <c r="L880"/>
      <c r="M880"/>
      <c r="N880"/>
      <c r="O880"/>
      <c r="P880" s="225"/>
      <c r="Q880" s="225"/>
      <c r="R880"/>
      <c r="S880"/>
      <c r="T880"/>
      <c r="U880"/>
      <c r="V880"/>
      <c r="W880"/>
      <c r="X880"/>
    </row>
    <row r="881" spans="5:24" x14ac:dyDescent="0.3">
      <c r="E881" s="173"/>
      <c r="F881" s="173"/>
      <c r="I881"/>
      <c r="J881"/>
      <c r="K881"/>
      <c r="L881"/>
      <c r="M881"/>
      <c r="N881"/>
      <c r="O881"/>
      <c r="P881" s="225"/>
      <c r="Q881" s="225"/>
      <c r="R881"/>
      <c r="S881"/>
      <c r="T881"/>
      <c r="U881"/>
      <c r="V881"/>
      <c r="W881"/>
      <c r="X881"/>
    </row>
    <row r="882" spans="5:24" x14ac:dyDescent="0.3">
      <c r="E882" s="173"/>
      <c r="F882" s="173"/>
      <c r="I882"/>
      <c r="J882"/>
      <c r="K882"/>
      <c r="L882"/>
      <c r="M882"/>
      <c r="N882"/>
      <c r="O882"/>
      <c r="P882" s="225"/>
      <c r="Q882" s="225"/>
      <c r="R882"/>
      <c r="S882"/>
      <c r="T882"/>
      <c r="U882"/>
      <c r="V882"/>
      <c r="W882"/>
      <c r="X882"/>
    </row>
    <row r="883" spans="5:24" x14ac:dyDescent="0.3">
      <c r="E883" s="173"/>
      <c r="F883" s="173"/>
      <c r="I883"/>
      <c r="J883"/>
      <c r="K883"/>
      <c r="L883"/>
      <c r="M883"/>
      <c r="N883"/>
      <c r="O883"/>
      <c r="P883" s="225"/>
      <c r="Q883" s="225"/>
      <c r="R883"/>
      <c r="S883"/>
      <c r="T883"/>
      <c r="U883"/>
      <c r="V883"/>
      <c r="W883"/>
      <c r="X883"/>
    </row>
    <row r="884" spans="5:24" x14ac:dyDescent="0.3">
      <c r="E884" s="173"/>
      <c r="F884" s="173"/>
      <c r="I884"/>
      <c r="J884"/>
      <c r="K884"/>
      <c r="L884"/>
      <c r="M884"/>
      <c r="N884"/>
      <c r="O884"/>
      <c r="P884" s="225"/>
      <c r="Q884" s="225"/>
      <c r="R884"/>
      <c r="S884"/>
      <c r="T884"/>
      <c r="U884"/>
      <c r="V884"/>
      <c r="W884"/>
      <c r="X884"/>
    </row>
    <row r="885" spans="5:24" x14ac:dyDescent="0.3">
      <c r="E885" s="173"/>
      <c r="F885" s="173"/>
      <c r="I885"/>
      <c r="J885"/>
      <c r="K885"/>
      <c r="L885"/>
      <c r="M885"/>
      <c r="N885"/>
      <c r="O885"/>
      <c r="P885" s="225"/>
      <c r="Q885" s="225"/>
      <c r="R885"/>
      <c r="S885"/>
      <c r="T885"/>
      <c r="U885"/>
      <c r="V885"/>
      <c r="W885"/>
      <c r="X885"/>
    </row>
    <row r="886" spans="5:24" x14ac:dyDescent="0.3">
      <c r="E886" s="173"/>
      <c r="F886" s="173"/>
      <c r="I886"/>
      <c r="J886"/>
      <c r="K886"/>
      <c r="L886"/>
      <c r="M886"/>
      <c r="N886"/>
      <c r="O886"/>
      <c r="P886" s="225"/>
      <c r="Q886" s="225"/>
      <c r="R886"/>
      <c r="S886"/>
      <c r="T886"/>
      <c r="U886"/>
      <c r="V886"/>
      <c r="W886"/>
      <c r="X886"/>
    </row>
    <row r="887" spans="5:24" x14ac:dyDescent="0.3">
      <c r="E887" s="173"/>
      <c r="F887" s="173"/>
      <c r="I887"/>
      <c r="J887"/>
      <c r="K887"/>
      <c r="L887"/>
      <c r="M887"/>
      <c r="N887"/>
      <c r="O887"/>
      <c r="P887" s="225"/>
      <c r="Q887" s="225"/>
      <c r="R887"/>
      <c r="S887"/>
      <c r="T887"/>
      <c r="U887"/>
      <c r="V887"/>
      <c r="W887"/>
      <c r="X887"/>
    </row>
    <row r="888" spans="5:24" x14ac:dyDescent="0.3">
      <c r="E888" s="173"/>
      <c r="F888" s="173"/>
      <c r="I888"/>
      <c r="J888"/>
      <c r="K888"/>
      <c r="L888"/>
      <c r="M888"/>
      <c r="N888"/>
      <c r="O888"/>
      <c r="P888" s="225"/>
      <c r="Q888" s="225"/>
      <c r="R888"/>
      <c r="S888"/>
      <c r="T888"/>
      <c r="U888"/>
      <c r="V888"/>
      <c r="W888"/>
      <c r="X888"/>
    </row>
    <row r="889" spans="5:24" x14ac:dyDescent="0.3">
      <c r="E889" s="173"/>
      <c r="F889" s="173"/>
      <c r="I889"/>
      <c r="J889"/>
      <c r="K889"/>
      <c r="L889"/>
      <c r="M889"/>
      <c r="N889"/>
      <c r="O889"/>
      <c r="P889" s="225"/>
      <c r="Q889" s="225"/>
      <c r="R889"/>
      <c r="S889"/>
      <c r="T889"/>
      <c r="U889"/>
      <c r="V889"/>
      <c r="W889"/>
      <c r="X889"/>
    </row>
    <row r="890" spans="5:24" x14ac:dyDescent="0.3">
      <c r="E890" s="173"/>
      <c r="F890" s="173"/>
      <c r="I890"/>
      <c r="J890"/>
      <c r="K890"/>
      <c r="L890"/>
      <c r="M890"/>
      <c r="N890"/>
      <c r="O890"/>
      <c r="P890" s="225"/>
      <c r="Q890" s="225"/>
      <c r="R890"/>
      <c r="S890"/>
      <c r="T890"/>
      <c r="U890"/>
      <c r="V890"/>
      <c r="W890"/>
      <c r="X890"/>
    </row>
    <row r="891" spans="5:24" x14ac:dyDescent="0.3">
      <c r="E891" s="173"/>
      <c r="F891" s="173"/>
      <c r="I891"/>
      <c r="J891"/>
      <c r="K891"/>
      <c r="L891"/>
      <c r="M891"/>
      <c r="N891"/>
      <c r="O891"/>
      <c r="P891" s="225"/>
      <c r="Q891" s="225"/>
      <c r="R891"/>
      <c r="S891"/>
      <c r="T891"/>
      <c r="U891"/>
      <c r="V891"/>
      <c r="W891"/>
      <c r="X891"/>
    </row>
    <row r="892" spans="5:24" x14ac:dyDescent="0.3">
      <c r="E892" s="173"/>
      <c r="F892" s="173"/>
      <c r="I892"/>
      <c r="J892"/>
      <c r="K892"/>
      <c r="L892"/>
      <c r="M892"/>
      <c r="N892"/>
      <c r="O892"/>
      <c r="P892" s="225"/>
      <c r="Q892" s="225"/>
      <c r="R892"/>
      <c r="S892"/>
      <c r="T892"/>
      <c r="U892"/>
      <c r="V892"/>
      <c r="W892"/>
      <c r="X892"/>
    </row>
    <row r="893" spans="5:24" x14ac:dyDescent="0.3">
      <c r="E893" s="173"/>
      <c r="F893" s="173"/>
      <c r="I893"/>
      <c r="J893"/>
      <c r="K893"/>
      <c r="L893"/>
      <c r="M893"/>
      <c r="N893"/>
      <c r="O893"/>
      <c r="P893" s="225"/>
      <c r="Q893" s="225"/>
      <c r="R893"/>
      <c r="S893"/>
      <c r="T893"/>
      <c r="U893"/>
      <c r="V893"/>
      <c r="W893"/>
      <c r="X893"/>
    </row>
    <row r="894" spans="5:24" x14ac:dyDescent="0.3">
      <c r="E894" s="173"/>
      <c r="F894" s="173"/>
      <c r="I894"/>
      <c r="J894"/>
      <c r="K894"/>
      <c r="L894"/>
      <c r="M894"/>
      <c r="N894"/>
      <c r="O894"/>
      <c r="P894" s="225"/>
      <c r="Q894" s="225"/>
      <c r="R894"/>
      <c r="S894"/>
      <c r="T894"/>
      <c r="U894"/>
      <c r="V894"/>
      <c r="W894"/>
      <c r="X894"/>
    </row>
    <row r="895" spans="5:24" x14ac:dyDescent="0.3">
      <c r="E895" s="173"/>
      <c r="F895" s="173"/>
      <c r="I895"/>
      <c r="J895"/>
      <c r="K895"/>
      <c r="L895"/>
      <c r="M895"/>
      <c r="N895"/>
      <c r="O895"/>
      <c r="P895" s="225"/>
      <c r="Q895" s="225"/>
      <c r="R895"/>
      <c r="S895"/>
      <c r="T895"/>
      <c r="U895"/>
      <c r="V895"/>
      <c r="W895"/>
      <c r="X895"/>
    </row>
    <row r="896" spans="5:24" x14ac:dyDescent="0.3">
      <c r="E896" s="173"/>
      <c r="F896" s="173"/>
      <c r="I896"/>
      <c r="J896"/>
      <c r="K896"/>
      <c r="L896"/>
      <c r="M896"/>
      <c r="N896"/>
      <c r="O896"/>
      <c r="P896" s="225"/>
      <c r="Q896" s="225"/>
      <c r="R896"/>
      <c r="S896"/>
      <c r="T896"/>
      <c r="U896"/>
      <c r="V896"/>
      <c r="W896"/>
      <c r="X896"/>
    </row>
    <row r="897" spans="5:24" x14ac:dyDescent="0.3">
      <c r="E897" s="173"/>
      <c r="F897" s="173"/>
      <c r="I897"/>
      <c r="J897"/>
      <c r="K897"/>
      <c r="L897"/>
      <c r="M897"/>
      <c r="N897"/>
      <c r="O897"/>
      <c r="P897" s="225"/>
      <c r="Q897" s="225"/>
      <c r="R897"/>
      <c r="S897"/>
      <c r="T897"/>
      <c r="U897"/>
      <c r="V897"/>
      <c r="W897"/>
      <c r="X897"/>
    </row>
    <row r="898" spans="5:24" x14ac:dyDescent="0.3">
      <c r="E898" s="173"/>
      <c r="F898" s="173"/>
      <c r="I898"/>
      <c r="J898"/>
      <c r="K898"/>
      <c r="L898"/>
      <c r="M898"/>
      <c r="N898"/>
      <c r="O898"/>
      <c r="P898" s="225"/>
      <c r="Q898" s="225"/>
      <c r="R898"/>
      <c r="S898"/>
      <c r="T898"/>
      <c r="U898"/>
      <c r="V898"/>
      <c r="W898"/>
      <c r="X898"/>
    </row>
    <row r="899" spans="5:24" x14ac:dyDescent="0.3">
      <c r="E899" s="173"/>
      <c r="F899" s="173"/>
      <c r="I899"/>
      <c r="J899"/>
      <c r="K899"/>
      <c r="L899"/>
      <c r="M899"/>
      <c r="N899"/>
      <c r="O899"/>
      <c r="P899" s="225"/>
      <c r="Q899" s="225"/>
      <c r="R899"/>
      <c r="S899"/>
      <c r="T899"/>
      <c r="U899"/>
      <c r="V899"/>
      <c r="W899"/>
      <c r="X899"/>
    </row>
    <row r="900" spans="5:24" x14ac:dyDescent="0.3">
      <c r="E900" s="173"/>
      <c r="F900" s="173"/>
      <c r="I900"/>
      <c r="J900"/>
      <c r="K900"/>
      <c r="L900"/>
      <c r="M900"/>
      <c r="N900"/>
      <c r="O900"/>
      <c r="P900" s="225"/>
      <c r="Q900" s="225"/>
      <c r="R900"/>
      <c r="S900"/>
      <c r="T900"/>
      <c r="U900"/>
      <c r="V900"/>
      <c r="W900"/>
      <c r="X900"/>
    </row>
    <row r="901" spans="5:24" x14ac:dyDescent="0.3">
      <c r="E901" s="173"/>
      <c r="F901" s="173"/>
      <c r="I901"/>
      <c r="J901"/>
      <c r="K901"/>
      <c r="L901"/>
      <c r="M901"/>
      <c r="N901"/>
      <c r="O901"/>
      <c r="P901" s="225"/>
      <c r="Q901" s="225"/>
      <c r="R901"/>
      <c r="S901"/>
      <c r="T901"/>
      <c r="U901"/>
      <c r="V901"/>
      <c r="W901"/>
      <c r="X901"/>
    </row>
    <row r="902" spans="5:24" x14ac:dyDescent="0.3">
      <c r="E902" s="173"/>
      <c r="F902" s="173"/>
      <c r="I902"/>
      <c r="J902"/>
      <c r="K902"/>
      <c r="L902"/>
      <c r="M902"/>
      <c r="N902"/>
      <c r="O902"/>
      <c r="P902" s="225"/>
      <c r="Q902" s="225"/>
      <c r="R902"/>
      <c r="S902"/>
      <c r="T902"/>
      <c r="U902"/>
      <c r="V902"/>
      <c r="W902"/>
      <c r="X902"/>
    </row>
    <row r="903" spans="5:24" x14ac:dyDescent="0.3">
      <c r="E903" s="173"/>
      <c r="F903" s="173"/>
      <c r="I903"/>
      <c r="J903"/>
      <c r="K903"/>
      <c r="L903"/>
      <c r="M903"/>
      <c r="N903"/>
      <c r="O903"/>
      <c r="P903" s="225"/>
      <c r="Q903" s="225"/>
      <c r="R903"/>
      <c r="S903"/>
      <c r="T903"/>
      <c r="U903"/>
      <c r="V903"/>
      <c r="W903"/>
      <c r="X903"/>
    </row>
    <row r="904" spans="5:24" x14ac:dyDescent="0.3">
      <c r="E904" s="173"/>
      <c r="F904" s="173"/>
      <c r="I904"/>
      <c r="J904"/>
      <c r="K904"/>
      <c r="L904"/>
      <c r="M904"/>
      <c r="N904"/>
      <c r="O904"/>
      <c r="P904" s="225"/>
      <c r="Q904" s="225"/>
      <c r="R904"/>
      <c r="S904"/>
      <c r="T904"/>
      <c r="U904"/>
      <c r="V904"/>
      <c r="W904"/>
      <c r="X904"/>
    </row>
    <row r="905" spans="5:24" x14ac:dyDescent="0.3">
      <c r="E905" s="173"/>
      <c r="F905" s="173"/>
      <c r="I905"/>
      <c r="J905"/>
      <c r="K905"/>
      <c r="L905"/>
      <c r="M905"/>
      <c r="N905"/>
      <c r="O905"/>
      <c r="P905" s="225"/>
      <c r="Q905" s="225"/>
      <c r="R905"/>
      <c r="S905"/>
      <c r="T905"/>
      <c r="U905"/>
      <c r="V905"/>
      <c r="W905"/>
      <c r="X905"/>
    </row>
    <row r="906" spans="5:24" x14ac:dyDescent="0.3">
      <c r="E906" s="173"/>
      <c r="F906" s="173"/>
      <c r="I906"/>
      <c r="J906"/>
      <c r="K906"/>
      <c r="L906"/>
      <c r="M906"/>
      <c r="N906"/>
      <c r="O906"/>
      <c r="P906" s="225"/>
      <c r="Q906" s="225"/>
      <c r="R906"/>
      <c r="S906"/>
      <c r="T906"/>
      <c r="U906"/>
      <c r="V906"/>
      <c r="W906"/>
      <c r="X906"/>
    </row>
    <row r="907" spans="5:24" x14ac:dyDescent="0.3">
      <c r="E907" s="173"/>
      <c r="F907" s="173"/>
      <c r="I907"/>
      <c r="J907"/>
      <c r="K907"/>
      <c r="L907"/>
      <c r="M907"/>
      <c r="N907"/>
      <c r="O907"/>
      <c r="P907" s="225"/>
      <c r="Q907" s="225"/>
      <c r="R907"/>
      <c r="S907"/>
      <c r="T907"/>
      <c r="U907"/>
      <c r="V907"/>
      <c r="W907"/>
      <c r="X907"/>
    </row>
    <row r="908" spans="5:24" x14ac:dyDescent="0.3">
      <c r="E908" s="173"/>
      <c r="F908" s="173"/>
      <c r="I908"/>
      <c r="J908"/>
      <c r="K908"/>
      <c r="L908"/>
      <c r="M908"/>
      <c r="N908"/>
      <c r="O908"/>
      <c r="P908" s="225"/>
      <c r="Q908" s="225"/>
      <c r="R908"/>
      <c r="S908"/>
      <c r="T908"/>
      <c r="U908"/>
      <c r="V908"/>
      <c r="W908"/>
      <c r="X908"/>
    </row>
    <row r="909" spans="5:24" x14ac:dyDescent="0.3">
      <c r="E909" s="173"/>
      <c r="F909" s="173"/>
      <c r="I909"/>
      <c r="J909"/>
      <c r="K909"/>
      <c r="L909"/>
      <c r="M909"/>
      <c r="N909"/>
      <c r="O909"/>
      <c r="P909" s="225"/>
      <c r="Q909" s="225"/>
      <c r="R909"/>
      <c r="S909"/>
      <c r="T909"/>
      <c r="U909"/>
      <c r="V909"/>
      <c r="W909"/>
      <c r="X909"/>
    </row>
    <row r="910" spans="5:24" x14ac:dyDescent="0.3">
      <c r="E910" s="173"/>
      <c r="F910" s="173"/>
      <c r="I910"/>
      <c r="J910"/>
      <c r="K910"/>
      <c r="L910"/>
      <c r="M910"/>
      <c r="N910"/>
      <c r="O910"/>
      <c r="P910" s="225"/>
      <c r="Q910" s="225"/>
      <c r="R910"/>
      <c r="S910"/>
      <c r="T910"/>
      <c r="U910"/>
      <c r="V910"/>
      <c r="W910"/>
      <c r="X910"/>
    </row>
    <row r="911" spans="5:24" x14ac:dyDescent="0.3">
      <c r="E911" s="173"/>
      <c r="F911" s="173"/>
      <c r="I911"/>
      <c r="J911"/>
      <c r="K911"/>
      <c r="L911"/>
      <c r="M911"/>
      <c r="N911"/>
      <c r="O911"/>
      <c r="P911" s="225"/>
      <c r="Q911" s="225"/>
      <c r="R911"/>
      <c r="S911"/>
      <c r="T911"/>
      <c r="U911"/>
      <c r="V911"/>
      <c r="W911"/>
      <c r="X911"/>
    </row>
    <row r="912" spans="5:24" x14ac:dyDescent="0.3">
      <c r="E912" s="173"/>
      <c r="F912" s="173"/>
      <c r="I912"/>
      <c r="J912"/>
      <c r="K912"/>
      <c r="L912"/>
      <c r="M912"/>
      <c r="N912"/>
      <c r="O912"/>
      <c r="P912" s="225"/>
      <c r="Q912" s="225"/>
      <c r="R912"/>
      <c r="S912"/>
      <c r="T912"/>
      <c r="U912"/>
      <c r="V912"/>
      <c r="W912"/>
      <c r="X912"/>
    </row>
    <row r="913" spans="5:24" x14ac:dyDescent="0.3">
      <c r="E913" s="173"/>
      <c r="F913" s="173"/>
      <c r="I913"/>
      <c r="J913"/>
      <c r="K913"/>
      <c r="L913"/>
      <c r="M913"/>
      <c r="N913"/>
      <c r="O913"/>
      <c r="P913" s="225"/>
      <c r="Q913" s="225"/>
      <c r="R913"/>
      <c r="S913"/>
      <c r="T913"/>
      <c r="U913"/>
      <c r="V913"/>
      <c r="W913"/>
      <c r="X913"/>
    </row>
    <row r="914" spans="5:24" x14ac:dyDescent="0.3">
      <c r="E914" s="173"/>
      <c r="F914" s="173"/>
      <c r="I914"/>
      <c r="J914"/>
      <c r="K914"/>
      <c r="L914"/>
      <c r="M914"/>
      <c r="N914"/>
      <c r="O914"/>
      <c r="P914" s="225"/>
      <c r="Q914" s="225"/>
      <c r="R914"/>
      <c r="S914"/>
      <c r="T914"/>
      <c r="U914"/>
      <c r="V914"/>
      <c r="W914"/>
      <c r="X914"/>
    </row>
    <row r="915" spans="5:24" x14ac:dyDescent="0.3">
      <c r="E915" s="173"/>
      <c r="F915" s="173"/>
      <c r="I915"/>
      <c r="J915"/>
      <c r="K915"/>
      <c r="L915"/>
      <c r="M915"/>
      <c r="N915"/>
      <c r="O915"/>
      <c r="P915" s="225"/>
      <c r="Q915" s="225"/>
      <c r="R915"/>
      <c r="S915"/>
      <c r="T915"/>
      <c r="U915"/>
      <c r="V915"/>
      <c r="W915"/>
      <c r="X915"/>
    </row>
    <row r="916" spans="5:24" x14ac:dyDescent="0.3">
      <c r="E916" s="173"/>
      <c r="F916" s="173"/>
      <c r="I916"/>
      <c r="J916"/>
      <c r="K916"/>
      <c r="L916"/>
      <c r="M916"/>
      <c r="N916"/>
      <c r="O916"/>
      <c r="P916" s="225"/>
      <c r="Q916" s="225"/>
      <c r="R916"/>
      <c r="S916"/>
      <c r="T916"/>
      <c r="U916"/>
      <c r="V916"/>
      <c r="W916"/>
      <c r="X916"/>
    </row>
    <row r="917" spans="5:24" x14ac:dyDescent="0.3">
      <c r="E917" s="173"/>
      <c r="F917" s="173"/>
      <c r="I917"/>
      <c r="J917"/>
      <c r="K917"/>
      <c r="L917"/>
      <c r="M917"/>
      <c r="N917"/>
      <c r="O917"/>
      <c r="P917" s="225"/>
      <c r="Q917" s="225"/>
      <c r="R917"/>
      <c r="S917"/>
      <c r="T917"/>
      <c r="U917"/>
      <c r="V917"/>
      <c r="W917"/>
      <c r="X917"/>
    </row>
    <row r="918" spans="5:24" x14ac:dyDescent="0.3">
      <c r="E918" s="173"/>
      <c r="F918" s="173"/>
      <c r="I918"/>
      <c r="J918"/>
      <c r="K918"/>
      <c r="L918"/>
      <c r="M918"/>
      <c r="N918"/>
      <c r="O918"/>
      <c r="P918" s="225"/>
      <c r="Q918" s="225"/>
      <c r="R918"/>
      <c r="S918"/>
      <c r="T918"/>
      <c r="U918"/>
      <c r="V918"/>
      <c r="W918"/>
      <c r="X918"/>
    </row>
    <row r="919" spans="5:24" x14ac:dyDescent="0.3">
      <c r="E919" s="173"/>
      <c r="F919" s="173"/>
      <c r="I919"/>
      <c r="J919"/>
      <c r="K919"/>
      <c r="L919"/>
      <c r="M919"/>
      <c r="N919"/>
      <c r="O919"/>
      <c r="P919" s="225"/>
      <c r="Q919" s="225"/>
      <c r="R919"/>
      <c r="S919"/>
      <c r="T919"/>
      <c r="U919"/>
      <c r="V919"/>
      <c r="W919"/>
      <c r="X919"/>
    </row>
    <row r="920" spans="5:24" x14ac:dyDescent="0.3">
      <c r="E920" s="173"/>
      <c r="F920" s="173"/>
      <c r="I920"/>
      <c r="J920"/>
      <c r="K920"/>
      <c r="L920"/>
      <c r="M920"/>
      <c r="N920"/>
      <c r="O920"/>
      <c r="P920" s="225"/>
      <c r="Q920" s="225"/>
      <c r="R920"/>
      <c r="S920"/>
      <c r="T920"/>
      <c r="U920"/>
      <c r="V920"/>
      <c r="W920"/>
      <c r="X920"/>
    </row>
    <row r="921" spans="5:24" x14ac:dyDescent="0.3">
      <c r="E921" s="173"/>
      <c r="F921" s="173"/>
      <c r="I921"/>
      <c r="J921"/>
      <c r="K921"/>
      <c r="L921"/>
      <c r="M921"/>
      <c r="N921"/>
      <c r="O921"/>
      <c r="P921" s="225"/>
      <c r="Q921" s="225"/>
      <c r="R921"/>
      <c r="S921"/>
      <c r="T921"/>
      <c r="U921"/>
      <c r="V921"/>
      <c r="W921"/>
      <c r="X921"/>
    </row>
    <row r="922" spans="5:24" x14ac:dyDescent="0.3">
      <c r="E922" s="173"/>
      <c r="F922" s="173"/>
      <c r="I922"/>
      <c r="J922"/>
      <c r="K922"/>
      <c r="L922"/>
      <c r="M922"/>
      <c r="N922"/>
      <c r="O922"/>
      <c r="P922" s="225"/>
      <c r="Q922" s="225"/>
      <c r="R922"/>
      <c r="S922"/>
      <c r="T922"/>
      <c r="U922"/>
      <c r="V922"/>
      <c r="W922"/>
      <c r="X922"/>
    </row>
    <row r="923" spans="5:24" x14ac:dyDescent="0.3">
      <c r="E923" s="173"/>
      <c r="F923" s="173"/>
      <c r="I923"/>
      <c r="J923"/>
      <c r="K923"/>
      <c r="L923"/>
      <c r="M923"/>
      <c r="N923"/>
      <c r="O923"/>
      <c r="P923" s="225"/>
      <c r="Q923" s="225"/>
      <c r="R923"/>
      <c r="S923"/>
      <c r="T923"/>
      <c r="U923"/>
      <c r="V923"/>
      <c r="W923"/>
      <c r="X923"/>
    </row>
    <row r="924" spans="5:24" x14ac:dyDescent="0.3">
      <c r="E924" s="173"/>
      <c r="F924" s="173"/>
      <c r="I924"/>
      <c r="J924"/>
      <c r="K924"/>
      <c r="L924"/>
      <c r="M924"/>
      <c r="N924"/>
      <c r="O924"/>
      <c r="P924" s="225"/>
      <c r="Q924" s="225"/>
      <c r="R924"/>
      <c r="S924"/>
      <c r="T924"/>
      <c r="U924"/>
      <c r="V924"/>
      <c r="W924"/>
      <c r="X924"/>
    </row>
    <row r="925" spans="5:24" x14ac:dyDescent="0.3">
      <c r="E925" s="173"/>
      <c r="F925" s="173"/>
      <c r="I925"/>
      <c r="J925"/>
      <c r="K925"/>
      <c r="L925"/>
      <c r="M925"/>
      <c r="N925"/>
      <c r="O925"/>
      <c r="P925" s="225"/>
      <c r="Q925" s="225"/>
      <c r="R925"/>
      <c r="S925"/>
      <c r="T925"/>
      <c r="U925"/>
      <c r="V925"/>
      <c r="W925"/>
      <c r="X925"/>
    </row>
    <row r="926" spans="5:24" x14ac:dyDescent="0.3">
      <c r="E926" s="173"/>
      <c r="F926" s="173"/>
      <c r="I926"/>
      <c r="J926"/>
      <c r="K926"/>
      <c r="L926"/>
      <c r="M926"/>
      <c r="N926"/>
      <c r="O926"/>
      <c r="P926" s="225"/>
      <c r="Q926" s="225"/>
      <c r="R926"/>
      <c r="S926"/>
      <c r="T926"/>
      <c r="U926"/>
      <c r="V926"/>
      <c r="W926"/>
      <c r="X926"/>
    </row>
    <row r="927" spans="5:24" x14ac:dyDescent="0.3">
      <c r="E927" s="173"/>
      <c r="F927" s="173"/>
      <c r="I927"/>
      <c r="J927"/>
      <c r="K927"/>
      <c r="L927"/>
      <c r="M927"/>
      <c r="N927"/>
      <c r="O927"/>
      <c r="P927" s="225"/>
      <c r="Q927" s="225"/>
      <c r="R927"/>
      <c r="S927"/>
      <c r="T927"/>
      <c r="U927"/>
      <c r="V927"/>
      <c r="W927"/>
      <c r="X927"/>
    </row>
    <row r="928" spans="5:24" x14ac:dyDescent="0.3">
      <c r="E928" s="173"/>
      <c r="F928" s="173"/>
      <c r="I928"/>
      <c r="J928"/>
      <c r="K928"/>
      <c r="L928"/>
      <c r="M928"/>
      <c r="N928"/>
      <c r="O928"/>
      <c r="P928" s="225"/>
      <c r="Q928" s="225"/>
      <c r="R928"/>
      <c r="S928"/>
      <c r="T928"/>
      <c r="U928"/>
      <c r="V928"/>
      <c r="W928"/>
      <c r="X928"/>
    </row>
    <row r="929" spans="5:24" x14ac:dyDescent="0.3">
      <c r="E929" s="173"/>
      <c r="F929" s="173"/>
      <c r="I929"/>
      <c r="J929"/>
      <c r="K929"/>
      <c r="L929"/>
      <c r="M929"/>
      <c r="N929"/>
      <c r="O929"/>
      <c r="P929" s="225"/>
      <c r="Q929" s="225"/>
      <c r="R929"/>
      <c r="S929"/>
      <c r="T929"/>
      <c r="U929"/>
      <c r="V929"/>
      <c r="W929"/>
      <c r="X929"/>
    </row>
    <row r="930" spans="5:24" x14ac:dyDescent="0.3">
      <c r="E930" s="173"/>
      <c r="F930" s="173"/>
      <c r="I930"/>
      <c r="J930"/>
      <c r="K930"/>
      <c r="L930"/>
      <c r="M930"/>
      <c r="N930"/>
      <c r="O930"/>
      <c r="P930" s="225"/>
      <c r="Q930" s="225"/>
      <c r="R930"/>
      <c r="S930"/>
      <c r="T930"/>
      <c r="U930"/>
      <c r="V930"/>
      <c r="W930"/>
      <c r="X930"/>
    </row>
    <row r="931" spans="5:24" x14ac:dyDescent="0.3">
      <c r="E931" s="173"/>
      <c r="F931" s="173"/>
      <c r="I931"/>
      <c r="J931"/>
      <c r="K931"/>
      <c r="L931"/>
      <c r="M931"/>
      <c r="N931"/>
      <c r="O931"/>
      <c r="P931" s="225"/>
      <c r="Q931" s="225"/>
      <c r="R931"/>
      <c r="S931"/>
      <c r="T931"/>
      <c r="U931"/>
      <c r="V931"/>
      <c r="W931"/>
      <c r="X931"/>
    </row>
    <row r="932" spans="5:24" x14ac:dyDescent="0.3">
      <c r="E932" s="173"/>
      <c r="F932" s="173"/>
      <c r="I932"/>
      <c r="J932"/>
      <c r="K932"/>
      <c r="L932"/>
      <c r="M932"/>
      <c r="N932"/>
      <c r="O932"/>
      <c r="P932" s="225"/>
      <c r="Q932" s="225"/>
      <c r="R932"/>
      <c r="S932"/>
      <c r="T932"/>
      <c r="U932"/>
      <c r="V932"/>
      <c r="W932"/>
      <c r="X932"/>
    </row>
    <row r="933" spans="5:24" x14ac:dyDescent="0.3">
      <c r="E933" s="173"/>
      <c r="F933" s="173"/>
      <c r="I933"/>
      <c r="J933"/>
      <c r="K933"/>
      <c r="L933"/>
      <c r="M933"/>
      <c r="N933"/>
      <c r="O933"/>
      <c r="P933" s="225"/>
      <c r="Q933" s="225"/>
      <c r="R933"/>
      <c r="S933"/>
      <c r="T933"/>
      <c r="U933"/>
      <c r="V933"/>
      <c r="W933"/>
      <c r="X933"/>
    </row>
    <row r="934" spans="5:24" x14ac:dyDescent="0.3">
      <c r="E934" s="173"/>
      <c r="F934" s="173"/>
      <c r="I934"/>
      <c r="J934"/>
      <c r="K934"/>
      <c r="L934"/>
      <c r="M934"/>
      <c r="N934"/>
      <c r="O934"/>
      <c r="P934" s="225"/>
      <c r="Q934" s="225"/>
      <c r="R934"/>
      <c r="S934"/>
      <c r="T934"/>
      <c r="U934"/>
      <c r="V934"/>
      <c r="W934"/>
      <c r="X934"/>
    </row>
    <row r="935" spans="5:24" x14ac:dyDescent="0.3">
      <c r="E935" s="173"/>
      <c r="F935" s="173"/>
      <c r="I935"/>
      <c r="J935"/>
      <c r="K935"/>
      <c r="L935"/>
      <c r="M935"/>
      <c r="N935"/>
      <c r="O935"/>
      <c r="P935" s="225"/>
      <c r="Q935" s="225"/>
      <c r="R935"/>
      <c r="S935"/>
      <c r="T935"/>
      <c r="U935"/>
      <c r="V935"/>
      <c r="W935"/>
      <c r="X935"/>
    </row>
    <row r="936" spans="5:24" x14ac:dyDescent="0.3">
      <c r="E936" s="173"/>
      <c r="F936" s="173"/>
      <c r="I936"/>
      <c r="J936"/>
      <c r="K936"/>
      <c r="L936"/>
      <c r="M936"/>
      <c r="N936"/>
      <c r="O936"/>
      <c r="P936" s="225"/>
      <c r="Q936" s="225"/>
      <c r="R936"/>
      <c r="S936"/>
      <c r="T936"/>
      <c r="U936"/>
      <c r="V936"/>
      <c r="W936"/>
      <c r="X936"/>
    </row>
    <row r="937" spans="5:24" x14ac:dyDescent="0.3">
      <c r="E937" s="173"/>
      <c r="F937" s="173"/>
      <c r="I937"/>
      <c r="J937"/>
      <c r="K937"/>
      <c r="L937"/>
      <c r="M937"/>
      <c r="N937"/>
      <c r="O937"/>
      <c r="P937" s="225"/>
      <c r="Q937" s="225"/>
      <c r="R937"/>
      <c r="S937"/>
      <c r="T937"/>
      <c r="U937"/>
      <c r="V937"/>
      <c r="W937"/>
      <c r="X937"/>
    </row>
    <row r="938" spans="5:24" x14ac:dyDescent="0.3">
      <c r="E938" s="173"/>
      <c r="F938" s="173"/>
      <c r="I938"/>
      <c r="J938"/>
      <c r="K938"/>
      <c r="L938"/>
      <c r="M938"/>
      <c r="N938"/>
      <c r="O938"/>
      <c r="P938" s="225"/>
      <c r="Q938" s="225"/>
      <c r="R938"/>
      <c r="S938"/>
      <c r="T938"/>
      <c r="U938"/>
      <c r="V938"/>
      <c r="W938"/>
      <c r="X938"/>
    </row>
    <row r="939" spans="5:24" x14ac:dyDescent="0.3">
      <c r="E939" s="173"/>
      <c r="F939" s="173"/>
      <c r="I939"/>
      <c r="J939"/>
      <c r="K939"/>
      <c r="L939"/>
      <c r="M939"/>
      <c r="N939"/>
      <c r="O939"/>
      <c r="P939" s="225"/>
      <c r="Q939" s="225"/>
      <c r="R939"/>
      <c r="S939"/>
      <c r="T939"/>
      <c r="U939"/>
      <c r="V939"/>
      <c r="W939"/>
      <c r="X939"/>
    </row>
    <row r="940" spans="5:24" x14ac:dyDescent="0.3">
      <c r="E940" s="173"/>
      <c r="F940" s="173"/>
      <c r="I940"/>
      <c r="J940"/>
      <c r="K940"/>
      <c r="L940"/>
      <c r="M940"/>
      <c r="N940"/>
      <c r="O940"/>
      <c r="P940" s="225"/>
      <c r="Q940" s="225"/>
      <c r="R940"/>
      <c r="S940"/>
      <c r="T940"/>
      <c r="U940"/>
      <c r="V940"/>
      <c r="W940"/>
      <c r="X940"/>
    </row>
    <row r="941" spans="5:24" x14ac:dyDescent="0.3">
      <c r="E941" s="173"/>
      <c r="F941" s="173"/>
      <c r="I941"/>
      <c r="J941"/>
      <c r="K941"/>
      <c r="L941"/>
      <c r="M941"/>
      <c r="N941"/>
      <c r="O941"/>
      <c r="P941" s="225"/>
      <c r="Q941" s="225"/>
      <c r="R941"/>
      <c r="S941"/>
      <c r="T941"/>
      <c r="U941"/>
      <c r="V941"/>
      <c r="W941"/>
      <c r="X941"/>
    </row>
    <row r="942" spans="5:24" x14ac:dyDescent="0.3">
      <c r="E942" s="173"/>
      <c r="F942" s="173"/>
      <c r="I942"/>
      <c r="J942"/>
      <c r="K942"/>
      <c r="L942"/>
      <c r="M942"/>
      <c r="N942"/>
      <c r="O942"/>
      <c r="P942" s="225"/>
      <c r="Q942" s="225"/>
      <c r="R942"/>
      <c r="S942"/>
      <c r="T942"/>
      <c r="U942"/>
      <c r="V942"/>
      <c r="W942"/>
      <c r="X942"/>
    </row>
    <row r="943" spans="5:24" x14ac:dyDescent="0.3">
      <c r="E943" s="173"/>
      <c r="F943" s="173"/>
      <c r="I943"/>
      <c r="J943"/>
      <c r="K943"/>
      <c r="L943"/>
      <c r="M943"/>
      <c r="N943"/>
      <c r="O943"/>
      <c r="P943" s="225"/>
      <c r="Q943" s="225"/>
      <c r="R943"/>
      <c r="S943"/>
      <c r="T943"/>
      <c r="U943"/>
      <c r="V943"/>
      <c r="W943"/>
      <c r="X943"/>
    </row>
    <row r="944" spans="5:24" x14ac:dyDescent="0.3">
      <c r="E944" s="173"/>
      <c r="F944" s="173"/>
      <c r="I944"/>
      <c r="J944"/>
      <c r="K944"/>
      <c r="L944"/>
      <c r="M944"/>
      <c r="N944"/>
      <c r="O944"/>
      <c r="P944" s="225"/>
      <c r="Q944" s="225"/>
      <c r="R944"/>
      <c r="S944"/>
      <c r="T944"/>
      <c r="U944"/>
      <c r="V944"/>
      <c r="W944"/>
      <c r="X944"/>
    </row>
    <row r="945" spans="5:24" x14ac:dyDescent="0.3">
      <c r="E945" s="173"/>
      <c r="F945" s="173"/>
      <c r="I945"/>
      <c r="J945"/>
      <c r="K945"/>
      <c r="L945"/>
      <c r="M945"/>
      <c r="N945"/>
      <c r="O945"/>
      <c r="P945" s="225"/>
      <c r="Q945" s="225"/>
      <c r="R945"/>
      <c r="S945"/>
      <c r="T945"/>
      <c r="U945"/>
      <c r="V945"/>
      <c r="W945"/>
      <c r="X945"/>
    </row>
    <row r="946" spans="5:24" x14ac:dyDescent="0.3">
      <c r="E946" s="173"/>
      <c r="F946" s="173"/>
      <c r="I946"/>
      <c r="J946"/>
      <c r="K946"/>
      <c r="L946"/>
      <c r="M946"/>
      <c r="N946"/>
      <c r="O946"/>
      <c r="P946" s="225"/>
      <c r="Q946" s="225"/>
      <c r="R946"/>
      <c r="S946"/>
      <c r="T946"/>
      <c r="U946"/>
      <c r="V946"/>
      <c r="W946"/>
      <c r="X946"/>
    </row>
    <row r="947" spans="5:24" x14ac:dyDescent="0.3">
      <c r="E947" s="173"/>
      <c r="F947" s="173"/>
      <c r="I947"/>
      <c r="J947"/>
      <c r="K947"/>
      <c r="L947"/>
      <c r="M947"/>
      <c r="N947"/>
      <c r="O947"/>
      <c r="P947" s="225"/>
      <c r="Q947" s="225"/>
      <c r="R947"/>
      <c r="S947"/>
      <c r="T947"/>
      <c r="U947"/>
      <c r="V947"/>
      <c r="W947"/>
      <c r="X947"/>
    </row>
    <row r="948" spans="5:24" x14ac:dyDescent="0.3">
      <c r="E948" s="173"/>
      <c r="F948" s="173"/>
      <c r="I948"/>
      <c r="J948"/>
      <c r="K948"/>
      <c r="L948"/>
      <c r="M948"/>
      <c r="N948"/>
      <c r="O948"/>
      <c r="P948" s="225"/>
      <c r="Q948" s="225"/>
      <c r="R948"/>
      <c r="S948"/>
      <c r="T948"/>
      <c r="U948"/>
      <c r="V948"/>
      <c r="W948"/>
      <c r="X948"/>
    </row>
    <row r="949" spans="5:24" x14ac:dyDescent="0.3">
      <c r="E949" s="173"/>
      <c r="F949" s="173"/>
      <c r="I949"/>
      <c r="J949"/>
      <c r="K949"/>
      <c r="L949"/>
      <c r="M949"/>
      <c r="N949"/>
      <c r="O949"/>
      <c r="P949" s="225"/>
      <c r="Q949" s="225"/>
      <c r="R949"/>
      <c r="S949"/>
      <c r="T949"/>
      <c r="U949"/>
      <c r="V949"/>
      <c r="W949"/>
      <c r="X949"/>
    </row>
    <row r="950" spans="5:24" x14ac:dyDescent="0.3">
      <c r="E950" s="173"/>
      <c r="F950" s="173"/>
      <c r="I950"/>
      <c r="J950"/>
      <c r="K950"/>
      <c r="L950"/>
      <c r="M950"/>
      <c r="N950"/>
      <c r="O950"/>
      <c r="P950" s="225"/>
      <c r="Q950" s="225"/>
      <c r="R950"/>
      <c r="S950"/>
      <c r="T950"/>
      <c r="U950"/>
      <c r="V950"/>
      <c r="W950"/>
      <c r="X950"/>
    </row>
    <row r="951" spans="5:24" x14ac:dyDescent="0.3">
      <c r="E951" s="173"/>
      <c r="F951" s="173"/>
      <c r="I951"/>
      <c r="J951"/>
      <c r="K951"/>
      <c r="L951"/>
      <c r="M951"/>
      <c r="N951"/>
      <c r="O951"/>
      <c r="P951" s="225"/>
      <c r="Q951" s="225"/>
      <c r="R951"/>
      <c r="S951"/>
      <c r="T951"/>
      <c r="U951"/>
      <c r="V951"/>
      <c r="W951"/>
      <c r="X951"/>
    </row>
    <row r="952" spans="5:24" x14ac:dyDescent="0.3">
      <c r="E952" s="173"/>
      <c r="F952" s="173"/>
      <c r="I952"/>
      <c r="J952"/>
      <c r="K952"/>
      <c r="L952"/>
      <c r="M952"/>
      <c r="N952"/>
      <c r="O952"/>
      <c r="P952" s="225"/>
      <c r="Q952" s="225"/>
      <c r="R952"/>
      <c r="S952"/>
      <c r="T952"/>
      <c r="U952"/>
      <c r="V952"/>
      <c r="W952"/>
      <c r="X952"/>
    </row>
    <row r="953" spans="5:24" x14ac:dyDescent="0.3">
      <c r="E953" s="173"/>
      <c r="F953" s="173"/>
      <c r="I953"/>
      <c r="J953"/>
      <c r="K953"/>
      <c r="L953"/>
      <c r="M953"/>
      <c r="N953"/>
      <c r="O953"/>
      <c r="P953" s="225"/>
      <c r="Q953" s="225"/>
      <c r="R953"/>
      <c r="S953"/>
      <c r="T953"/>
      <c r="U953"/>
      <c r="V953"/>
      <c r="W953"/>
      <c r="X953"/>
    </row>
    <row r="954" spans="5:24" x14ac:dyDescent="0.3">
      <c r="E954" s="173"/>
      <c r="F954" s="173"/>
      <c r="I954"/>
      <c r="J954"/>
      <c r="K954"/>
      <c r="L954"/>
      <c r="M954"/>
      <c r="N954"/>
      <c r="O954"/>
      <c r="P954" s="225"/>
      <c r="Q954" s="225"/>
      <c r="R954"/>
      <c r="S954"/>
      <c r="T954"/>
      <c r="U954"/>
      <c r="V954"/>
      <c r="W954"/>
      <c r="X954"/>
    </row>
    <row r="955" spans="5:24" x14ac:dyDescent="0.3">
      <c r="E955" s="173"/>
      <c r="F955" s="173"/>
      <c r="I955"/>
      <c r="J955"/>
      <c r="K955"/>
      <c r="L955"/>
      <c r="M955"/>
      <c r="N955"/>
      <c r="O955"/>
      <c r="P955" s="225"/>
      <c r="Q955" s="225"/>
      <c r="R955"/>
      <c r="S955"/>
      <c r="T955"/>
      <c r="U955"/>
      <c r="V955"/>
      <c r="W955"/>
      <c r="X955"/>
    </row>
    <row r="956" spans="5:24" x14ac:dyDescent="0.3">
      <c r="E956" s="173"/>
      <c r="F956" s="173"/>
      <c r="I956"/>
      <c r="J956"/>
      <c r="K956"/>
      <c r="L956"/>
      <c r="M956"/>
      <c r="N956"/>
      <c r="O956"/>
      <c r="P956" s="225"/>
      <c r="Q956" s="225"/>
      <c r="R956"/>
      <c r="S956"/>
      <c r="T956"/>
      <c r="U956"/>
      <c r="V956"/>
      <c r="W956"/>
      <c r="X956"/>
    </row>
    <row r="957" spans="5:24" x14ac:dyDescent="0.3">
      <c r="E957" s="173"/>
      <c r="F957" s="173"/>
      <c r="I957"/>
      <c r="J957"/>
      <c r="K957"/>
      <c r="L957"/>
      <c r="M957"/>
      <c r="N957"/>
      <c r="O957"/>
      <c r="P957" s="225"/>
      <c r="Q957" s="225"/>
      <c r="R957"/>
      <c r="S957"/>
      <c r="T957"/>
      <c r="U957"/>
      <c r="V957"/>
      <c r="W957"/>
      <c r="X957"/>
    </row>
    <row r="958" spans="5:24" x14ac:dyDescent="0.3">
      <c r="E958" s="173"/>
      <c r="F958" s="173"/>
      <c r="I958"/>
      <c r="J958"/>
      <c r="K958"/>
      <c r="L958"/>
      <c r="M958"/>
      <c r="N958"/>
      <c r="O958"/>
      <c r="P958" s="225"/>
      <c r="Q958" s="225"/>
      <c r="R958"/>
      <c r="S958"/>
      <c r="T958"/>
      <c r="U958"/>
      <c r="V958"/>
      <c r="W958"/>
      <c r="X958"/>
    </row>
    <row r="959" spans="5:24" x14ac:dyDescent="0.3">
      <c r="E959" s="173"/>
      <c r="F959" s="173"/>
      <c r="I959"/>
      <c r="J959"/>
      <c r="K959"/>
      <c r="L959"/>
      <c r="M959"/>
      <c r="N959"/>
      <c r="O959"/>
      <c r="P959" s="225"/>
      <c r="Q959" s="225"/>
      <c r="R959"/>
      <c r="S959"/>
      <c r="T959"/>
      <c r="U959"/>
      <c r="V959"/>
      <c r="W959"/>
      <c r="X959"/>
    </row>
    <row r="960" spans="5:24" x14ac:dyDescent="0.3">
      <c r="E960" s="173"/>
      <c r="F960" s="173"/>
      <c r="I960"/>
      <c r="J960"/>
      <c r="K960"/>
      <c r="L960"/>
      <c r="M960"/>
      <c r="N960"/>
      <c r="O960"/>
      <c r="P960" s="225"/>
      <c r="Q960" s="225"/>
      <c r="R960"/>
      <c r="S960"/>
      <c r="T960"/>
      <c r="U960"/>
      <c r="V960"/>
      <c r="W960"/>
      <c r="X960"/>
    </row>
    <row r="961" spans="5:24" x14ac:dyDescent="0.3">
      <c r="E961" s="173"/>
      <c r="F961" s="173"/>
      <c r="I961"/>
      <c r="J961"/>
      <c r="K961"/>
      <c r="L961"/>
      <c r="M961"/>
      <c r="N961"/>
      <c r="O961"/>
      <c r="P961" s="225"/>
      <c r="Q961" s="225"/>
      <c r="R961"/>
      <c r="S961"/>
      <c r="T961"/>
      <c r="U961"/>
      <c r="V961"/>
      <c r="W961"/>
      <c r="X961"/>
    </row>
    <row r="962" spans="5:24" x14ac:dyDescent="0.3">
      <c r="E962" s="173"/>
      <c r="F962" s="173"/>
      <c r="I962"/>
      <c r="J962"/>
      <c r="K962"/>
      <c r="L962"/>
      <c r="M962"/>
      <c r="N962"/>
      <c r="O962"/>
      <c r="P962" s="225"/>
      <c r="Q962" s="225"/>
      <c r="R962"/>
      <c r="S962"/>
      <c r="T962"/>
      <c r="U962"/>
      <c r="V962"/>
      <c r="W962"/>
      <c r="X962"/>
    </row>
    <row r="963" spans="5:24" x14ac:dyDescent="0.3">
      <c r="E963" s="173"/>
      <c r="F963" s="173"/>
      <c r="I963"/>
      <c r="J963"/>
      <c r="K963"/>
      <c r="L963"/>
      <c r="M963"/>
      <c r="N963"/>
      <c r="O963"/>
      <c r="P963" s="225"/>
      <c r="Q963" s="225"/>
      <c r="R963"/>
      <c r="S963"/>
      <c r="T963"/>
      <c r="U963"/>
      <c r="V963"/>
      <c r="W963"/>
      <c r="X963"/>
    </row>
    <row r="964" spans="5:24" x14ac:dyDescent="0.3">
      <c r="E964" s="173"/>
      <c r="F964" s="173"/>
      <c r="I964"/>
      <c r="J964"/>
      <c r="K964"/>
      <c r="L964"/>
      <c r="M964"/>
      <c r="N964"/>
      <c r="O964"/>
      <c r="P964" s="225"/>
      <c r="Q964" s="225"/>
      <c r="R964"/>
      <c r="S964"/>
      <c r="T964"/>
      <c r="U964"/>
      <c r="V964"/>
      <c r="W964"/>
      <c r="X964"/>
    </row>
    <row r="965" spans="5:24" x14ac:dyDescent="0.3">
      <c r="E965" s="173"/>
      <c r="F965" s="173"/>
      <c r="I965"/>
      <c r="J965"/>
      <c r="K965"/>
      <c r="L965"/>
      <c r="M965"/>
      <c r="N965"/>
      <c r="O965"/>
      <c r="P965" s="225"/>
      <c r="Q965" s="225"/>
      <c r="R965"/>
      <c r="S965"/>
      <c r="T965"/>
      <c r="U965"/>
      <c r="V965"/>
      <c r="W965"/>
      <c r="X965"/>
    </row>
    <row r="966" spans="5:24" x14ac:dyDescent="0.3">
      <c r="E966" s="173"/>
      <c r="F966" s="173"/>
      <c r="I966"/>
      <c r="J966"/>
      <c r="K966"/>
      <c r="L966"/>
      <c r="M966"/>
      <c r="N966"/>
      <c r="O966"/>
      <c r="P966" s="225"/>
      <c r="Q966" s="225"/>
      <c r="R966"/>
      <c r="S966"/>
      <c r="T966"/>
      <c r="U966"/>
      <c r="V966"/>
      <c r="W966"/>
      <c r="X966"/>
    </row>
    <row r="967" spans="5:24" x14ac:dyDescent="0.3">
      <c r="E967" s="173"/>
      <c r="F967" s="173"/>
      <c r="I967"/>
      <c r="J967"/>
      <c r="K967"/>
      <c r="L967"/>
      <c r="M967"/>
      <c r="N967"/>
      <c r="O967"/>
      <c r="P967" s="225"/>
      <c r="Q967" s="225"/>
      <c r="R967"/>
      <c r="S967"/>
      <c r="T967"/>
      <c r="U967"/>
      <c r="V967"/>
      <c r="W967"/>
      <c r="X967"/>
    </row>
    <row r="968" spans="5:24" x14ac:dyDescent="0.3">
      <c r="E968" s="173"/>
      <c r="F968" s="173"/>
      <c r="I968"/>
      <c r="J968"/>
      <c r="K968"/>
      <c r="L968"/>
      <c r="M968"/>
      <c r="N968"/>
      <c r="O968"/>
      <c r="P968" s="225"/>
      <c r="Q968" s="225"/>
      <c r="R968"/>
      <c r="S968"/>
      <c r="T968"/>
      <c r="U968"/>
      <c r="V968"/>
      <c r="W968"/>
      <c r="X968"/>
    </row>
    <row r="969" spans="5:24" x14ac:dyDescent="0.3">
      <c r="E969" s="173"/>
      <c r="F969" s="173"/>
      <c r="I969"/>
      <c r="J969"/>
      <c r="K969"/>
      <c r="L969"/>
      <c r="M969"/>
      <c r="N969"/>
      <c r="O969"/>
      <c r="P969" s="225"/>
      <c r="Q969" s="225"/>
      <c r="R969"/>
      <c r="S969"/>
      <c r="T969"/>
      <c r="U969"/>
      <c r="V969"/>
      <c r="W969"/>
      <c r="X969"/>
    </row>
    <row r="970" spans="5:24" x14ac:dyDescent="0.3">
      <c r="E970" s="173"/>
      <c r="F970" s="173"/>
      <c r="I970"/>
      <c r="J970"/>
      <c r="K970"/>
      <c r="L970"/>
      <c r="M970"/>
      <c r="N970"/>
      <c r="O970"/>
      <c r="P970" s="225"/>
      <c r="Q970" s="225"/>
      <c r="R970"/>
      <c r="S970"/>
      <c r="T970"/>
      <c r="U970"/>
      <c r="V970"/>
      <c r="W970"/>
      <c r="X970"/>
    </row>
    <row r="971" spans="5:24" x14ac:dyDescent="0.3">
      <c r="E971" s="173"/>
      <c r="F971" s="173"/>
      <c r="I971"/>
      <c r="J971"/>
      <c r="K971"/>
      <c r="L971"/>
      <c r="M971"/>
      <c r="N971"/>
      <c r="O971"/>
      <c r="P971" s="225"/>
      <c r="Q971" s="225"/>
      <c r="R971"/>
      <c r="S971"/>
      <c r="T971"/>
      <c r="U971"/>
      <c r="V971"/>
      <c r="W971"/>
      <c r="X971"/>
    </row>
    <row r="972" spans="5:24" x14ac:dyDescent="0.3">
      <c r="E972" s="173"/>
      <c r="F972" s="173"/>
      <c r="I972"/>
      <c r="J972"/>
      <c r="K972"/>
      <c r="L972"/>
      <c r="M972"/>
      <c r="N972"/>
      <c r="O972"/>
      <c r="P972" s="225"/>
      <c r="Q972" s="225"/>
      <c r="R972"/>
      <c r="S972"/>
      <c r="T972"/>
      <c r="U972"/>
      <c r="V972"/>
      <c r="W972"/>
      <c r="X972"/>
    </row>
    <row r="973" spans="5:24" x14ac:dyDescent="0.3">
      <c r="E973" s="173"/>
      <c r="F973" s="173"/>
      <c r="I973"/>
      <c r="J973"/>
      <c r="K973"/>
      <c r="L973"/>
      <c r="M973"/>
      <c r="N973"/>
      <c r="O973"/>
      <c r="P973" s="225"/>
      <c r="Q973" s="225"/>
      <c r="R973"/>
      <c r="S973"/>
      <c r="T973"/>
      <c r="U973"/>
      <c r="V973"/>
      <c r="W973"/>
      <c r="X973"/>
    </row>
    <row r="974" spans="5:24" x14ac:dyDescent="0.3">
      <c r="E974" s="173"/>
      <c r="F974" s="173"/>
      <c r="I974"/>
      <c r="J974"/>
      <c r="K974"/>
      <c r="L974"/>
      <c r="M974"/>
      <c r="N974"/>
      <c r="O974"/>
      <c r="P974" s="225"/>
      <c r="Q974" s="225"/>
      <c r="R974"/>
      <c r="S974"/>
      <c r="T974"/>
      <c r="U974"/>
      <c r="V974"/>
      <c r="W974"/>
      <c r="X974"/>
    </row>
    <row r="975" spans="5:24" x14ac:dyDescent="0.3">
      <c r="E975" s="173"/>
      <c r="F975" s="173"/>
      <c r="I975"/>
      <c r="J975"/>
      <c r="K975"/>
      <c r="L975"/>
      <c r="M975"/>
      <c r="N975"/>
      <c r="O975"/>
      <c r="P975" s="225"/>
      <c r="Q975" s="225"/>
      <c r="R975"/>
      <c r="S975"/>
      <c r="T975"/>
      <c r="U975"/>
      <c r="V975"/>
      <c r="W975"/>
      <c r="X975"/>
    </row>
    <row r="976" spans="5:24" x14ac:dyDescent="0.3">
      <c r="E976" s="173"/>
      <c r="F976" s="173"/>
      <c r="I976"/>
      <c r="J976"/>
      <c r="K976"/>
      <c r="L976"/>
      <c r="M976"/>
      <c r="N976"/>
      <c r="O976"/>
      <c r="P976" s="225"/>
      <c r="Q976" s="225"/>
      <c r="R976"/>
      <c r="S976"/>
      <c r="T976"/>
      <c r="U976"/>
      <c r="V976"/>
      <c r="W976"/>
      <c r="X976"/>
    </row>
    <row r="977" spans="5:24" x14ac:dyDescent="0.3">
      <c r="E977" s="173"/>
      <c r="F977" s="173"/>
      <c r="I977"/>
      <c r="J977"/>
      <c r="K977"/>
      <c r="L977"/>
      <c r="M977"/>
      <c r="N977"/>
      <c r="O977"/>
      <c r="P977" s="225"/>
      <c r="Q977" s="225"/>
      <c r="R977"/>
      <c r="S977"/>
      <c r="T977"/>
      <c r="U977"/>
      <c r="V977"/>
      <c r="W977"/>
      <c r="X977"/>
    </row>
    <row r="978" spans="5:24" x14ac:dyDescent="0.3">
      <c r="E978" s="173"/>
      <c r="F978" s="173"/>
      <c r="I978"/>
      <c r="J978"/>
      <c r="K978"/>
      <c r="L978"/>
      <c r="M978"/>
      <c r="N978"/>
      <c r="O978"/>
      <c r="P978" s="225"/>
      <c r="Q978" s="225"/>
      <c r="R978"/>
      <c r="S978"/>
      <c r="T978"/>
      <c r="U978"/>
      <c r="V978"/>
      <c r="W978"/>
      <c r="X978"/>
    </row>
    <row r="979" spans="5:24" x14ac:dyDescent="0.3">
      <c r="E979" s="173"/>
      <c r="F979" s="173"/>
      <c r="I979"/>
      <c r="J979"/>
      <c r="K979"/>
      <c r="L979"/>
      <c r="M979"/>
      <c r="N979"/>
      <c r="O979"/>
      <c r="P979" s="225"/>
      <c r="Q979" s="225"/>
      <c r="R979"/>
      <c r="S979"/>
      <c r="T979"/>
      <c r="U979"/>
      <c r="V979"/>
      <c r="W979"/>
      <c r="X979"/>
    </row>
    <row r="980" spans="5:24" x14ac:dyDescent="0.3">
      <c r="E980" s="173"/>
      <c r="F980" s="173"/>
      <c r="I980"/>
      <c r="J980"/>
      <c r="K980"/>
      <c r="L980"/>
      <c r="M980"/>
      <c r="N980"/>
      <c r="O980"/>
      <c r="P980" s="225"/>
      <c r="Q980" s="225"/>
      <c r="R980"/>
      <c r="S980"/>
      <c r="T980"/>
      <c r="U980"/>
      <c r="V980"/>
      <c r="W980"/>
      <c r="X980"/>
    </row>
    <row r="981" spans="5:24" x14ac:dyDescent="0.3">
      <c r="E981" s="173"/>
      <c r="F981" s="173"/>
      <c r="I981"/>
      <c r="J981"/>
      <c r="K981"/>
      <c r="L981"/>
      <c r="M981"/>
      <c r="N981"/>
      <c r="O981"/>
      <c r="P981" s="225"/>
      <c r="Q981" s="225"/>
      <c r="R981"/>
      <c r="S981"/>
      <c r="T981"/>
      <c r="U981"/>
      <c r="V981"/>
      <c r="W981"/>
      <c r="X981"/>
    </row>
    <row r="982" spans="5:24" x14ac:dyDescent="0.3">
      <c r="E982" s="173"/>
      <c r="F982" s="173"/>
      <c r="I982"/>
      <c r="J982"/>
      <c r="K982"/>
      <c r="L982"/>
      <c r="M982"/>
      <c r="N982"/>
      <c r="O982"/>
      <c r="P982" s="225"/>
      <c r="Q982" s="225"/>
      <c r="R982"/>
      <c r="S982"/>
      <c r="T982"/>
      <c r="U982"/>
      <c r="V982"/>
      <c r="W982"/>
      <c r="X982"/>
    </row>
    <row r="983" spans="5:24" x14ac:dyDescent="0.3">
      <c r="E983" s="173"/>
      <c r="F983" s="173"/>
      <c r="I983"/>
      <c r="J983"/>
      <c r="K983"/>
      <c r="L983"/>
      <c r="M983"/>
      <c r="N983"/>
      <c r="O983"/>
      <c r="P983" s="225"/>
      <c r="Q983" s="225"/>
      <c r="R983"/>
      <c r="S983"/>
      <c r="T983"/>
      <c r="U983"/>
      <c r="V983"/>
      <c r="W983"/>
      <c r="X983"/>
    </row>
    <row r="984" spans="5:24" x14ac:dyDescent="0.3">
      <c r="E984" s="173"/>
      <c r="F984" s="173"/>
      <c r="I984"/>
      <c r="J984"/>
      <c r="K984"/>
      <c r="L984"/>
      <c r="M984"/>
      <c r="N984"/>
      <c r="O984"/>
      <c r="P984" s="225"/>
      <c r="Q984" s="225"/>
      <c r="R984"/>
      <c r="S984"/>
      <c r="T984"/>
      <c r="U984"/>
      <c r="V984"/>
      <c r="W984"/>
      <c r="X984"/>
    </row>
    <row r="985" spans="5:24" x14ac:dyDescent="0.3">
      <c r="E985" s="173"/>
      <c r="F985" s="173"/>
      <c r="I985"/>
      <c r="J985"/>
      <c r="K985"/>
      <c r="L985"/>
      <c r="M985"/>
      <c r="N985"/>
      <c r="O985"/>
      <c r="P985" s="225"/>
      <c r="Q985" s="225"/>
      <c r="R985"/>
      <c r="S985"/>
      <c r="T985"/>
      <c r="U985"/>
      <c r="V985"/>
      <c r="W985"/>
      <c r="X985"/>
    </row>
    <row r="986" spans="5:24" x14ac:dyDescent="0.3">
      <c r="E986" s="173"/>
      <c r="F986" s="173"/>
      <c r="I986"/>
      <c r="J986"/>
      <c r="K986"/>
      <c r="L986"/>
      <c r="M986"/>
      <c r="N986"/>
      <c r="O986"/>
      <c r="P986" s="225"/>
      <c r="Q986" s="225"/>
      <c r="R986"/>
      <c r="S986"/>
      <c r="T986"/>
      <c r="U986"/>
      <c r="V986"/>
      <c r="W986"/>
      <c r="X986"/>
    </row>
    <row r="987" spans="5:24" x14ac:dyDescent="0.3">
      <c r="E987" s="173"/>
      <c r="F987" s="173"/>
      <c r="I987"/>
      <c r="J987"/>
      <c r="K987"/>
      <c r="L987"/>
      <c r="M987"/>
      <c r="N987"/>
      <c r="O987"/>
      <c r="P987" s="225"/>
      <c r="Q987" s="225"/>
      <c r="R987"/>
      <c r="S987"/>
      <c r="T987"/>
      <c r="U987"/>
      <c r="V987"/>
      <c r="W987"/>
      <c r="X987"/>
    </row>
    <row r="988" spans="5:24" x14ac:dyDescent="0.3">
      <c r="E988" s="173"/>
      <c r="F988" s="173"/>
      <c r="I988"/>
      <c r="J988"/>
      <c r="K988"/>
      <c r="L988"/>
      <c r="M988"/>
      <c r="N988"/>
      <c r="O988"/>
      <c r="P988" s="225"/>
      <c r="Q988" s="225"/>
      <c r="R988"/>
      <c r="S988"/>
      <c r="T988"/>
      <c r="U988"/>
      <c r="V988"/>
      <c r="W988"/>
      <c r="X988"/>
    </row>
    <row r="989" spans="5:24" x14ac:dyDescent="0.3">
      <c r="E989" s="173"/>
      <c r="F989" s="173"/>
      <c r="I989"/>
      <c r="J989"/>
      <c r="K989"/>
      <c r="L989"/>
      <c r="M989"/>
      <c r="N989"/>
      <c r="O989"/>
      <c r="P989" s="225"/>
      <c r="Q989" s="225"/>
      <c r="R989"/>
      <c r="S989"/>
      <c r="T989"/>
      <c r="U989"/>
      <c r="V989"/>
      <c r="W989"/>
      <c r="X989"/>
    </row>
    <row r="990" spans="5:24" x14ac:dyDescent="0.3">
      <c r="E990" s="173"/>
      <c r="F990" s="173"/>
      <c r="I990"/>
      <c r="J990"/>
      <c r="K990"/>
      <c r="L990"/>
      <c r="M990"/>
      <c r="N990"/>
      <c r="O990"/>
      <c r="P990" s="225"/>
      <c r="Q990" s="225"/>
      <c r="R990"/>
      <c r="S990"/>
      <c r="T990"/>
      <c r="U990"/>
      <c r="V990"/>
      <c r="W990"/>
      <c r="X990"/>
    </row>
    <row r="991" spans="5:24" x14ac:dyDescent="0.3">
      <c r="E991" s="173"/>
      <c r="F991" s="173"/>
      <c r="I991"/>
      <c r="J991"/>
      <c r="K991"/>
      <c r="L991"/>
      <c r="M991"/>
      <c r="N991"/>
      <c r="O991"/>
      <c r="P991" s="225"/>
      <c r="Q991" s="225"/>
      <c r="R991"/>
      <c r="S991"/>
      <c r="T991"/>
      <c r="U991"/>
      <c r="V991"/>
      <c r="W991"/>
      <c r="X991"/>
    </row>
    <row r="992" spans="5:24" x14ac:dyDescent="0.3">
      <c r="E992" s="173"/>
      <c r="F992" s="173"/>
      <c r="I992"/>
      <c r="J992"/>
      <c r="K992"/>
      <c r="L992"/>
      <c r="M992"/>
      <c r="N992"/>
      <c r="O992"/>
      <c r="P992" s="225"/>
      <c r="Q992" s="225"/>
      <c r="R992"/>
      <c r="S992"/>
      <c r="T992"/>
      <c r="U992"/>
      <c r="V992"/>
      <c r="W992"/>
      <c r="X992"/>
    </row>
    <row r="993" spans="5:24" x14ac:dyDescent="0.3">
      <c r="E993" s="173"/>
      <c r="F993" s="173"/>
      <c r="I993"/>
      <c r="J993"/>
      <c r="K993"/>
      <c r="L993"/>
      <c r="M993"/>
      <c r="N993"/>
      <c r="O993"/>
      <c r="P993" s="225"/>
      <c r="Q993" s="225"/>
      <c r="R993"/>
      <c r="S993"/>
      <c r="T993"/>
      <c r="U993"/>
      <c r="V993"/>
      <c r="W993"/>
      <c r="X993"/>
    </row>
    <row r="994" spans="5:24" x14ac:dyDescent="0.3">
      <c r="E994" s="173"/>
      <c r="F994" s="173"/>
      <c r="I994"/>
      <c r="J994"/>
      <c r="K994"/>
      <c r="L994"/>
      <c r="M994"/>
      <c r="N994"/>
      <c r="O994"/>
      <c r="P994" s="225"/>
      <c r="Q994" s="225"/>
      <c r="R994"/>
      <c r="S994"/>
      <c r="T994"/>
      <c r="U994"/>
      <c r="V994"/>
      <c r="W994"/>
      <c r="X994"/>
    </row>
    <row r="995" spans="5:24" x14ac:dyDescent="0.3">
      <c r="E995" s="173"/>
      <c r="F995" s="173"/>
      <c r="I995"/>
      <c r="J995"/>
      <c r="K995"/>
      <c r="L995"/>
      <c r="M995"/>
      <c r="N995"/>
      <c r="O995"/>
      <c r="P995" s="225"/>
      <c r="Q995" s="225"/>
      <c r="R995"/>
      <c r="S995"/>
      <c r="T995"/>
      <c r="U995"/>
      <c r="V995"/>
      <c r="W995"/>
      <c r="X995"/>
    </row>
    <row r="996" spans="5:24" x14ac:dyDescent="0.3">
      <c r="E996" s="173"/>
      <c r="F996" s="173"/>
      <c r="I996"/>
      <c r="J996"/>
      <c r="K996"/>
      <c r="L996"/>
      <c r="M996"/>
      <c r="N996"/>
      <c r="O996"/>
      <c r="P996" s="225"/>
      <c r="Q996" s="225"/>
      <c r="R996"/>
      <c r="S996"/>
      <c r="T996"/>
      <c r="U996"/>
      <c r="V996"/>
      <c r="W996"/>
      <c r="X996"/>
    </row>
    <row r="997" spans="5:24" x14ac:dyDescent="0.3">
      <c r="E997" s="173"/>
      <c r="F997" s="173"/>
      <c r="I997"/>
      <c r="J997"/>
      <c r="K997"/>
      <c r="L997"/>
      <c r="M997"/>
      <c r="N997"/>
      <c r="O997"/>
      <c r="P997" s="225"/>
      <c r="Q997" s="225"/>
      <c r="R997"/>
      <c r="S997"/>
      <c r="T997"/>
      <c r="U997"/>
      <c r="V997"/>
      <c r="W997"/>
      <c r="X997"/>
    </row>
    <row r="998" spans="5:24" x14ac:dyDescent="0.3">
      <c r="E998" s="173"/>
      <c r="F998" s="173"/>
      <c r="I998"/>
      <c r="J998"/>
      <c r="K998"/>
      <c r="L998"/>
      <c r="M998"/>
      <c r="N998"/>
      <c r="O998"/>
      <c r="P998" s="225"/>
      <c r="Q998" s="225"/>
      <c r="R998"/>
      <c r="S998"/>
      <c r="T998"/>
      <c r="U998"/>
      <c r="V998"/>
      <c r="W998"/>
      <c r="X998"/>
    </row>
    <row r="999" spans="5:24" x14ac:dyDescent="0.3">
      <c r="E999" s="173"/>
      <c r="F999" s="173"/>
      <c r="I999"/>
      <c r="J999"/>
      <c r="K999"/>
      <c r="L999"/>
      <c r="M999"/>
      <c r="N999"/>
      <c r="O999"/>
      <c r="P999" s="225"/>
      <c r="Q999" s="225"/>
      <c r="R999"/>
      <c r="S999"/>
      <c r="T999"/>
      <c r="U999"/>
      <c r="V999"/>
      <c r="W999"/>
      <c r="X999"/>
    </row>
    <row r="1000" spans="5:24" x14ac:dyDescent="0.3">
      <c r="E1000" s="173"/>
      <c r="F1000" s="173"/>
      <c r="I1000"/>
      <c r="J1000"/>
      <c r="K1000"/>
      <c r="L1000"/>
      <c r="M1000"/>
      <c r="N1000"/>
      <c r="O1000"/>
      <c r="P1000" s="225"/>
      <c r="Q1000" s="225"/>
      <c r="R1000"/>
      <c r="S1000"/>
      <c r="T1000"/>
      <c r="U1000"/>
      <c r="V1000"/>
      <c r="W1000"/>
      <c r="X1000"/>
    </row>
    <row r="1001" spans="5:24" x14ac:dyDescent="0.3">
      <c r="E1001" s="173"/>
      <c r="F1001" s="173"/>
      <c r="I1001"/>
      <c r="J1001"/>
      <c r="K1001"/>
      <c r="L1001"/>
      <c r="M1001"/>
      <c r="N1001"/>
      <c r="O1001"/>
      <c r="P1001" s="225"/>
      <c r="Q1001" s="225"/>
      <c r="R1001"/>
      <c r="S1001"/>
      <c r="T1001"/>
      <c r="U1001"/>
      <c r="V1001"/>
      <c r="W1001"/>
      <c r="X1001"/>
    </row>
    <row r="1002" spans="5:24" x14ac:dyDescent="0.3">
      <c r="E1002" s="173"/>
      <c r="F1002" s="173"/>
      <c r="I1002"/>
      <c r="J1002"/>
      <c r="K1002"/>
      <c r="L1002"/>
      <c r="M1002"/>
      <c r="N1002"/>
      <c r="O1002"/>
      <c r="P1002" s="225"/>
      <c r="Q1002" s="225"/>
      <c r="R1002"/>
      <c r="S1002"/>
      <c r="T1002"/>
      <c r="U1002"/>
      <c r="V1002"/>
      <c r="W1002"/>
      <c r="X1002"/>
    </row>
    <row r="1003" spans="5:24" x14ac:dyDescent="0.3">
      <c r="E1003" s="173"/>
      <c r="F1003" s="173"/>
      <c r="I1003"/>
      <c r="J1003"/>
      <c r="K1003"/>
      <c r="L1003"/>
      <c r="M1003"/>
      <c r="N1003"/>
      <c r="O1003"/>
      <c r="P1003" s="225"/>
      <c r="Q1003" s="225"/>
      <c r="R1003"/>
      <c r="S1003"/>
      <c r="T1003"/>
      <c r="U1003"/>
      <c r="V1003"/>
      <c r="W1003"/>
      <c r="X1003"/>
    </row>
    <row r="1004" spans="5:24" x14ac:dyDescent="0.3">
      <c r="E1004" s="173"/>
      <c r="F1004" s="173"/>
      <c r="I1004"/>
      <c r="J1004"/>
      <c r="K1004"/>
      <c r="L1004"/>
      <c r="M1004"/>
      <c r="N1004"/>
      <c r="O1004"/>
      <c r="P1004" s="225"/>
      <c r="Q1004" s="225"/>
      <c r="R1004"/>
      <c r="S1004"/>
      <c r="T1004"/>
      <c r="U1004"/>
      <c r="V1004"/>
      <c r="W1004"/>
      <c r="X1004"/>
    </row>
    <row r="1005" spans="5:24" x14ac:dyDescent="0.3">
      <c r="E1005" s="173"/>
      <c r="F1005" s="173"/>
      <c r="I1005"/>
      <c r="J1005"/>
      <c r="K1005"/>
      <c r="L1005"/>
      <c r="M1005"/>
      <c r="N1005"/>
      <c r="O1005"/>
      <c r="P1005" s="225"/>
      <c r="Q1005" s="225"/>
      <c r="R1005"/>
      <c r="S1005"/>
      <c r="T1005"/>
      <c r="U1005"/>
      <c r="V1005"/>
      <c r="W1005"/>
      <c r="X1005"/>
    </row>
    <row r="1006" spans="5:24" x14ac:dyDescent="0.3">
      <c r="E1006" s="173"/>
      <c r="F1006" s="173"/>
      <c r="I1006"/>
      <c r="J1006"/>
      <c r="K1006"/>
      <c r="L1006"/>
      <c r="M1006"/>
      <c r="N1006"/>
      <c r="O1006"/>
      <c r="P1006" s="225"/>
      <c r="Q1006" s="225"/>
      <c r="R1006"/>
      <c r="S1006"/>
      <c r="T1006"/>
      <c r="U1006"/>
      <c r="V1006"/>
      <c r="W1006"/>
      <c r="X1006"/>
    </row>
    <row r="1007" spans="5:24" x14ac:dyDescent="0.3">
      <c r="E1007" s="173"/>
      <c r="F1007" s="173"/>
      <c r="I1007"/>
      <c r="J1007"/>
      <c r="K1007"/>
      <c r="L1007"/>
      <c r="M1007"/>
      <c r="N1007"/>
      <c r="O1007"/>
      <c r="P1007" s="225"/>
      <c r="Q1007" s="225"/>
      <c r="R1007"/>
      <c r="S1007"/>
      <c r="T1007"/>
      <c r="U1007"/>
      <c r="V1007"/>
      <c r="W1007"/>
      <c r="X1007"/>
    </row>
    <row r="1008" spans="5:24" x14ac:dyDescent="0.3">
      <c r="E1008" s="173"/>
      <c r="F1008" s="173"/>
      <c r="I1008"/>
      <c r="J1008"/>
      <c r="K1008"/>
      <c r="L1008"/>
      <c r="M1008"/>
      <c r="N1008"/>
      <c r="O1008"/>
      <c r="P1008" s="225"/>
      <c r="Q1008" s="225"/>
      <c r="R1008"/>
      <c r="S1008"/>
      <c r="T1008"/>
      <c r="U1008"/>
      <c r="V1008"/>
      <c r="W1008"/>
      <c r="X1008"/>
    </row>
    <row r="1009" spans="5:24" x14ac:dyDescent="0.3">
      <c r="E1009" s="173"/>
      <c r="F1009" s="173"/>
      <c r="I1009"/>
      <c r="J1009"/>
      <c r="K1009"/>
      <c r="L1009"/>
      <c r="M1009"/>
      <c r="N1009"/>
      <c r="O1009"/>
      <c r="P1009" s="225"/>
      <c r="Q1009" s="225"/>
      <c r="R1009"/>
      <c r="S1009"/>
      <c r="T1009"/>
      <c r="U1009"/>
      <c r="V1009"/>
      <c r="W1009"/>
      <c r="X1009"/>
    </row>
    <row r="1010" spans="5:24" x14ac:dyDescent="0.3">
      <c r="E1010" s="173"/>
      <c r="F1010" s="173"/>
      <c r="I1010"/>
      <c r="J1010"/>
      <c r="K1010"/>
      <c r="L1010"/>
      <c r="M1010"/>
      <c r="N1010"/>
      <c r="O1010"/>
      <c r="P1010" s="225"/>
      <c r="Q1010" s="225"/>
      <c r="R1010"/>
      <c r="S1010"/>
      <c r="T1010"/>
      <c r="U1010"/>
      <c r="V1010"/>
      <c r="W1010"/>
      <c r="X1010"/>
    </row>
    <row r="1011" spans="5:24" x14ac:dyDescent="0.3">
      <c r="E1011" s="173"/>
      <c r="F1011" s="173"/>
      <c r="I1011"/>
      <c r="J1011"/>
      <c r="K1011"/>
      <c r="L1011"/>
      <c r="M1011"/>
      <c r="N1011"/>
      <c r="O1011"/>
      <c r="P1011" s="225"/>
      <c r="Q1011" s="225"/>
      <c r="R1011"/>
      <c r="S1011"/>
      <c r="T1011"/>
      <c r="U1011"/>
      <c r="V1011"/>
      <c r="W1011"/>
      <c r="X1011"/>
    </row>
    <row r="1012" spans="5:24" x14ac:dyDescent="0.3">
      <c r="E1012" s="173"/>
      <c r="F1012" s="173"/>
      <c r="I1012"/>
      <c r="J1012"/>
      <c r="K1012"/>
      <c r="L1012"/>
      <c r="M1012"/>
      <c r="N1012"/>
      <c r="O1012"/>
      <c r="P1012" s="225"/>
      <c r="Q1012" s="225"/>
      <c r="R1012"/>
      <c r="S1012"/>
      <c r="T1012"/>
      <c r="U1012"/>
      <c r="V1012"/>
      <c r="W1012"/>
      <c r="X1012"/>
    </row>
    <row r="1013" spans="5:24" x14ac:dyDescent="0.3">
      <c r="E1013" s="173"/>
      <c r="F1013" s="173"/>
      <c r="I1013"/>
      <c r="J1013"/>
      <c r="K1013"/>
      <c r="L1013"/>
      <c r="M1013"/>
      <c r="N1013"/>
      <c r="O1013"/>
      <c r="P1013" s="225"/>
      <c r="Q1013" s="225"/>
      <c r="R1013"/>
      <c r="S1013"/>
      <c r="T1013"/>
      <c r="U1013"/>
      <c r="V1013"/>
      <c r="W1013"/>
      <c r="X1013"/>
    </row>
    <row r="1014" spans="5:24" x14ac:dyDescent="0.3">
      <c r="E1014" s="173"/>
      <c r="F1014" s="173"/>
      <c r="I1014"/>
      <c r="J1014"/>
      <c r="K1014"/>
      <c r="L1014"/>
      <c r="M1014"/>
      <c r="N1014"/>
      <c r="O1014"/>
      <c r="P1014" s="225"/>
      <c r="Q1014" s="225"/>
      <c r="R1014"/>
      <c r="S1014"/>
      <c r="T1014"/>
      <c r="U1014"/>
      <c r="V1014"/>
      <c r="W1014"/>
      <c r="X1014"/>
    </row>
    <row r="1015" spans="5:24" x14ac:dyDescent="0.3">
      <c r="E1015" s="173"/>
      <c r="F1015" s="173"/>
      <c r="I1015"/>
      <c r="J1015"/>
      <c r="K1015"/>
      <c r="L1015"/>
      <c r="M1015"/>
      <c r="N1015"/>
      <c r="O1015"/>
      <c r="P1015" s="225"/>
      <c r="Q1015" s="225"/>
      <c r="R1015"/>
      <c r="S1015"/>
      <c r="T1015"/>
      <c r="U1015"/>
      <c r="V1015"/>
      <c r="W1015"/>
      <c r="X1015"/>
    </row>
    <row r="1016" spans="5:24" x14ac:dyDescent="0.3">
      <c r="E1016" s="173"/>
      <c r="F1016" s="173"/>
      <c r="I1016"/>
      <c r="J1016"/>
      <c r="K1016"/>
      <c r="L1016"/>
      <c r="M1016"/>
      <c r="N1016"/>
      <c r="O1016"/>
      <c r="P1016" s="225"/>
      <c r="Q1016" s="225"/>
      <c r="R1016"/>
      <c r="S1016"/>
      <c r="T1016"/>
      <c r="U1016"/>
      <c r="V1016"/>
      <c r="W1016"/>
      <c r="X1016"/>
    </row>
    <row r="1017" spans="5:24" x14ac:dyDescent="0.3">
      <c r="E1017" s="173"/>
      <c r="F1017" s="173"/>
      <c r="I1017"/>
      <c r="J1017"/>
      <c r="K1017"/>
      <c r="L1017"/>
      <c r="M1017"/>
      <c r="N1017"/>
      <c r="O1017"/>
      <c r="P1017" s="225"/>
      <c r="Q1017" s="225"/>
      <c r="R1017"/>
      <c r="S1017"/>
      <c r="T1017"/>
      <c r="U1017"/>
      <c r="V1017"/>
      <c r="W1017"/>
      <c r="X1017"/>
    </row>
    <row r="1018" spans="5:24" x14ac:dyDescent="0.3">
      <c r="E1018" s="173"/>
      <c r="F1018" s="173"/>
      <c r="I1018"/>
      <c r="J1018"/>
      <c r="K1018"/>
      <c r="L1018"/>
      <c r="M1018"/>
      <c r="N1018"/>
      <c r="O1018"/>
      <c r="P1018" s="225"/>
      <c r="Q1018" s="225"/>
      <c r="R1018"/>
      <c r="S1018"/>
      <c r="T1018"/>
      <c r="U1018"/>
      <c r="V1018"/>
      <c r="W1018"/>
      <c r="X1018"/>
    </row>
    <row r="1019" spans="5:24" x14ac:dyDescent="0.3">
      <c r="E1019" s="173"/>
      <c r="F1019" s="173"/>
      <c r="I1019"/>
      <c r="J1019"/>
      <c r="K1019"/>
      <c r="L1019"/>
      <c r="M1019"/>
      <c r="N1019"/>
      <c r="O1019"/>
      <c r="P1019" s="225"/>
      <c r="Q1019" s="225"/>
      <c r="R1019"/>
      <c r="S1019"/>
      <c r="T1019"/>
      <c r="U1019"/>
      <c r="V1019"/>
      <c r="W1019"/>
      <c r="X1019"/>
    </row>
    <row r="1020" spans="5:24" x14ac:dyDescent="0.3">
      <c r="E1020" s="173"/>
      <c r="F1020" s="173"/>
      <c r="I1020"/>
      <c r="J1020"/>
      <c r="K1020"/>
      <c r="L1020"/>
      <c r="M1020"/>
      <c r="N1020"/>
      <c r="O1020"/>
      <c r="P1020" s="225"/>
      <c r="Q1020" s="225"/>
      <c r="R1020"/>
      <c r="S1020"/>
      <c r="T1020"/>
      <c r="U1020"/>
      <c r="V1020"/>
      <c r="W1020"/>
      <c r="X1020"/>
    </row>
    <row r="1021" spans="5:24" x14ac:dyDescent="0.3">
      <c r="E1021" s="173"/>
      <c r="F1021" s="173"/>
      <c r="I1021"/>
      <c r="J1021"/>
      <c r="K1021"/>
      <c r="L1021"/>
      <c r="M1021"/>
      <c r="N1021"/>
      <c r="O1021"/>
      <c r="P1021" s="225"/>
      <c r="Q1021" s="225"/>
      <c r="R1021"/>
      <c r="S1021"/>
      <c r="T1021"/>
      <c r="U1021"/>
      <c r="V1021"/>
      <c r="W1021"/>
      <c r="X1021"/>
    </row>
    <row r="1022" spans="5:24" x14ac:dyDescent="0.3">
      <c r="E1022" s="173"/>
      <c r="F1022" s="173"/>
      <c r="I1022"/>
      <c r="J1022"/>
      <c r="K1022"/>
      <c r="L1022"/>
      <c r="M1022"/>
      <c r="N1022"/>
      <c r="O1022"/>
      <c r="P1022" s="225"/>
      <c r="Q1022" s="225"/>
      <c r="R1022"/>
      <c r="S1022"/>
      <c r="T1022"/>
      <c r="U1022"/>
      <c r="V1022"/>
      <c r="W1022"/>
      <c r="X1022"/>
    </row>
    <row r="1023" spans="5:24" x14ac:dyDescent="0.3">
      <c r="E1023" s="173"/>
      <c r="F1023" s="173"/>
      <c r="I1023"/>
      <c r="J1023"/>
      <c r="K1023"/>
      <c r="L1023"/>
      <c r="M1023"/>
      <c r="N1023"/>
      <c r="O1023"/>
      <c r="P1023" s="225"/>
      <c r="Q1023" s="225"/>
      <c r="R1023"/>
      <c r="S1023"/>
      <c r="T1023"/>
      <c r="U1023"/>
      <c r="V1023"/>
      <c r="W1023"/>
      <c r="X1023"/>
    </row>
    <row r="1024" spans="5:24" x14ac:dyDescent="0.3">
      <c r="E1024" s="173"/>
      <c r="F1024" s="173"/>
      <c r="I1024"/>
      <c r="J1024"/>
      <c r="K1024"/>
      <c r="L1024"/>
      <c r="M1024"/>
      <c r="N1024"/>
      <c r="O1024"/>
      <c r="P1024" s="225"/>
      <c r="Q1024" s="225"/>
      <c r="R1024"/>
      <c r="S1024"/>
      <c r="T1024"/>
      <c r="U1024"/>
      <c r="V1024"/>
      <c r="W1024"/>
      <c r="X1024"/>
    </row>
    <row r="1025" spans="5:24" x14ac:dyDescent="0.3">
      <c r="E1025" s="173"/>
      <c r="F1025" s="173"/>
      <c r="I1025"/>
      <c r="J1025"/>
      <c r="K1025"/>
      <c r="L1025"/>
      <c r="M1025"/>
      <c r="N1025"/>
      <c r="O1025"/>
      <c r="P1025" s="225"/>
      <c r="Q1025" s="225"/>
      <c r="R1025"/>
      <c r="S1025"/>
      <c r="T1025"/>
      <c r="U1025"/>
      <c r="V1025"/>
      <c r="W1025"/>
      <c r="X1025"/>
    </row>
    <row r="1026" spans="5:24" x14ac:dyDescent="0.3">
      <c r="E1026" s="173"/>
      <c r="F1026" s="173"/>
      <c r="I1026"/>
      <c r="J1026"/>
      <c r="K1026"/>
      <c r="L1026"/>
      <c r="M1026"/>
      <c r="N1026"/>
      <c r="O1026"/>
      <c r="P1026" s="225"/>
      <c r="Q1026" s="225"/>
      <c r="R1026"/>
      <c r="S1026"/>
      <c r="T1026"/>
      <c r="U1026"/>
      <c r="V1026"/>
      <c r="W1026"/>
      <c r="X1026"/>
    </row>
    <row r="1027" spans="5:24" x14ac:dyDescent="0.3">
      <c r="E1027" s="173"/>
      <c r="F1027" s="173"/>
      <c r="I1027"/>
      <c r="J1027"/>
      <c r="K1027"/>
      <c r="L1027"/>
      <c r="M1027"/>
      <c r="N1027"/>
      <c r="O1027"/>
      <c r="P1027" s="225"/>
      <c r="Q1027" s="225"/>
      <c r="R1027"/>
      <c r="S1027"/>
      <c r="T1027"/>
      <c r="U1027"/>
      <c r="V1027"/>
      <c r="W1027"/>
      <c r="X1027"/>
    </row>
    <row r="1028" spans="5:24" x14ac:dyDescent="0.3">
      <c r="E1028" s="173"/>
      <c r="F1028" s="173"/>
      <c r="I1028"/>
      <c r="J1028"/>
      <c r="K1028"/>
      <c r="L1028"/>
      <c r="M1028"/>
      <c r="N1028"/>
      <c r="O1028"/>
      <c r="P1028" s="225"/>
      <c r="Q1028" s="225"/>
      <c r="R1028"/>
      <c r="S1028"/>
      <c r="T1028"/>
      <c r="U1028"/>
      <c r="V1028"/>
      <c r="W1028"/>
      <c r="X1028"/>
    </row>
    <row r="1029" spans="5:24" x14ac:dyDescent="0.3">
      <c r="E1029" s="173"/>
      <c r="F1029" s="173"/>
      <c r="I1029"/>
      <c r="J1029"/>
      <c r="K1029"/>
      <c r="L1029"/>
      <c r="M1029"/>
      <c r="N1029"/>
      <c r="O1029"/>
      <c r="P1029" s="225"/>
      <c r="Q1029" s="225"/>
      <c r="R1029"/>
      <c r="S1029"/>
      <c r="T1029"/>
      <c r="U1029"/>
      <c r="V1029"/>
      <c r="W1029"/>
      <c r="X1029"/>
    </row>
    <row r="1030" spans="5:24" x14ac:dyDescent="0.3">
      <c r="E1030" s="173"/>
      <c r="F1030" s="173"/>
      <c r="I1030"/>
      <c r="J1030"/>
      <c r="K1030"/>
      <c r="L1030"/>
      <c r="M1030"/>
      <c r="N1030"/>
      <c r="O1030"/>
      <c r="P1030" s="225"/>
      <c r="Q1030" s="225"/>
      <c r="R1030"/>
      <c r="S1030"/>
      <c r="T1030"/>
      <c r="U1030"/>
      <c r="V1030"/>
      <c r="W1030"/>
      <c r="X1030"/>
    </row>
    <row r="1031" spans="5:24" x14ac:dyDescent="0.3">
      <c r="E1031" s="173"/>
      <c r="F1031" s="173"/>
      <c r="I1031"/>
      <c r="J1031"/>
      <c r="K1031"/>
      <c r="L1031"/>
      <c r="M1031"/>
      <c r="N1031"/>
      <c r="O1031"/>
      <c r="P1031" s="225"/>
      <c r="Q1031" s="225"/>
      <c r="R1031"/>
      <c r="S1031"/>
      <c r="T1031"/>
      <c r="U1031"/>
      <c r="V1031"/>
      <c r="W1031"/>
      <c r="X1031"/>
    </row>
    <row r="1032" spans="5:24" x14ac:dyDescent="0.3">
      <c r="E1032" s="173"/>
      <c r="F1032" s="173"/>
      <c r="I1032"/>
      <c r="J1032"/>
      <c r="K1032"/>
      <c r="L1032"/>
      <c r="M1032"/>
      <c r="N1032"/>
      <c r="O1032"/>
      <c r="P1032" s="225"/>
      <c r="Q1032" s="225"/>
      <c r="R1032"/>
      <c r="S1032"/>
      <c r="T1032"/>
      <c r="U1032"/>
      <c r="V1032"/>
      <c r="W1032"/>
      <c r="X1032"/>
    </row>
    <row r="1033" spans="5:24" x14ac:dyDescent="0.3">
      <c r="E1033" s="173"/>
      <c r="F1033" s="173"/>
      <c r="I1033"/>
      <c r="J1033"/>
      <c r="K1033"/>
      <c r="L1033"/>
      <c r="M1033"/>
      <c r="N1033"/>
      <c r="O1033"/>
      <c r="P1033" s="225"/>
      <c r="Q1033" s="225"/>
      <c r="R1033"/>
      <c r="S1033"/>
      <c r="T1033"/>
      <c r="U1033"/>
      <c r="V1033"/>
      <c r="W1033"/>
      <c r="X1033"/>
    </row>
    <row r="1034" spans="5:24" x14ac:dyDescent="0.3">
      <c r="E1034" s="173"/>
      <c r="F1034" s="173"/>
      <c r="I1034"/>
      <c r="J1034"/>
      <c r="K1034"/>
      <c r="L1034"/>
      <c r="M1034"/>
      <c r="N1034"/>
      <c r="O1034"/>
      <c r="P1034" s="225"/>
      <c r="Q1034" s="225"/>
      <c r="R1034"/>
      <c r="S1034"/>
      <c r="T1034"/>
      <c r="U1034"/>
      <c r="V1034"/>
      <c r="W1034"/>
      <c r="X1034"/>
    </row>
    <row r="1035" spans="5:24" x14ac:dyDescent="0.3">
      <c r="E1035" s="173"/>
      <c r="F1035" s="173"/>
      <c r="I1035"/>
      <c r="J1035"/>
      <c r="K1035"/>
      <c r="L1035"/>
      <c r="M1035"/>
      <c r="N1035"/>
      <c r="O1035"/>
      <c r="P1035" s="225"/>
      <c r="Q1035" s="225"/>
      <c r="R1035"/>
      <c r="S1035"/>
      <c r="T1035"/>
      <c r="U1035"/>
      <c r="V1035"/>
      <c r="W1035"/>
      <c r="X1035"/>
    </row>
    <row r="1036" spans="5:24" x14ac:dyDescent="0.3">
      <c r="E1036" s="173"/>
      <c r="F1036" s="173"/>
      <c r="I1036"/>
      <c r="J1036"/>
      <c r="K1036"/>
      <c r="L1036"/>
      <c r="M1036"/>
      <c r="N1036"/>
      <c r="O1036"/>
      <c r="P1036" s="225"/>
      <c r="Q1036" s="225"/>
      <c r="R1036"/>
      <c r="S1036"/>
      <c r="T1036"/>
      <c r="U1036"/>
      <c r="V1036"/>
      <c r="W1036"/>
      <c r="X1036"/>
    </row>
    <row r="1037" spans="5:24" x14ac:dyDescent="0.3">
      <c r="E1037" s="173"/>
      <c r="F1037" s="173"/>
      <c r="I1037"/>
      <c r="J1037"/>
      <c r="K1037"/>
      <c r="L1037"/>
      <c r="M1037"/>
      <c r="N1037"/>
      <c r="O1037"/>
      <c r="P1037" s="225"/>
      <c r="Q1037" s="225"/>
      <c r="R1037"/>
      <c r="S1037"/>
      <c r="T1037"/>
      <c r="U1037"/>
      <c r="V1037"/>
      <c r="W1037"/>
      <c r="X1037"/>
    </row>
    <row r="1038" spans="5:24" x14ac:dyDescent="0.3">
      <c r="E1038" s="173"/>
      <c r="F1038" s="173"/>
      <c r="I1038"/>
      <c r="J1038"/>
      <c r="K1038"/>
      <c r="L1038"/>
      <c r="M1038"/>
      <c r="N1038"/>
      <c r="O1038"/>
      <c r="P1038" s="225"/>
      <c r="Q1038" s="225"/>
      <c r="R1038"/>
      <c r="S1038"/>
      <c r="T1038"/>
      <c r="U1038"/>
      <c r="V1038"/>
      <c r="W1038"/>
      <c r="X1038"/>
    </row>
    <row r="1039" spans="5:24" x14ac:dyDescent="0.3">
      <c r="E1039" s="173"/>
      <c r="F1039" s="173"/>
      <c r="I1039"/>
      <c r="J1039"/>
      <c r="K1039"/>
      <c r="L1039"/>
      <c r="M1039"/>
      <c r="N1039"/>
      <c r="O1039"/>
      <c r="P1039" s="225"/>
      <c r="Q1039" s="225"/>
      <c r="R1039"/>
      <c r="S1039"/>
      <c r="T1039"/>
      <c r="U1039"/>
      <c r="V1039"/>
      <c r="W1039"/>
      <c r="X1039"/>
    </row>
    <row r="1040" spans="5:24" x14ac:dyDescent="0.3">
      <c r="E1040" s="173"/>
      <c r="F1040" s="173"/>
      <c r="I1040"/>
      <c r="J1040"/>
      <c r="K1040"/>
      <c r="L1040"/>
      <c r="M1040"/>
      <c r="N1040"/>
      <c r="O1040"/>
      <c r="P1040" s="225"/>
      <c r="Q1040" s="225"/>
      <c r="R1040"/>
      <c r="S1040"/>
      <c r="T1040"/>
      <c r="U1040"/>
      <c r="V1040"/>
      <c r="W1040"/>
      <c r="X1040"/>
    </row>
    <row r="1041" spans="5:24" x14ac:dyDescent="0.3">
      <c r="E1041" s="173"/>
      <c r="F1041" s="173"/>
      <c r="I1041"/>
      <c r="J1041"/>
      <c r="K1041"/>
      <c r="L1041"/>
      <c r="M1041"/>
      <c r="N1041"/>
      <c r="O1041"/>
      <c r="P1041" s="225"/>
      <c r="Q1041" s="225"/>
      <c r="R1041"/>
      <c r="S1041"/>
      <c r="T1041"/>
      <c r="U1041"/>
      <c r="V1041"/>
      <c r="W1041"/>
      <c r="X1041"/>
    </row>
    <row r="1042" spans="5:24" x14ac:dyDescent="0.3">
      <c r="E1042" s="173"/>
      <c r="F1042" s="173"/>
      <c r="I1042"/>
      <c r="J1042"/>
      <c r="K1042"/>
      <c r="L1042"/>
      <c r="M1042"/>
      <c r="N1042"/>
      <c r="O1042"/>
      <c r="P1042" s="225"/>
      <c r="Q1042" s="225"/>
      <c r="R1042"/>
      <c r="S1042"/>
      <c r="T1042"/>
      <c r="U1042"/>
      <c r="V1042"/>
      <c r="W1042"/>
      <c r="X1042"/>
    </row>
    <row r="1043" spans="5:24" x14ac:dyDescent="0.3">
      <c r="E1043" s="173"/>
      <c r="F1043" s="173"/>
      <c r="I1043"/>
      <c r="J1043"/>
      <c r="K1043"/>
      <c r="L1043"/>
      <c r="M1043"/>
      <c r="N1043"/>
      <c r="O1043"/>
      <c r="P1043" s="225"/>
      <c r="Q1043" s="225"/>
      <c r="R1043"/>
      <c r="S1043"/>
      <c r="T1043"/>
      <c r="U1043"/>
      <c r="V1043"/>
      <c r="W1043"/>
      <c r="X1043"/>
    </row>
    <row r="1044" spans="5:24" x14ac:dyDescent="0.3">
      <c r="E1044" s="173"/>
      <c r="F1044" s="173"/>
      <c r="I1044"/>
      <c r="J1044"/>
      <c r="K1044"/>
      <c r="L1044"/>
      <c r="M1044"/>
      <c r="N1044"/>
      <c r="O1044"/>
      <c r="P1044" s="225"/>
      <c r="Q1044" s="225"/>
      <c r="R1044"/>
      <c r="S1044"/>
      <c r="T1044"/>
      <c r="U1044"/>
      <c r="V1044"/>
      <c r="W1044"/>
      <c r="X1044"/>
    </row>
    <row r="1045" spans="5:24" x14ac:dyDescent="0.3">
      <c r="E1045" s="173"/>
      <c r="F1045" s="173"/>
      <c r="I1045"/>
      <c r="J1045"/>
      <c r="K1045"/>
      <c r="L1045"/>
      <c r="M1045"/>
      <c r="N1045"/>
      <c r="O1045"/>
      <c r="P1045" s="225"/>
      <c r="Q1045" s="225"/>
      <c r="R1045"/>
      <c r="S1045"/>
      <c r="T1045"/>
      <c r="U1045"/>
      <c r="V1045"/>
      <c r="W1045"/>
      <c r="X1045"/>
    </row>
    <row r="1046" spans="5:24" x14ac:dyDescent="0.3">
      <c r="E1046" s="173"/>
      <c r="F1046" s="173"/>
      <c r="I1046"/>
      <c r="J1046"/>
      <c r="K1046"/>
      <c r="L1046"/>
      <c r="M1046"/>
      <c r="N1046"/>
      <c r="O1046"/>
      <c r="P1046" s="225"/>
      <c r="Q1046" s="225"/>
      <c r="R1046"/>
      <c r="S1046"/>
      <c r="T1046"/>
      <c r="U1046"/>
      <c r="V1046"/>
      <c r="W1046"/>
      <c r="X1046"/>
    </row>
    <row r="1047" spans="5:24" x14ac:dyDescent="0.3">
      <c r="E1047" s="173"/>
      <c r="F1047" s="173"/>
      <c r="I1047"/>
      <c r="J1047"/>
      <c r="K1047"/>
      <c r="L1047"/>
      <c r="M1047"/>
      <c r="N1047"/>
      <c r="O1047"/>
      <c r="P1047" s="225"/>
      <c r="Q1047" s="225"/>
      <c r="R1047"/>
      <c r="S1047"/>
      <c r="T1047"/>
      <c r="U1047"/>
      <c r="V1047"/>
      <c r="W1047"/>
      <c r="X1047"/>
    </row>
    <row r="1048" spans="5:24" x14ac:dyDescent="0.3">
      <c r="E1048" s="173"/>
      <c r="F1048" s="173"/>
      <c r="I1048"/>
      <c r="J1048"/>
      <c r="K1048"/>
      <c r="L1048"/>
      <c r="M1048"/>
      <c r="N1048"/>
      <c r="O1048"/>
      <c r="P1048" s="225"/>
      <c r="Q1048" s="225"/>
      <c r="R1048"/>
      <c r="S1048"/>
      <c r="T1048"/>
      <c r="U1048"/>
      <c r="V1048"/>
      <c r="W1048"/>
      <c r="X1048"/>
    </row>
    <row r="1049" spans="5:24" x14ac:dyDescent="0.3">
      <c r="E1049" s="173"/>
      <c r="F1049" s="173"/>
      <c r="I1049"/>
      <c r="J1049"/>
      <c r="K1049"/>
      <c r="L1049"/>
      <c r="M1049"/>
      <c r="N1049"/>
      <c r="O1049"/>
      <c r="P1049" s="225"/>
      <c r="Q1049" s="225"/>
      <c r="R1049"/>
      <c r="S1049"/>
      <c r="T1049"/>
      <c r="U1049"/>
      <c r="V1049"/>
      <c r="W1049"/>
      <c r="X1049"/>
    </row>
    <row r="1050" spans="5:24" x14ac:dyDescent="0.3">
      <c r="E1050" s="173"/>
      <c r="F1050" s="173"/>
      <c r="I1050"/>
      <c r="J1050"/>
      <c r="K1050"/>
      <c r="L1050"/>
      <c r="M1050"/>
      <c r="N1050"/>
      <c r="O1050"/>
      <c r="P1050" s="225"/>
      <c r="Q1050" s="225"/>
      <c r="R1050"/>
      <c r="S1050"/>
      <c r="T1050"/>
      <c r="U1050"/>
      <c r="V1050"/>
      <c r="W1050"/>
      <c r="X1050"/>
    </row>
    <row r="1051" spans="5:24" x14ac:dyDescent="0.3">
      <c r="E1051" s="173"/>
      <c r="F1051" s="173"/>
      <c r="I1051"/>
      <c r="J1051"/>
      <c r="K1051"/>
      <c r="L1051"/>
      <c r="M1051"/>
      <c r="N1051"/>
      <c r="O1051"/>
      <c r="P1051" s="225"/>
      <c r="Q1051" s="225"/>
      <c r="R1051"/>
      <c r="S1051"/>
      <c r="T1051"/>
      <c r="U1051"/>
      <c r="V1051"/>
      <c r="W1051"/>
      <c r="X1051"/>
    </row>
    <row r="1052" spans="5:24" x14ac:dyDescent="0.3">
      <c r="E1052" s="173"/>
      <c r="F1052" s="173"/>
      <c r="I1052"/>
      <c r="J1052"/>
      <c r="K1052"/>
      <c r="L1052"/>
      <c r="M1052"/>
      <c r="N1052"/>
      <c r="O1052"/>
      <c r="P1052" s="225"/>
      <c r="Q1052" s="225"/>
      <c r="R1052"/>
      <c r="S1052"/>
      <c r="T1052"/>
      <c r="U1052"/>
      <c r="V1052"/>
      <c r="W1052"/>
      <c r="X1052"/>
    </row>
    <row r="1053" spans="5:24" x14ac:dyDescent="0.3">
      <c r="E1053" s="173"/>
      <c r="F1053" s="173"/>
      <c r="I1053"/>
      <c r="J1053"/>
      <c r="K1053"/>
      <c r="L1053"/>
      <c r="M1053"/>
      <c r="N1053"/>
      <c r="O1053"/>
      <c r="P1053" s="225"/>
      <c r="Q1053" s="225"/>
      <c r="R1053"/>
      <c r="S1053"/>
      <c r="T1053"/>
      <c r="U1053"/>
      <c r="V1053"/>
      <c r="W1053"/>
      <c r="X1053"/>
    </row>
    <row r="1054" spans="5:24" x14ac:dyDescent="0.3">
      <c r="E1054" s="173"/>
      <c r="F1054" s="173"/>
      <c r="I1054"/>
      <c r="J1054"/>
      <c r="K1054"/>
      <c r="L1054"/>
      <c r="M1054"/>
      <c r="N1054"/>
      <c r="O1054"/>
      <c r="P1054" s="225"/>
      <c r="Q1054" s="225"/>
      <c r="R1054"/>
      <c r="S1054"/>
      <c r="T1054"/>
      <c r="U1054"/>
      <c r="V1054"/>
      <c r="W1054"/>
      <c r="X1054"/>
    </row>
    <row r="1055" spans="5:24" x14ac:dyDescent="0.3">
      <c r="E1055" s="173"/>
      <c r="F1055" s="173"/>
      <c r="I1055"/>
      <c r="J1055"/>
      <c r="K1055"/>
      <c r="L1055"/>
      <c r="M1055"/>
      <c r="N1055"/>
      <c r="O1055"/>
      <c r="P1055" s="225"/>
      <c r="Q1055" s="225"/>
      <c r="R1055"/>
      <c r="S1055"/>
      <c r="T1055"/>
      <c r="U1055"/>
      <c r="V1055"/>
      <c r="W1055"/>
      <c r="X1055"/>
    </row>
    <row r="1056" spans="5:24" x14ac:dyDescent="0.3">
      <c r="E1056" s="173"/>
      <c r="F1056" s="173"/>
      <c r="I1056"/>
      <c r="J1056"/>
      <c r="K1056"/>
      <c r="L1056"/>
      <c r="M1056"/>
      <c r="N1056"/>
      <c r="O1056"/>
      <c r="P1056" s="225"/>
      <c r="Q1056" s="225"/>
      <c r="R1056"/>
      <c r="S1056"/>
      <c r="T1056"/>
      <c r="U1056"/>
      <c r="V1056"/>
      <c r="W1056"/>
      <c r="X1056"/>
    </row>
    <row r="1057" spans="5:24" x14ac:dyDescent="0.3">
      <c r="E1057" s="173"/>
      <c r="F1057" s="173"/>
      <c r="I1057"/>
      <c r="J1057"/>
      <c r="K1057"/>
      <c r="L1057"/>
      <c r="M1057"/>
      <c r="N1057"/>
      <c r="O1057"/>
      <c r="P1057" s="225"/>
      <c r="Q1057" s="225"/>
      <c r="R1057"/>
      <c r="S1057"/>
      <c r="T1057"/>
      <c r="U1057"/>
      <c r="V1057"/>
      <c r="W1057"/>
      <c r="X1057"/>
    </row>
    <row r="1058" spans="5:24" x14ac:dyDescent="0.3">
      <c r="E1058" s="173"/>
      <c r="F1058" s="173"/>
      <c r="I1058"/>
      <c r="J1058"/>
      <c r="K1058"/>
      <c r="L1058"/>
      <c r="M1058"/>
      <c r="N1058"/>
      <c r="O1058"/>
      <c r="P1058" s="225"/>
      <c r="Q1058" s="225"/>
      <c r="R1058"/>
      <c r="S1058"/>
      <c r="T1058"/>
      <c r="U1058"/>
      <c r="V1058"/>
      <c r="W1058"/>
      <c r="X1058"/>
    </row>
    <row r="1059" spans="5:24" x14ac:dyDescent="0.3">
      <c r="E1059" s="173"/>
      <c r="F1059" s="173"/>
      <c r="I1059"/>
      <c r="J1059"/>
      <c r="K1059"/>
      <c r="L1059"/>
      <c r="M1059"/>
      <c r="N1059"/>
      <c r="O1059"/>
      <c r="P1059" s="225"/>
      <c r="Q1059" s="225"/>
      <c r="R1059"/>
      <c r="S1059"/>
      <c r="T1059"/>
      <c r="U1059"/>
      <c r="V1059"/>
      <c r="W1059"/>
      <c r="X1059"/>
    </row>
    <row r="1060" spans="5:24" x14ac:dyDescent="0.3">
      <c r="E1060" s="173"/>
      <c r="F1060" s="173"/>
      <c r="I1060"/>
      <c r="J1060"/>
      <c r="K1060"/>
      <c r="L1060"/>
      <c r="M1060"/>
      <c r="N1060"/>
      <c r="O1060"/>
      <c r="P1060" s="225"/>
      <c r="Q1060" s="225"/>
      <c r="R1060"/>
      <c r="S1060"/>
      <c r="T1060"/>
      <c r="U1060"/>
      <c r="V1060"/>
      <c r="W1060"/>
      <c r="X1060"/>
    </row>
    <row r="1061" spans="5:24" x14ac:dyDescent="0.3">
      <c r="E1061" s="173"/>
      <c r="F1061" s="173"/>
      <c r="I1061"/>
      <c r="J1061"/>
      <c r="K1061"/>
      <c r="L1061"/>
      <c r="M1061"/>
      <c r="N1061"/>
      <c r="O1061"/>
      <c r="P1061" s="225"/>
      <c r="Q1061" s="225"/>
      <c r="R1061"/>
      <c r="S1061"/>
      <c r="T1061"/>
      <c r="U1061"/>
      <c r="V1061"/>
      <c r="W1061"/>
      <c r="X1061"/>
    </row>
    <row r="1062" spans="5:24" x14ac:dyDescent="0.3">
      <c r="E1062" s="173"/>
      <c r="F1062" s="173"/>
      <c r="I1062"/>
      <c r="J1062"/>
      <c r="K1062"/>
      <c r="L1062"/>
      <c r="M1062"/>
      <c r="N1062"/>
      <c r="O1062"/>
      <c r="P1062" s="225"/>
      <c r="Q1062" s="225"/>
      <c r="R1062"/>
      <c r="S1062"/>
      <c r="T1062"/>
      <c r="U1062"/>
      <c r="V1062"/>
      <c r="W1062"/>
      <c r="X1062"/>
    </row>
    <row r="1063" spans="5:24" x14ac:dyDescent="0.3">
      <c r="E1063" s="173"/>
      <c r="F1063" s="173"/>
      <c r="I1063"/>
      <c r="J1063"/>
      <c r="K1063"/>
      <c r="L1063"/>
      <c r="M1063"/>
      <c r="N1063"/>
      <c r="O1063"/>
      <c r="P1063" s="225"/>
      <c r="Q1063" s="225"/>
      <c r="R1063"/>
      <c r="S1063"/>
      <c r="T1063"/>
      <c r="U1063"/>
      <c r="V1063"/>
      <c r="W1063"/>
      <c r="X1063"/>
    </row>
    <row r="1064" spans="5:24" x14ac:dyDescent="0.3">
      <c r="E1064" s="173"/>
      <c r="F1064" s="173"/>
      <c r="I1064"/>
      <c r="J1064"/>
      <c r="K1064"/>
      <c r="L1064"/>
      <c r="M1064"/>
      <c r="N1064"/>
      <c r="O1064"/>
      <c r="P1064" s="225"/>
      <c r="Q1064" s="225"/>
      <c r="R1064"/>
      <c r="S1064"/>
      <c r="T1064"/>
      <c r="U1064"/>
      <c r="V1064"/>
      <c r="W1064"/>
      <c r="X1064"/>
    </row>
    <row r="1065" spans="5:24" x14ac:dyDescent="0.3">
      <c r="E1065" s="173"/>
      <c r="F1065" s="173"/>
      <c r="I1065"/>
      <c r="J1065"/>
      <c r="K1065"/>
      <c r="L1065"/>
      <c r="M1065"/>
      <c r="N1065"/>
      <c r="O1065"/>
      <c r="P1065" s="225"/>
      <c r="Q1065" s="225"/>
      <c r="R1065"/>
      <c r="S1065"/>
      <c r="T1065"/>
      <c r="U1065"/>
      <c r="V1065"/>
      <c r="W1065"/>
      <c r="X1065"/>
    </row>
    <row r="1066" spans="5:24" x14ac:dyDescent="0.3">
      <c r="E1066" s="173"/>
      <c r="F1066" s="173"/>
      <c r="I1066"/>
      <c r="J1066"/>
      <c r="K1066"/>
      <c r="L1066"/>
      <c r="M1066"/>
      <c r="N1066"/>
      <c r="O1066"/>
      <c r="P1066" s="225"/>
      <c r="Q1066" s="225"/>
      <c r="R1066"/>
      <c r="S1066"/>
      <c r="T1066"/>
      <c r="U1066"/>
      <c r="V1066"/>
      <c r="W1066"/>
      <c r="X1066"/>
    </row>
    <row r="1067" spans="5:24" x14ac:dyDescent="0.3">
      <c r="E1067" s="173"/>
      <c r="F1067" s="173"/>
      <c r="I1067"/>
      <c r="J1067"/>
      <c r="K1067"/>
      <c r="L1067"/>
      <c r="M1067"/>
      <c r="N1067"/>
      <c r="O1067"/>
      <c r="P1067" s="225"/>
      <c r="Q1067" s="225"/>
      <c r="R1067"/>
      <c r="S1067"/>
      <c r="T1067"/>
      <c r="U1067"/>
      <c r="V1067"/>
      <c r="W1067"/>
      <c r="X1067"/>
    </row>
    <row r="1068" spans="5:24" x14ac:dyDescent="0.3">
      <c r="E1068" s="173"/>
      <c r="F1068" s="173"/>
      <c r="I1068"/>
      <c r="J1068"/>
      <c r="K1068"/>
      <c r="L1068"/>
      <c r="M1068"/>
      <c r="N1068"/>
      <c r="O1068"/>
      <c r="P1068" s="225"/>
      <c r="Q1068" s="225"/>
      <c r="R1068"/>
      <c r="S1068"/>
      <c r="T1068"/>
      <c r="U1068"/>
      <c r="V1068"/>
      <c r="W1068"/>
      <c r="X1068"/>
    </row>
    <row r="1069" spans="5:24" x14ac:dyDescent="0.3">
      <c r="E1069" s="173"/>
      <c r="F1069" s="173"/>
      <c r="I1069"/>
      <c r="J1069"/>
      <c r="K1069"/>
      <c r="L1069"/>
      <c r="M1069"/>
      <c r="N1069"/>
      <c r="O1069"/>
      <c r="P1069" s="225"/>
      <c r="Q1069" s="225"/>
      <c r="R1069"/>
      <c r="S1069"/>
      <c r="T1069"/>
      <c r="U1069"/>
      <c r="V1069"/>
      <c r="W1069"/>
      <c r="X1069"/>
    </row>
    <row r="1070" spans="5:24" x14ac:dyDescent="0.3">
      <c r="E1070" s="173"/>
      <c r="F1070" s="173"/>
      <c r="I1070"/>
      <c r="J1070"/>
      <c r="K1070"/>
      <c r="L1070"/>
      <c r="M1070"/>
      <c r="N1070"/>
      <c r="O1070"/>
      <c r="P1070" s="225"/>
      <c r="Q1070" s="225"/>
      <c r="R1070"/>
      <c r="S1070"/>
      <c r="T1070"/>
      <c r="U1070"/>
      <c r="V1070"/>
      <c r="W1070"/>
      <c r="X1070"/>
    </row>
    <row r="1071" spans="5:24" x14ac:dyDescent="0.3">
      <c r="E1071" s="173"/>
      <c r="F1071" s="173"/>
      <c r="I1071"/>
      <c r="J1071"/>
      <c r="K1071"/>
      <c r="L1071"/>
      <c r="M1071"/>
      <c r="N1071"/>
      <c r="O1071"/>
      <c r="P1071" s="225"/>
      <c r="Q1071" s="225"/>
      <c r="R1071"/>
      <c r="S1071"/>
      <c r="T1071"/>
      <c r="U1071"/>
      <c r="V1071"/>
      <c r="W1071"/>
      <c r="X1071"/>
    </row>
    <row r="1072" spans="5:24" x14ac:dyDescent="0.3">
      <c r="E1072" s="173"/>
      <c r="F1072" s="173"/>
      <c r="I1072"/>
      <c r="J1072"/>
      <c r="K1072"/>
      <c r="L1072"/>
      <c r="M1072"/>
      <c r="N1072"/>
      <c r="O1072"/>
      <c r="P1072" s="225"/>
      <c r="Q1072" s="225"/>
      <c r="R1072"/>
      <c r="S1072"/>
      <c r="T1072"/>
      <c r="U1072"/>
      <c r="V1072"/>
      <c r="W1072"/>
      <c r="X1072"/>
    </row>
    <row r="1073" spans="5:24" x14ac:dyDescent="0.3">
      <c r="E1073" s="173"/>
      <c r="F1073" s="173"/>
      <c r="I1073"/>
      <c r="J1073"/>
      <c r="K1073"/>
      <c r="L1073"/>
      <c r="M1073"/>
      <c r="N1073"/>
      <c r="O1073"/>
      <c r="P1073" s="225"/>
      <c r="Q1073" s="225"/>
      <c r="R1073"/>
      <c r="S1073"/>
      <c r="T1073"/>
      <c r="U1073"/>
      <c r="V1073"/>
      <c r="W1073"/>
      <c r="X1073"/>
    </row>
    <row r="1074" spans="5:24" x14ac:dyDescent="0.3">
      <c r="E1074" s="173"/>
      <c r="F1074" s="173"/>
      <c r="I1074"/>
      <c r="J1074"/>
      <c r="K1074"/>
      <c r="L1074"/>
      <c r="M1074"/>
      <c r="N1074"/>
      <c r="O1074"/>
      <c r="P1074" s="225"/>
      <c r="Q1074" s="225"/>
      <c r="R1074"/>
      <c r="S1074"/>
      <c r="T1074"/>
      <c r="U1074"/>
      <c r="V1074"/>
      <c r="W1074"/>
      <c r="X1074"/>
    </row>
    <row r="1075" spans="5:24" x14ac:dyDescent="0.3">
      <c r="E1075" s="173"/>
      <c r="F1075" s="173"/>
      <c r="I1075"/>
      <c r="J1075"/>
      <c r="K1075"/>
      <c r="L1075"/>
      <c r="M1075"/>
      <c r="N1075"/>
      <c r="O1075"/>
      <c r="P1075" s="225"/>
      <c r="Q1075" s="225"/>
      <c r="R1075"/>
      <c r="S1075"/>
      <c r="T1075"/>
      <c r="U1075"/>
      <c r="V1075"/>
      <c r="W1075"/>
      <c r="X1075"/>
    </row>
    <row r="1076" spans="5:24" x14ac:dyDescent="0.3">
      <c r="E1076" s="173"/>
      <c r="F1076" s="173"/>
      <c r="I1076"/>
      <c r="J1076"/>
      <c r="K1076"/>
      <c r="L1076"/>
      <c r="M1076"/>
      <c r="N1076"/>
      <c r="O1076"/>
      <c r="P1076" s="225"/>
      <c r="Q1076" s="225"/>
      <c r="R1076"/>
      <c r="S1076"/>
      <c r="T1076"/>
      <c r="U1076"/>
      <c r="V1076"/>
      <c r="W1076"/>
      <c r="X1076"/>
    </row>
    <row r="1077" spans="5:24" x14ac:dyDescent="0.3">
      <c r="E1077" s="173"/>
      <c r="F1077" s="173"/>
      <c r="I1077"/>
      <c r="J1077"/>
      <c r="K1077"/>
      <c r="L1077"/>
      <c r="M1077"/>
      <c r="N1077"/>
      <c r="O1077"/>
      <c r="P1077" s="225"/>
      <c r="Q1077" s="225"/>
      <c r="R1077"/>
      <c r="S1077"/>
      <c r="T1077"/>
      <c r="U1077"/>
      <c r="V1077"/>
      <c r="W1077"/>
      <c r="X1077"/>
    </row>
    <row r="1078" spans="5:24" x14ac:dyDescent="0.3">
      <c r="E1078" s="173"/>
      <c r="F1078" s="173"/>
      <c r="I1078"/>
      <c r="J1078"/>
      <c r="K1078"/>
      <c r="L1078"/>
      <c r="M1078"/>
      <c r="N1078"/>
      <c r="O1078"/>
      <c r="P1078" s="225"/>
      <c r="Q1078" s="225"/>
      <c r="R1078"/>
      <c r="S1078"/>
      <c r="T1078"/>
      <c r="U1078"/>
      <c r="V1078"/>
      <c r="W1078"/>
      <c r="X1078"/>
    </row>
    <row r="1079" spans="5:24" x14ac:dyDescent="0.3">
      <c r="E1079" s="173"/>
      <c r="F1079" s="173"/>
      <c r="I1079"/>
      <c r="J1079"/>
      <c r="K1079"/>
      <c r="L1079"/>
      <c r="M1079"/>
      <c r="N1079"/>
      <c r="O1079"/>
      <c r="P1079" s="225"/>
      <c r="Q1079" s="225"/>
      <c r="R1079"/>
      <c r="S1079"/>
      <c r="T1079"/>
      <c r="U1079"/>
      <c r="V1079"/>
      <c r="W1079"/>
      <c r="X1079"/>
    </row>
    <row r="1080" spans="5:24" x14ac:dyDescent="0.3">
      <c r="E1080" s="173"/>
      <c r="F1080" s="173"/>
      <c r="I1080"/>
      <c r="J1080"/>
      <c r="K1080"/>
      <c r="L1080"/>
      <c r="M1080"/>
      <c r="N1080"/>
      <c r="O1080"/>
      <c r="P1080" s="225"/>
      <c r="Q1080" s="225"/>
      <c r="R1080"/>
      <c r="S1080"/>
      <c r="T1080"/>
      <c r="U1080"/>
      <c r="V1080"/>
      <c r="W1080"/>
      <c r="X1080"/>
    </row>
    <row r="1081" spans="5:24" x14ac:dyDescent="0.3">
      <c r="E1081" s="173"/>
      <c r="F1081" s="173"/>
      <c r="I1081"/>
      <c r="J1081"/>
      <c r="K1081"/>
      <c r="L1081"/>
      <c r="M1081"/>
      <c r="N1081"/>
      <c r="O1081"/>
      <c r="P1081" s="225"/>
      <c r="Q1081" s="225"/>
      <c r="R1081"/>
      <c r="S1081"/>
      <c r="T1081"/>
      <c r="U1081"/>
      <c r="V1081"/>
      <c r="W1081"/>
      <c r="X1081"/>
    </row>
    <row r="1082" spans="5:24" x14ac:dyDescent="0.3">
      <c r="E1082" s="173"/>
      <c r="F1082" s="173"/>
      <c r="I1082"/>
      <c r="J1082"/>
      <c r="K1082"/>
      <c r="L1082"/>
      <c r="M1082"/>
      <c r="N1082"/>
      <c r="O1082"/>
      <c r="P1082" s="225"/>
      <c r="Q1082" s="225"/>
      <c r="R1082"/>
      <c r="S1082"/>
      <c r="T1082"/>
      <c r="U1082"/>
      <c r="V1082"/>
      <c r="W1082"/>
      <c r="X1082"/>
    </row>
    <row r="1083" spans="5:24" x14ac:dyDescent="0.3">
      <c r="E1083" s="173"/>
      <c r="F1083" s="173"/>
      <c r="I1083"/>
      <c r="J1083"/>
      <c r="K1083"/>
      <c r="L1083"/>
      <c r="M1083"/>
      <c r="N1083"/>
      <c r="O1083"/>
      <c r="P1083" s="225"/>
      <c r="Q1083" s="225"/>
      <c r="R1083"/>
      <c r="S1083"/>
      <c r="T1083"/>
      <c r="U1083"/>
      <c r="V1083"/>
      <c r="W1083"/>
      <c r="X1083"/>
    </row>
    <row r="1084" spans="5:24" x14ac:dyDescent="0.3">
      <c r="E1084" s="173"/>
      <c r="F1084" s="173"/>
      <c r="I1084"/>
      <c r="J1084"/>
      <c r="K1084"/>
      <c r="L1084"/>
      <c r="M1084"/>
      <c r="N1084"/>
      <c r="O1084"/>
      <c r="P1084" s="225"/>
      <c r="Q1084" s="225"/>
      <c r="R1084"/>
      <c r="S1084"/>
      <c r="T1084"/>
      <c r="U1084"/>
      <c r="V1084"/>
      <c r="W1084"/>
      <c r="X1084"/>
    </row>
    <row r="1085" spans="5:24" x14ac:dyDescent="0.3">
      <c r="E1085" s="173"/>
      <c r="F1085" s="173"/>
      <c r="I1085"/>
      <c r="J1085"/>
      <c r="K1085"/>
      <c r="L1085"/>
      <c r="M1085"/>
      <c r="N1085"/>
      <c r="O1085"/>
      <c r="P1085" s="225"/>
      <c r="Q1085" s="225"/>
      <c r="R1085"/>
      <c r="S1085"/>
      <c r="T1085"/>
      <c r="U1085"/>
      <c r="V1085"/>
      <c r="W1085"/>
      <c r="X1085"/>
    </row>
    <row r="1086" spans="5:24" x14ac:dyDescent="0.3">
      <c r="E1086" s="173"/>
      <c r="F1086" s="173"/>
      <c r="I1086"/>
      <c r="J1086"/>
      <c r="K1086"/>
      <c r="L1086"/>
      <c r="M1086"/>
      <c r="N1086"/>
      <c r="O1086"/>
      <c r="P1086" s="225"/>
      <c r="Q1086" s="225"/>
      <c r="R1086"/>
      <c r="S1086"/>
      <c r="T1086"/>
      <c r="U1086"/>
      <c r="V1086"/>
      <c r="W1086"/>
      <c r="X1086"/>
    </row>
    <row r="1087" spans="5:24" x14ac:dyDescent="0.3">
      <c r="E1087" s="173"/>
      <c r="F1087" s="173"/>
      <c r="I1087"/>
      <c r="J1087"/>
      <c r="K1087"/>
      <c r="L1087"/>
      <c r="M1087"/>
      <c r="N1087"/>
      <c r="O1087"/>
      <c r="P1087" s="225"/>
      <c r="Q1087" s="225"/>
      <c r="R1087"/>
      <c r="S1087"/>
      <c r="T1087"/>
      <c r="U1087"/>
      <c r="V1087"/>
      <c r="W1087"/>
      <c r="X1087"/>
    </row>
    <row r="1088" spans="5:24" x14ac:dyDescent="0.3">
      <c r="E1088" s="173"/>
      <c r="F1088" s="173"/>
      <c r="I1088"/>
      <c r="J1088"/>
      <c r="K1088"/>
      <c r="L1088"/>
      <c r="M1088"/>
      <c r="N1088"/>
      <c r="O1088"/>
      <c r="P1088" s="225"/>
      <c r="Q1088" s="225"/>
      <c r="R1088"/>
      <c r="S1088"/>
      <c r="T1088"/>
      <c r="U1088"/>
      <c r="V1088"/>
      <c r="W1088"/>
      <c r="X1088"/>
    </row>
    <row r="1089" spans="5:24" x14ac:dyDescent="0.3">
      <c r="E1089" s="173"/>
      <c r="F1089" s="173"/>
      <c r="I1089"/>
      <c r="J1089"/>
      <c r="K1089"/>
      <c r="L1089"/>
      <c r="M1089"/>
      <c r="N1089"/>
      <c r="O1089"/>
      <c r="P1089" s="225"/>
      <c r="Q1089" s="225"/>
      <c r="R1089"/>
      <c r="S1089"/>
      <c r="T1089"/>
      <c r="U1089"/>
      <c r="V1089"/>
      <c r="W1089"/>
      <c r="X1089"/>
    </row>
    <row r="1090" spans="5:24" x14ac:dyDescent="0.3">
      <c r="E1090" s="173"/>
      <c r="F1090" s="173"/>
      <c r="I1090"/>
      <c r="J1090"/>
      <c r="K1090"/>
      <c r="L1090"/>
      <c r="M1090"/>
      <c r="N1090"/>
      <c r="O1090"/>
      <c r="P1090" s="225"/>
      <c r="Q1090" s="225"/>
      <c r="R1090"/>
      <c r="S1090"/>
      <c r="T1090"/>
      <c r="U1090"/>
      <c r="V1090"/>
      <c r="W1090"/>
      <c r="X1090"/>
    </row>
    <row r="1091" spans="5:24" x14ac:dyDescent="0.3">
      <c r="E1091" s="173"/>
      <c r="F1091" s="173"/>
      <c r="I1091"/>
      <c r="J1091"/>
      <c r="K1091"/>
      <c r="L1091"/>
      <c r="M1091"/>
      <c r="N1091"/>
      <c r="O1091"/>
      <c r="P1091" s="225"/>
      <c r="Q1091" s="225"/>
      <c r="R1091"/>
      <c r="S1091"/>
      <c r="T1091"/>
      <c r="U1091"/>
      <c r="V1091"/>
      <c r="W1091"/>
      <c r="X1091"/>
    </row>
    <row r="1092" spans="5:24" x14ac:dyDescent="0.3">
      <c r="E1092" s="173"/>
      <c r="F1092" s="173"/>
      <c r="I1092"/>
      <c r="J1092"/>
      <c r="K1092"/>
      <c r="L1092"/>
      <c r="M1092"/>
      <c r="N1092"/>
      <c r="O1092"/>
      <c r="P1092" s="225"/>
      <c r="Q1092" s="225"/>
      <c r="R1092"/>
      <c r="S1092"/>
      <c r="T1092"/>
      <c r="U1092"/>
      <c r="V1092"/>
      <c r="W1092"/>
      <c r="X1092"/>
    </row>
    <row r="1093" spans="5:24" x14ac:dyDescent="0.3">
      <c r="E1093" s="173"/>
      <c r="F1093" s="173"/>
      <c r="I1093"/>
      <c r="J1093"/>
      <c r="K1093"/>
      <c r="L1093"/>
      <c r="M1093"/>
      <c r="N1093"/>
      <c r="O1093"/>
      <c r="P1093" s="225"/>
      <c r="Q1093" s="225"/>
      <c r="R1093"/>
      <c r="S1093"/>
      <c r="T1093"/>
      <c r="U1093"/>
      <c r="V1093"/>
      <c r="W1093"/>
      <c r="X1093"/>
    </row>
    <row r="1094" spans="5:24" x14ac:dyDescent="0.3">
      <c r="E1094" s="173"/>
      <c r="F1094" s="173"/>
      <c r="I1094"/>
      <c r="J1094"/>
      <c r="K1094"/>
      <c r="L1094"/>
      <c r="M1094"/>
      <c r="N1094"/>
      <c r="O1094"/>
      <c r="P1094" s="225"/>
      <c r="Q1094" s="225"/>
      <c r="R1094"/>
      <c r="S1094"/>
      <c r="T1094"/>
      <c r="U1094"/>
      <c r="V1094"/>
      <c r="W1094"/>
      <c r="X1094"/>
    </row>
    <row r="1095" spans="5:24" x14ac:dyDescent="0.3">
      <c r="E1095" s="173"/>
      <c r="F1095" s="173"/>
      <c r="I1095"/>
      <c r="J1095"/>
      <c r="K1095"/>
      <c r="L1095"/>
      <c r="M1095"/>
      <c r="N1095"/>
      <c r="O1095"/>
      <c r="P1095" s="225"/>
      <c r="Q1095" s="225"/>
      <c r="R1095"/>
      <c r="S1095"/>
      <c r="T1095"/>
      <c r="U1095"/>
      <c r="V1095"/>
      <c r="W1095"/>
      <c r="X1095"/>
    </row>
    <row r="1096" spans="5:24" x14ac:dyDescent="0.3">
      <c r="E1096" s="173"/>
      <c r="F1096" s="173"/>
      <c r="I1096"/>
      <c r="J1096"/>
      <c r="K1096"/>
      <c r="L1096"/>
      <c r="M1096"/>
      <c r="N1096"/>
      <c r="O1096"/>
      <c r="P1096" s="225"/>
      <c r="Q1096" s="225"/>
      <c r="R1096"/>
      <c r="S1096"/>
      <c r="T1096"/>
      <c r="U1096"/>
      <c r="V1096"/>
      <c r="W1096"/>
      <c r="X1096"/>
    </row>
    <row r="1097" spans="5:24" x14ac:dyDescent="0.3">
      <c r="E1097" s="173"/>
      <c r="F1097" s="173"/>
      <c r="I1097"/>
      <c r="J1097"/>
      <c r="K1097"/>
      <c r="L1097"/>
      <c r="M1097"/>
      <c r="N1097"/>
      <c r="O1097"/>
      <c r="P1097" s="225"/>
      <c r="Q1097" s="225"/>
      <c r="R1097"/>
      <c r="S1097"/>
      <c r="T1097"/>
      <c r="U1097"/>
      <c r="V1097"/>
      <c r="W1097"/>
      <c r="X1097"/>
    </row>
    <row r="1098" spans="5:24" x14ac:dyDescent="0.3">
      <c r="E1098" s="173"/>
      <c r="F1098" s="173"/>
      <c r="I1098"/>
      <c r="J1098"/>
      <c r="K1098"/>
      <c r="L1098"/>
      <c r="M1098"/>
      <c r="N1098"/>
      <c r="O1098"/>
      <c r="P1098" s="225"/>
      <c r="Q1098" s="225"/>
      <c r="R1098"/>
      <c r="S1098"/>
      <c r="T1098"/>
      <c r="U1098"/>
      <c r="V1098"/>
      <c r="W1098"/>
      <c r="X1098"/>
    </row>
    <row r="1099" spans="5:24" x14ac:dyDescent="0.3">
      <c r="E1099" s="173"/>
      <c r="F1099" s="173"/>
      <c r="I1099"/>
      <c r="J1099"/>
      <c r="K1099"/>
      <c r="L1099"/>
      <c r="M1099"/>
      <c r="N1099"/>
      <c r="O1099"/>
      <c r="P1099" s="225"/>
      <c r="Q1099" s="225"/>
      <c r="R1099"/>
      <c r="S1099"/>
      <c r="T1099"/>
      <c r="U1099"/>
      <c r="V1099"/>
      <c r="W1099"/>
      <c r="X1099"/>
    </row>
    <row r="1100" spans="5:24" x14ac:dyDescent="0.3">
      <c r="E1100" s="173"/>
      <c r="F1100" s="173"/>
      <c r="I1100"/>
      <c r="J1100"/>
      <c r="K1100"/>
      <c r="L1100"/>
      <c r="M1100"/>
      <c r="N1100"/>
      <c r="O1100"/>
      <c r="P1100" s="225"/>
      <c r="Q1100" s="225"/>
      <c r="R1100"/>
      <c r="S1100"/>
      <c r="T1100"/>
      <c r="U1100"/>
      <c r="V1100"/>
      <c r="W1100"/>
      <c r="X1100"/>
    </row>
    <row r="1101" spans="5:24" x14ac:dyDescent="0.3">
      <c r="E1101" s="173"/>
      <c r="F1101" s="173"/>
      <c r="I1101"/>
      <c r="J1101"/>
      <c r="K1101"/>
      <c r="L1101"/>
      <c r="M1101"/>
      <c r="N1101"/>
      <c r="O1101"/>
      <c r="P1101" s="225"/>
      <c r="Q1101" s="225"/>
      <c r="R1101"/>
      <c r="S1101"/>
      <c r="T1101"/>
      <c r="U1101"/>
      <c r="V1101"/>
      <c r="W1101"/>
      <c r="X1101"/>
    </row>
    <row r="1102" spans="5:24" x14ac:dyDescent="0.3">
      <c r="E1102" s="173"/>
      <c r="F1102" s="173"/>
      <c r="I1102"/>
      <c r="J1102"/>
      <c r="K1102"/>
      <c r="L1102"/>
      <c r="M1102"/>
      <c r="N1102"/>
      <c r="O1102"/>
      <c r="P1102" s="225"/>
      <c r="Q1102" s="225"/>
      <c r="R1102"/>
      <c r="S1102"/>
      <c r="T1102"/>
      <c r="U1102"/>
      <c r="V1102"/>
      <c r="W1102"/>
      <c r="X1102"/>
    </row>
    <row r="1103" spans="5:24" x14ac:dyDescent="0.3">
      <c r="E1103" s="173"/>
      <c r="F1103" s="173"/>
      <c r="I1103"/>
      <c r="J1103"/>
      <c r="K1103"/>
      <c r="L1103"/>
      <c r="M1103"/>
      <c r="N1103"/>
      <c r="O1103"/>
      <c r="P1103" s="225"/>
      <c r="Q1103" s="225"/>
      <c r="R1103"/>
      <c r="S1103"/>
      <c r="T1103"/>
      <c r="U1103"/>
      <c r="V1103"/>
      <c r="W1103"/>
      <c r="X1103"/>
    </row>
    <row r="1104" spans="5:24" x14ac:dyDescent="0.3">
      <c r="E1104" s="173"/>
      <c r="F1104" s="173"/>
      <c r="I1104"/>
      <c r="J1104"/>
      <c r="K1104"/>
      <c r="L1104"/>
      <c r="M1104"/>
      <c r="N1104"/>
      <c r="O1104"/>
      <c r="P1104" s="225"/>
      <c r="Q1104" s="225"/>
      <c r="R1104"/>
      <c r="S1104"/>
      <c r="T1104"/>
      <c r="U1104"/>
      <c r="V1104"/>
      <c r="W1104"/>
      <c r="X1104"/>
    </row>
    <row r="1105" spans="5:24" x14ac:dyDescent="0.3">
      <c r="E1105" s="173"/>
      <c r="F1105" s="173"/>
      <c r="I1105"/>
      <c r="J1105"/>
      <c r="K1105"/>
      <c r="L1105"/>
      <c r="M1105"/>
      <c r="N1105"/>
      <c r="O1105"/>
      <c r="P1105" s="225"/>
      <c r="Q1105" s="225"/>
      <c r="R1105"/>
      <c r="S1105"/>
      <c r="T1105"/>
      <c r="U1105"/>
      <c r="V1105"/>
      <c r="W1105"/>
      <c r="X1105"/>
    </row>
    <row r="1106" spans="5:24" x14ac:dyDescent="0.3">
      <c r="E1106" s="173"/>
      <c r="F1106" s="173"/>
      <c r="I1106"/>
      <c r="J1106"/>
      <c r="K1106"/>
      <c r="L1106"/>
      <c r="M1106"/>
      <c r="N1106"/>
      <c r="O1106"/>
      <c r="P1106" s="225"/>
      <c r="Q1106" s="225"/>
      <c r="R1106"/>
      <c r="S1106"/>
      <c r="T1106"/>
      <c r="U1106"/>
      <c r="V1106"/>
      <c r="W1106"/>
      <c r="X1106"/>
    </row>
    <row r="1107" spans="5:24" x14ac:dyDescent="0.3">
      <c r="E1107" s="173"/>
      <c r="F1107" s="173"/>
      <c r="I1107"/>
      <c r="J1107"/>
      <c r="K1107"/>
      <c r="L1107"/>
      <c r="M1107"/>
      <c r="N1107"/>
      <c r="O1107"/>
      <c r="P1107" s="225"/>
      <c r="Q1107" s="225"/>
      <c r="R1107"/>
      <c r="S1107"/>
      <c r="T1107"/>
      <c r="U1107"/>
      <c r="V1107"/>
      <c r="W1107"/>
      <c r="X1107"/>
    </row>
    <row r="1108" spans="5:24" x14ac:dyDescent="0.3">
      <c r="E1108" s="173"/>
      <c r="F1108" s="173"/>
      <c r="I1108"/>
      <c r="J1108"/>
      <c r="K1108"/>
      <c r="L1108"/>
      <c r="M1108"/>
      <c r="N1108"/>
      <c r="O1108"/>
      <c r="P1108" s="225"/>
      <c r="Q1108" s="225"/>
      <c r="R1108"/>
      <c r="S1108"/>
      <c r="T1108"/>
      <c r="U1108"/>
      <c r="V1108"/>
      <c r="W1108"/>
      <c r="X1108"/>
    </row>
    <row r="1109" spans="5:24" x14ac:dyDescent="0.3">
      <c r="E1109" s="173"/>
      <c r="F1109" s="173"/>
      <c r="I1109"/>
      <c r="J1109"/>
      <c r="K1109"/>
      <c r="L1109"/>
      <c r="M1109"/>
      <c r="N1109"/>
      <c r="O1109"/>
      <c r="P1109" s="225"/>
      <c r="Q1109" s="225"/>
      <c r="R1109"/>
      <c r="S1109"/>
      <c r="T1109"/>
      <c r="U1109"/>
      <c r="V1109"/>
      <c r="W1109"/>
      <c r="X1109"/>
    </row>
    <row r="1110" spans="5:24" x14ac:dyDescent="0.3">
      <c r="E1110" s="173"/>
      <c r="F1110" s="173"/>
      <c r="I1110"/>
      <c r="J1110"/>
      <c r="K1110"/>
      <c r="L1110"/>
      <c r="M1110"/>
      <c r="N1110"/>
      <c r="O1110"/>
      <c r="P1110" s="225"/>
      <c r="Q1110" s="225"/>
      <c r="R1110"/>
      <c r="S1110"/>
      <c r="T1110"/>
      <c r="U1110"/>
      <c r="V1110"/>
      <c r="W1110"/>
      <c r="X1110"/>
    </row>
    <row r="1111" spans="5:24" x14ac:dyDescent="0.3">
      <c r="E1111" s="173"/>
      <c r="F1111" s="173"/>
      <c r="I1111"/>
      <c r="J1111"/>
      <c r="K1111"/>
      <c r="L1111"/>
      <c r="M1111"/>
      <c r="N1111"/>
      <c r="O1111"/>
      <c r="P1111" s="225"/>
      <c r="Q1111" s="225"/>
      <c r="R1111"/>
      <c r="S1111"/>
      <c r="T1111"/>
      <c r="U1111"/>
      <c r="V1111"/>
      <c r="W1111"/>
      <c r="X1111"/>
    </row>
    <row r="1112" spans="5:24" x14ac:dyDescent="0.3">
      <c r="E1112" s="173"/>
      <c r="F1112" s="173"/>
      <c r="I1112"/>
      <c r="J1112"/>
      <c r="K1112"/>
      <c r="L1112"/>
      <c r="M1112"/>
      <c r="N1112"/>
      <c r="O1112"/>
      <c r="P1112" s="225"/>
      <c r="Q1112" s="225"/>
      <c r="R1112"/>
      <c r="S1112"/>
      <c r="T1112"/>
      <c r="U1112"/>
      <c r="V1112"/>
      <c r="W1112"/>
      <c r="X1112"/>
    </row>
    <row r="1113" spans="5:24" x14ac:dyDescent="0.3">
      <c r="E1113" s="173"/>
      <c r="F1113" s="173"/>
      <c r="I1113"/>
      <c r="J1113"/>
      <c r="K1113"/>
      <c r="L1113"/>
      <c r="M1113"/>
      <c r="N1113"/>
      <c r="O1113"/>
      <c r="P1113" s="225"/>
      <c r="Q1113" s="225"/>
      <c r="R1113"/>
      <c r="S1113"/>
      <c r="T1113"/>
      <c r="U1113"/>
      <c r="V1113"/>
      <c r="W1113"/>
      <c r="X1113"/>
    </row>
    <row r="1114" spans="5:24" x14ac:dyDescent="0.3">
      <c r="E1114" s="173"/>
      <c r="F1114" s="173"/>
      <c r="I1114"/>
      <c r="J1114"/>
      <c r="K1114"/>
      <c r="L1114"/>
      <c r="M1114"/>
      <c r="N1114"/>
      <c r="O1114"/>
      <c r="P1114" s="225"/>
      <c r="Q1114" s="225"/>
      <c r="R1114"/>
      <c r="S1114"/>
      <c r="T1114"/>
      <c r="U1114"/>
      <c r="V1114"/>
      <c r="W1114"/>
      <c r="X1114"/>
    </row>
    <row r="1115" spans="5:24" x14ac:dyDescent="0.3">
      <c r="E1115" s="173"/>
      <c r="F1115" s="173"/>
      <c r="I1115"/>
      <c r="J1115"/>
      <c r="K1115"/>
      <c r="L1115"/>
      <c r="M1115"/>
      <c r="N1115"/>
      <c r="O1115"/>
      <c r="P1115" s="225"/>
      <c r="Q1115" s="225"/>
      <c r="R1115"/>
      <c r="S1115"/>
      <c r="T1115"/>
      <c r="U1115"/>
      <c r="V1115"/>
      <c r="W1115"/>
      <c r="X1115"/>
    </row>
    <row r="1116" spans="5:24" x14ac:dyDescent="0.3">
      <c r="E1116" s="173"/>
      <c r="F1116" s="173"/>
      <c r="I1116"/>
      <c r="J1116"/>
      <c r="K1116"/>
      <c r="L1116"/>
      <c r="M1116"/>
      <c r="N1116"/>
      <c r="O1116"/>
      <c r="P1116" s="225"/>
      <c r="Q1116" s="225"/>
      <c r="R1116"/>
      <c r="S1116"/>
      <c r="T1116"/>
      <c r="U1116"/>
      <c r="V1116"/>
      <c r="W1116"/>
      <c r="X1116"/>
    </row>
    <row r="1117" spans="5:24" x14ac:dyDescent="0.3">
      <c r="E1117" s="173"/>
      <c r="F1117" s="173"/>
      <c r="I1117"/>
      <c r="J1117"/>
      <c r="K1117"/>
      <c r="L1117"/>
      <c r="M1117"/>
      <c r="N1117"/>
      <c r="O1117"/>
      <c r="P1117" s="225"/>
      <c r="Q1117" s="225"/>
      <c r="R1117"/>
      <c r="S1117"/>
      <c r="T1117"/>
      <c r="U1117"/>
      <c r="V1117"/>
      <c r="W1117"/>
      <c r="X1117"/>
    </row>
    <row r="1118" spans="5:24" x14ac:dyDescent="0.3">
      <c r="E1118" s="173"/>
      <c r="F1118" s="173"/>
      <c r="I1118"/>
      <c r="J1118"/>
      <c r="K1118"/>
      <c r="L1118"/>
      <c r="M1118"/>
      <c r="N1118"/>
      <c r="O1118"/>
      <c r="P1118" s="225"/>
      <c r="Q1118" s="225"/>
      <c r="R1118"/>
      <c r="S1118"/>
      <c r="T1118"/>
      <c r="U1118"/>
      <c r="V1118"/>
      <c r="W1118"/>
      <c r="X1118"/>
    </row>
    <row r="1119" spans="5:24" x14ac:dyDescent="0.3">
      <c r="E1119" s="173"/>
      <c r="F1119" s="173"/>
      <c r="I1119"/>
      <c r="J1119"/>
      <c r="K1119"/>
      <c r="L1119"/>
      <c r="M1119"/>
      <c r="N1119"/>
      <c r="O1119"/>
      <c r="P1119" s="225"/>
      <c r="Q1119" s="225"/>
      <c r="R1119"/>
      <c r="S1119"/>
      <c r="T1119"/>
      <c r="U1119"/>
      <c r="V1119"/>
      <c r="W1119"/>
      <c r="X1119"/>
    </row>
    <row r="1120" spans="5:24" x14ac:dyDescent="0.3">
      <c r="E1120" s="173"/>
      <c r="F1120" s="173"/>
      <c r="I1120"/>
      <c r="J1120"/>
      <c r="K1120"/>
      <c r="L1120"/>
      <c r="M1120"/>
      <c r="N1120"/>
      <c r="O1120"/>
      <c r="P1120" s="225"/>
      <c r="Q1120" s="225"/>
      <c r="R1120"/>
      <c r="S1120"/>
      <c r="T1120"/>
      <c r="U1120"/>
      <c r="V1120"/>
      <c r="W1120"/>
      <c r="X1120"/>
    </row>
    <row r="1121" spans="5:24" x14ac:dyDescent="0.3">
      <c r="E1121" s="173"/>
      <c r="F1121" s="173"/>
      <c r="I1121"/>
      <c r="J1121"/>
      <c r="K1121"/>
      <c r="L1121"/>
      <c r="M1121"/>
      <c r="N1121"/>
      <c r="O1121"/>
      <c r="P1121" s="225"/>
      <c r="Q1121" s="225"/>
      <c r="R1121"/>
      <c r="S1121"/>
      <c r="T1121"/>
      <c r="U1121"/>
      <c r="V1121"/>
      <c r="W1121"/>
      <c r="X1121"/>
    </row>
    <row r="1122" spans="5:24" x14ac:dyDescent="0.3">
      <c r="E1122" s="173"/>
      <c r="F1122" s="173"/>
      <c r="I1122"/>
      <c r="J1122"/>
      <c r="K1122"/>
      <c r="L1122"/>
      <c r="M1122"/>
      <c r="N1122"/>
      <c r="O1122"/>
      <c r="P1122" s="225"/>
      <c r="Q1122" s="225"/>
      <c r="R1122"/>
      <c r="S1122"/>
      <c r="T1122"/>
      <c r="U1122"/>
      <c r="V1122"/>
      <c r="W1122"/>
      <c r="X1122"/>
    </row>
    <row r="1123" spans="5:24" x14ac:dyDescent="0.3">
      <c r="E1123" s="173"/>
      <c r="F1123" s="173"/>
      <c r="I1123"/>
      <c r="J1123"/>
      <c r="K1123"/>
      <c r="L1123"/>
      <c r="M1123"/>
      <c r="N1123"/>
      <c r="O1123"/>
      <c r="P1123" s="225"/>
      <c r="Q1123" s="225"/>
      <c r="R1123"/>
      <c r="S1123"/>
      <c r="T1123"/>
      <c r="U1123"/>
      <c r="V1123"/>
      <c r="W1123"/>
      <c r="X1123"/>
    </row>
    <row r="1124" spans="5:24" x14ac:dyDescent="0.3">
      <c r="E1124" s="173"/>
      <c r="F1124" s="173"/>
      <c r="I1124"/>
      <c r="J1124"/>
      <c r="K1124"/>
      <c r="L1124"/>
      <c r="M1124"/>
      <c r="N1124"/>
      <c r="O1124"/>
      <c r="P1124" s="225"/>
      <c r="Q1124" s="225"/>
      <c r="R1124"/>
      <c r="S1124"/>
      <c r="T1124"/>
      <c r="U1124"/>
      <c r="V1124"/>
      <c r="W1124"/>
      <c r="X1124"/>
    </row>
    <row r="1125" spans="5:24" x14ac:dyDescent="0.3">
      <c r="E1125" s="173"/>
      <c r="F1125" s="173"/>
      <c r="I1125"/>
      <c r="J1125"/>
      <c r="K1125"/>
      <c r="L1125"/>
      <c r="M1125"/>
      <c r="N1125"/>
      <c r="O1125"/>
      <c r="P1125" s="225"/>
      <c r="Q1125" s="225"/>
      <c r="R1125"/>
      <c r="S1125"/>
      <c r="T1125"/>
      <c r="U1125"/>
      <c r="V1125"/>
      <c r="W1125"/>
      <c r="X1125"/>
    </row>
    <row r="1126" spans="5:24" x14ac:dyDescent="0.3">
      <c r="E1126" s="173"/>
      <c r="F1126" s="173"/>
      <c r="I1126"/>
      <c r="J1126"/>
      <c r="K1126"/>
      <c r="L1126"/>
      <c r="M1126"/>
      <c r="N1126"/>
      <c r="O1126"/>
      <c r="P1126" s="225"/>
      <c r="Q1126" s="225"/>
      <c r="R1126"/>
      <c r="S1126"/>
      <c r="T1126"/>
      <c r="U1126"/>
      <c r="V1126"/>
      <c r="W1126"/>
      <c r="X1126"/>
    </row>
    <row r="1127" spans="5:24" x14ac:dyDescent="0.3">
      <c r="E1127" s="173"/>
      <c r="F1127" s="173"/>
      <c r="I1127"/>
      <c r="J1127"/>
      <c r="K1127"/>
      <c r="L1127"/>
      <c r="M1127"/>
      <c r="N1127"/>
      <c r="O1127"/>
      <c r="P1127" s="225"/>
      <c r="Q1127" s="225"/>
      <c r="R1127"/>
      <c r="S1127"/>
      <c r="T1127"/>
      <c r="U1127"/>
      <c r="V1127"/>
      <c r="W1127"/>
      <c r="X1127"/>
    </row>
    <row r="1128" spans="5:24" x14ac:dyDescent="0.3">
      <c r="E1128" s="173"/>
      <c r="F1128" s="173"/>
      <c r="I1128"/>
      <c r="J1128"/>
      <c r="K1128"/>
      <c r="L1128"/>
      <c r="M1128"/>
      <c r="N1128"/>
      <c r="O1128"/>
      <c r="P1128" s="225"/>
      <c r="Q1128" s="225"/>
      <c r="R1128"/>
      <c r="S1128"/>
      <c r="T1128"/>
      <c r="U1128"/>
      <c r="V1128"/>
      <c r="W1128"/>
      <c r="X1128"/>
    </row>
    <row r="1129" spans="5:24" x14ac:dyDescent="0.3">
      <c r="E1129" s="173"/>
      <c r="F1129" s="173"/>
      <c r="I1129"/>
      <c r="J1129"/>
      <c r="K1129"/>
      <c r="L1129"/>
      <c r="M1129"/>
      <c r="N1129"/>
      <c r="O1129"/>
      <c r="P1129" s="225"/>
      <c r="Q1129" s="225"/>
      <c r="R1129"/>
      <c r="S1129"/>
      <c r="T1129"/>
      <c r="U1129"/>
      <c r="V1129"/>
      <c r="W1129"/>
      <c r="X1129"/>
    </row>
    <row r="1130" spans="5:24" x14ac:dyDescent="0.3">
      <c r="E1130" s="173"/>
      <c r="F1130" s="173"/>
      <c r="I1130"/>
      <c r="J1130"/>
      <c r="K1130"/>
      <c r="L1130"/>
      <c r="M1130"/>
      <c r="N1130"/>
      <c r="O1130"/>
      <c r="P1130" s="225"/>
      <c r="Q1130" s="225"/>
      <c r="R1130"/>
      <c r="S1130"/>
      <c r="T1130"/>
      <c r="U1130"/>
      <c r="V1130"/>
      <c r="W1130"/>
      <c r="X1130"/>
    </row>
    <row r="1131" spans="5:24" x14ac:dyDescent="0.3">
      <c r="E1131" s="173"/>
      <c r="F1131" s="173"/>
      <c r="I1131"/>
      <c r="J1131"/>
      <c r="K1131"/>
      <c r="L1131"/>
      <c r="M1131"/>
      <c r="N1131"/>
      <c r="O1131"/>
      <c r="P1131" s="225"/>
      <c r="Q1131" s="225"/>
      <c r="R1131"/>
      <c r="S1131"/>
      <c r="T1131"/>
      <c r="U1131"/>
      <c r="V1131"/>
      <c r="W1131"/>
      <c r="X1131"/>
    </row>
    <row r="1132" spans="5:24" x14ac:dyDescent="0.3">
      <c r="E1132" s="173"/>
      <c r="F1132" s="173"/>
      <c r="I1132"/>
      <c r="J1132"/>
      <c r="K1132"/>
      <c r="L1132"/>
      <c r="M1132"/>
      <c r="N1132"/>
      <c r="O1132"/>
      <c r="P1132" s="225"/>
      <c r="Q1132" s="225"/>
      <c r="R1132"/>
      <c r="S1132"/>
      <c r="T1132"/>
      <c r="U1132"/>
      <c r="V1132"/>
      <c r="W1132"/>
      <c r="X1132"/>
    </row>
    <row r="1133" spans="5:24" x14ac:dyDescent="0.3">
      <c r="E1133" s="173"/>
      <c r="F1133" s="173"/>
      <c r="I1133"/>
      <c r="J1133"/>
      <c r="K1133"/>
      <c r="L1133"/>
      <c r="M1133"/>
      <c r="N1133"/>
      <c r="O1133"/>
      <c r="P1133" s="225"/>
      <c r="Q1133" s="225"/>
      <c r="R1133"/>
      <c r="S1133"/>
      <c r="T1133"/>
      <c r="U1133"/>
      <c r="V1133"/>
      <c r="W1133"/>
      <c r="X1133"/>
    </row>
    <row r="1134" spans="5:24" x14ac:dyDescent="0.3">
      <c r="E1134" s="173"/>
      <c r="F1134" s="173"/>
      <c r="I1134"/>
      <c r="J1134"/>
      <c r="K1134"/>
      <c r="L1134"/>
      <c r="M1134"/>
      <c r="N1134"/>
      <c r="O1134"/>
      <c r="P1134" s="225"/>
      <c r="Q1134" s="225"/>
      <c r="R1134"/>
      <c r="S1134"/>
      <c r="T1134"/>
      <c r="U1134"/>
      <c r="V1134"/>
      <c r="W1134"/>
      <c r="X1134"/>
    </row>
    <row r="1135" spans="5:24" x14ac:dyDescent="0.3">
      <c r="E1135" s="173"/>
      <c r="F1135" s="173"/>
      <c r="I1135"/>
      <c r="J1135"/>
      <c r="K1135"/>
      <c r="L1135"/>
      <c r="M1135"/>
      <c r="N1135"/>
      <c r="O1135"/>
      <c r="P1135" s="225"/>
      <c r="Q1135" s="225"/>
      <c r="R1135"/>
      <c r="S1135"/>
      <c r="T1135"/>
      <c r="U1135"/>
      <c r="V1135"/>
      <c r="W1135"/>
      <c r="X1135"/>
    </row>
    <row r="1136" spans="5:24" x14ac:dyDescent="0.3">
      <c r="E1136" s="173"/>
      <c r="F1136" s="173"/>
      <c r="I1136"/>
      <c r="J1136"/>
      <c r="K1136"/>
      <c r="L1136"/>
      <c r="M1136"/>
      <c r="N1136"/>
      <c r="O1136"/>
      <c r="P1136" s="225"/>
      <c r="Q1136" s="225"/>
      <c r="R1136"/>
      <c r="S1136"/>
      <c r="T1136"/>
      <c r="U1136"/>
      <c r="V1136"/>
      <c r="W1136"/>
      <c r="X1136"/>
    </row>
    <row r="1137" spans="5:24" x14ac:dyDescent="0.3">
      <c r="E1137" s="173"/>
      <c r="F1137" s="173"/>
      <c r="I1137"/>
      <c r="J1137"/>
      <c r="K1137"/>
      <c r="L1137"/>
      <c r="M1137"/>
      <c r="N1137"/>
      <c r="O1137"/>
      <c r="P1137" s="225"/>
      <c r="Q1137" s="225"/>
      <c r="R1137"/>
      <c r="S1137"/>
      <c r="T1137"/>
      <c r="U1137"/>
      <c r="V1137"/>
      <c r="W1137"/>
      <c r="X1137"/>
    </row>
    <row r="1138" spans="5:24" x14ac:dyDescent="0.3">
      <c r="E1138" s="173"/>
      <c r="F1138" s="173"/>
      <c r="I1138"/>
      <c r="J1138"/>
      <c r="K1138"/>
      <c r="L1138"/>
      <c r="M1138"/>
      <c r="N1138"/>
      <c r="O1138"/>
      <c r="P1138" s="225"/>
      <c r="Q1138" s="225"/>
      <c r="R1138"/>
      <c r="S1138"/>
      <c r="T1138"/>
      <c r="U1138"/>
      <c r="V1138"/>
      <c r="W1138"/>
      <c r="X1138"/>
    </row>
    <row r="1139" spans="5:24" x14ac:dyDescent="0.3">
      <c r="E1139" s="173"/>
      <c r="F1139" s="173"/>
      <c r="I1139"/>
      <c r="J1139"/>
      <c r="K1139"/>
      <c r="L1139"/>
      <c r="M1139"/>
      <c r="N1139"/>
      <c r="O1139"/>
      <c r="P1139" s="225"/>
      <c r="Q1139" s="225"/>
      <c r="R1139"/>
      <c r="S1139"/>
      <c r="T1139"/>
      <c r="U1139"/>
      <c r="V1139"/>
      <c r="W1139"/>
      <c r="X1139"/>
    </row>
    <row r="1140" spans="5:24" x14ac:dyDescent="0.3">
      <c r="E1140" s="173"/>
      <c r="F1140" s="173"/>
      <c r="I1140"/>
      <c r="J1140"/>
      <c r="K1140"/>
      <c r="L1140"/>
      <c r="M1140"/>
      <c r="N1140"/>
      <c r="O1140"/>
      <c r="P1140" s="225"/>
      <c r="Q1140" s="225"/>
      <c r="R1140"/>
      <c r="S1140"/>
      <c r="T1140"/>
      <c r="U1140"/>
      <c r="V1140"/>
      <c r="W1140"/>
      <c r="X1140"/>
    </row>
    <row r="1141" spans="5:24" x14ac:dyDescent="0.3">
      <c r="E1141" s="173"/>
      <c r="F1141" s="173"/>
      <c r="I1141"/>
      <c r="J1141"/>
      <c r="K1141"/>
      <c r="L1141"/>
      <c r="M1141"/>
      <c r="N1141"/>
      <c r="O1141"/>
      <c r="P1141" s="225"/>
      <c r="Q1141" s="225"/>
      <c r="R1141"/>
      <c r="S1141"/>
      <c r="T1141"/>
      <c r="U1141"/>
      <c r="V1141"/>
      <c r="W1141"/>
      <c r="X1141"/>
    </row>
    <row r="1142" spans="5:24" x14ac:dyDescent="0.3">
      <c r="E1142" s="173"/>
      <c r="F1142" s="173"/>
      <c r="I1142"/>
      <c r="J1142"/>
      <c r="K1142"/>
      <c r="L1142"/>
      <c r="M1142"/>
      <c r="N1142"/>
      <c r="O1142"/>
      <c r="P1142" s="225"/>
      <c r="Q1142" s="225"/>
      <c r="R1142"/>
      <c r="S1142"/>
      <c r="T1142"/>
      <c r="U1142"/>
      <c r="V1142"/>
      <c r="W1142"/>
      <c r="X1142"/>
    </row>
    <row r="1143" spans="5:24" x14ac:dyDescent="0.3">
      <c r="E1143" s="173"/>
      <c r="F1143" s="173"/>
      <c r="I1143"/>
      <c r="J1143"/>
      <c r="K1143"/>
      <c r="L1143"/>
      <c r="M1143"/>
      <c r="N1143"/>
      <c r="O1143"/>
      <c r="P1143" s="225"/>
      <c r="Q1143" s="225"/>
      <c r="R1143"/>
      <c r="S1143"/>
      <c r="T1143"/>
      <c r="U1143"/>
      <c r="V1143"/>
      <c r="W1143"/>
      <c r="X1143"/>
    </row>
    <row r="1144" spans="5:24" x14ac:dyDescent="0.3">
      <c r="E1144" s="173"/>
      <c r="F1144" s="173"/>
      <c r="I1144"/>
      <c r="J1144"/>
      <c r="K1144"/>
      <c r="L1144"/>
      <c r="M1144"/>
      <c r="N1144"/>
      <c r="O1144"/>
      <c r="P1144" s="225"/>
      <c r="Q1144" s="225"/>
      <c r="R1144"/>
      <c r="S1144"/>
      <c r="T1144"/>
      <c r="U1144"/>
      <c r="V1144"/>
      <c r="W1144"/>
      <c r="X1144"/>
    </row>
    <row r="1145" spans="5:24" x14ac:dyDescent="0.3">
      <c r="E1145" s="173"/>
      <c r="F1145" s="173"/>
      <c r="I1145"/>
      <c r="J1145"/>
      <c r="K1145"/>
      <c r="L1145"/>
      <c r="M1145"/>
      <c r="N1145"/>
      <c r="O1145"/>
      <c r="P1145" s="225"/>
      <c r="Q1145" s="225"/>
      <c r="R1145"/>
      <c r="S1145"/>
      <c r="T1145"/>
      <c r="U1145"/>
      <c r="V1145"/>
      <c r="W1145"/>
      <c r="X1145"/>
    </row>
    <row r="1146" spans="5:24" x14ac:dyDescent="0.3">
      <c r="E1146" s="173"/>
      <c r="F1146" s="173"/>
      <c r="I1146"/>
      <c r="J1146"/>
      <c r="K1146"/>
      <c r="L1146"/>
      <c r="M1146"/>
      <c r="N1146"/>
      <c r="O1146"/>
      <c r="P1146" s="225"/>
      <c r="Q1146" s="225"/>
      <c r="R1146"/>
      <c r="S1146"/>
      <c r="T1146"/>
      <c r="U1146"/>
      <c r="V1146"/>
      <c r="W1146"/>
      <c r="X1146"/>
    </row>
    <row r="1147" spans="5:24" x14ac:dyDescent="0.3">
      <c r="E1147" s="173"/>
      <c r="F1147" s="173"/>
      <c r="I1147"/>
      <c r="J1147"/>
      <c r="K1147"/>
      <c r="L1147"/>
      <c r="M1147"/>
      <c r="N1147"/>
      <c r="O1147"/>
      <c r="P1147" s="225"/>
      <c r="Q1147" s="225"/>
      <c r="R1147"/>
      <c r="S1147"/>
      <c r="T1147"/>
      <c r="U1147"/>
      <c r="V1147"/>
      <c r="W1147"/>
      <c r="X1147"/>
    </row>
    <row r="1148" spans="5:24" x14ac:dyDescent="0.3">
      <c r="E1148" s="173"/>
      <c r="F1148" s="173"/>
      <c r="I1148"/>
      <c r="J1148"/>
      <c r="K1148"/>
      <c r="L1148"/>
      <c r="M1148"/>
      <c r="N1148"/>
      <c r="O1148"/>
      <c r="P1148" s="225"/>
      <c r="Q1148" s="225"/>
      <c r="R1148"/>
      <c r="S1148"/>
      <c r="T1148"/>
      <c r="U1148"/>
      <c r="V1148"/>
      <c r="W1148"/>
      <c r="X1148"/>
    </row>
    <row r="1149" spans="5:24" x14ac:dyDescent="0.3">
      <c r="E1149" s="173"/>
      <c r="F1149" s="173"/>
      <c r="I1149"/>
      <c r="J1149"/>
      <c r="K1149"/>
      <c r="L1149"/>
      <c r="M1149"/>
      <c r="N1149"/>
      <c r="O1149"/>
      <c r="P1149" s="225"/>
      <c r="Q1149" s="225"/>
      <c r="R1149"/>
      <c r="S1149"/>
      <c r="T1149"/>
      <c r="U1149"/>
      <c r="V1149"/>
      <c r="W1149"/>
      <c r="X1149"/>
    </row>
    <row r="1150" spans="5:24" x14ac:dyDescent="0.3">
      <c r="E1150" s="173"/>
      <c r="F1150" s="173"/>
      <c r="I1150"/>
      <c r="J1150"/>
      <c r="K1150"/>
      <c r="L1150"/>
      <c r="M1150"/>
      <c r="N1150"/>
      <c r="O1150"/>
      <c r="P1150" s="225"/>
      <c r="Q1150" s="225"/>
      <c r="R1150"/>
      <c r="S1150"/>
      <c r="T1150"/>
      <c r="U1150"/>
      <c r="V1150"/>
      <c r="W1150"/>
      <c r="X1150"/>
    </row>
    <row r="1151" spans="5:24" x14ac:dyDescent="0.3">
      <c r="E1151" s="173"/>
      <c r="F1151" s="173"/>
      <c r="I1151"/>
      <c r="J1151"/>
      <c r="K1151"/>
      <c r="L1151"/>
      <c r="M1151"/>
      <c r="N1151"/>
      <c r="O1151"/>
      <c r="P1151" s="225"/>
      <c r="Q1151" s="225"/>
      <c r="R1151"/>
      <c r="S1151"/>
      <c r="T1151"/>
      <c r="U1151"/>
      <c r="V1151"/>
      <c r="W1151"/>
      <c r="X1151"/>
    </row>
    <row r="1152" spans="5:24" x14ac:dyDescent="0.3">
      <c r="E1152" s="173"/>
      <c r="F1152" s="173"/>
      <c r="I1152"/>
      <c r="J1152"/>
      <c r="K1152"/>
      <c r="L1152"/>
      <c r="M1152"/>
      <c r="N1152"/>
      <c r="O1152"/>
      <c r="P1152" s="225"/>
      <c r="Q1152" s="225"/>
      <c r="R1152"/>
      <c r="S1152"/>
      <c r="T1152"/>
      <c r="U1152"/>
      <c r="V1152"/>
      <c r="W1152"/>
      <c r="X1152"/>
    </row>
    <row r="1153" spans="5:24" x14ac:dyDescent="0.3">
      <c r="E1153" s="173"/>
      <c r="F1153" s="173"/>
      <c r="I1153"/>
      <c r="J1153"/>
      <c r="K1153"/>
      <c r="L1153"/>
      <c r="M1153"/>
      <c r="N1153"/>
      <c r="O1153"/>
      <c r="P1153" s="225"/>
      <c r="Q1153" s="225"/>
      <c r="R1153"/>
      <c r="S1153"/>
      <c r="T1153"/>
      <c r="U1153"/>
      <c r="V1153"/>
      <c r="W1153"/>
      <c r="X1153"/>
    </row>
    <row r="1154" spans="5:24" x14ac:dyDescent="0.3">
      <c r="E1154" s="173"/>
      <c r="F1154" s="173"/>
      <c r="I1154"/>
      <c r="J1154"/>
      <c r="K1154"/>
      <c r="L1154"/>
      <c r="M1154"/>
      <c r="N1154"/>
      <c r="O1154"/>
      <c r="P1154" s="225"/>
      <c r="Q1154" s="225"/>
      <c r="R1154"/>
      <c r="S1154"/>
      <c r="T1154"/>
      <c r="U1154"/>
      <c r="V1154"/>
      <c r="W1154"/>
      <c r="X1154"/>
    </row>
    <row r="1155" spans="5:24" x14ac:dyDescent="0.3">
      <c r="E1155" s="173"/>
      <c r="F1155" s="173"/>
      <c r="I1155"/>
      <c r="J1155"/>
      <c r="K1155"/>
      <c r="L1155"/>
      <c r="M1155"/>
      <c r="N1155"/>
      <c r="O1155"/>
      <c r="P1155" s="225"/>
      <c r="Q1155" s="225"/>
      <c r="R1155"/>
      <c r="S1155"/>
      <c r="T1155"/>
      <c r="U1155"/>
      <c r="V1155"/>
      <c r="W1155"/>
      <c r="X1155"/>
    </row>
    <row r="1156" spans="5:24" x14ac:dyDescent="0.3">
      <c r="E1156" s="173"/>
      <c r="F1156" s="173"/>
      <c r="I1156"/>
      <c r="J1156"/>
      <c r="K1156"/>
      <c r="L1156"/>
      <c r="M1156"/>
      <c r="N1156"/>
      <c r="O1156"/>
      <c r="P1156" s="225"/>
      <c r="Q1156" s="225"/>
      <c r="R1156"/>
      <c r="S1156"/>
      <c r="T1156"/>
      <c r="U1156"/>
      <c r="V1156"/>
      <c r="W1156"/>
      <c r="X1156"/>
    </row>
    <row r="1157" spans="5:24" x14ac:dyDescent="0.3">
      <c r="E1157" s="173"/>
      <c r="F1157" s="173"/>
      <c r="I1157"/>
      <c r="J1157"/>
      <c r="K1157"/>
      <c r="L1157"/>
      <c r="M1157"/>
      <c r="N1157"/>
      <c r="O1157"/>
      <c r="P1157" s="225"/>
      <c r="Q1157" s="225"/>
      <c r="R1157"/>
      <c r="S1157"/>
      <c r="T1157"/>
      <c r="U1157"/>
      <c r="V1157"/>
      <c r="W1157"/>
      <c r="X1157"/>
    </row>
    <row r="1158" spans="5:24" x14ac:dyDescent="0.3">
      <c r="E1158" s="173"/>
      <c r="F1158" s="173"/>
      <c r="I1158"/>
      <c r="J1158"/>
      <c r="K1158"/>
      <c r="L1158"/>
      <c r="M1158"/>
      <c r="N1158"/>
      <c r="O1158"/>
      <c r="P1158" s="225"/>
      <c r="Q1158" s="225"/>
      <c r="R1158"/>
      <c r="S1158"/>
      <c r="T1158"/>
      <c r="U1158"/>
      <c r="V1158"/>
      <c r="W1158"/>
      <c r="X1158"/>
    </row>
    <row r="1159" spans="5:24" x14ac:dyDescent="0.3">
      <c r="E1159" s="173"/>
      <c r="F1159" s="173"/>
      <c r="I1159"/>
      <c r="J1159"/>
      <c r="K1159"/>
      <c r="L1159"/>
      <c r="M1159"/>
      <c r="N1159"/>
      <c r="O1159"/>
      <c r="P1159" s="225"/>
      <c r="Q1159" s="225"/>
      <c r="R1159"/>
      <c r="S1159"/>
      <c r="T1159"/>
      <c r="U1159"/>
      <c r="V1159"/>
      <c r="W1159"/>
      <c r="X1159"/>
    </row>
    <row r="1160" spans="5:24" x14ac:dyDescent="0.3">
      <c r="E1160" s="173"/>
      <c r="F1160" s="173"/>
      <c r="I1160"/>
      <c r="J1160"/>
      <c r="K1160"/>
      <c r="L1160"/>
      <c r="M1160"/>
      <c r="N1160"/>
      <c r="O1160"/>
      <c r="P1160" s="225"/>
      <c r="Q1160" s="225"/>
      <c r="R1160"/>
      <c r="S1160"/>
      <c r="T1160"/>
      <c r="U1160"/>
      <c r="V1160"/>
      <c r="W1160"/>
      <c r="X1160"/>
    </row>
    <row r="1161" spans="5:24" x14ac:dyDescent="0.3">
      <c r="E1161" s="173"/>
      <c r="F1161" s="173"/>
      <c r="I1161"/>
      <c r="J1161"/>
      <c r="K1161"/>
      <c r="L1161"/>
      <c r="M1161"/>
      <c r="N1161"/>
      <c r="O1161"/>
      <c r="P1161" s="225"/>
      <c r="Q1161" s="225"/>
      <c r="R1161"/>
      <c r="S1161"/>
      <c r="T1161"/>
      <c r="U1161"/>
      <c r="V1161"/>
      <c r="W1161"/>
      <c r="X1161"/>
    </row>
    <row r="1162" spans="5:24" x14ac:dyDescent="0.3">
      <c r="E1162" s="173"/>
      <c r="F1162" s="173"/>
      <c r="I1162"/>
      <c r="J1162"/>
      <c r="K1162"/>
      <c r="L1162"/>
      <c r="M1162"/>
      <c r="N1162"/>
      <c r="O1162"/>
      <c r="P1162" s="225"/>
      <c r="Q1162" s="225"/>
      <c r="R1162"/>
      <c r="S1162"/>
      <c r="T1162"/>
      <c r="U1162"/>
      <c r="V1162"/>
      <c r="W1162"/>
      <c r="X1162"/>
    </row>
    <row r="1163" spans="5:24" x14ac:dyDescent="0.3">
      <c r="E1163" s="173"/>
      <c r="F1163" s="173"/>
      <c r="I1163"/>
      <c r="J1163"/>
      <c r="K1163"/>
      <c r="L1163"/>
      <c r="M1163"/>
      <c r="N1163"/>
      <c r="O1163"/>
      <c r="P1163" s="225"/>
      <c r="Q1163" s="225"/>
      <c r="R1163"/>
      <c r="S1163"/>
      <c r="T1163"/>
      <c r="U1163"/>
      <c r="V1163"/>
      <c r="W1163"/>
      <c r="X1163"/>
    </row>
    <row r="1164" spans="5:24" x14ac:dyDescent="0.3">
      <c r="E1164" s="173"/>
      <c r="F1164" s="173"/>
      <c r="I1164"/>
      <c r="J1164"/>
      <c r="K1164"/>
      <c r="L1164"/>
      <c r="M1164"/>
      <c r="N1164"/>
      <c r="O1164"/>
      <c r="P1164" s="225"/>
      <c r="Q1164" s="225"/>
      <c r="R1164"/>
      <c r="S1164"/>
      <c r="T1164"/>
      <c r="U1164"/>
      <c r="V1164"/>
      <c r="W1164"/>
      <c r="X1164"/>
    </row>
    <row r="1165" spans="5:24" x14ac:dyDescent="0.3">
      <c r="E1165" s="173"/>
      <c r="F1165" s="173"/>
      <c r="I1165"/>
      <c r="J1165"/>
      <c r="K1165"/>
      <c r="L1165"/>
      <c r="M1165"/>
      <c r="N1165"/>
      <c r="O1165"/>
      <c r="P1165" s="225"/>
      <c r="Q1165" s="225"/>
      <c r="R1165"/>
      <c r="S1165"/>
      <c r="T1165"/>
      <c r="U1165"/>
      <c r="V1165"/>
      <c r="W1165"/>
      <c r="X1165"/>
    </row>
    <row r="1166" spans="5:24" x14ac:dyDescent="0.3">
      <c r="E1166" s="173"/>
      <c r="F1166" s="173"/>
      <c r="I1166"/>
      <c r="J1166"/>
      <c r="K1166"/>
      <c r="L1166"/>
      <c r="M1166"/>
      <c r="N1166"/>
      <c r="O1166"/>
      <c r="P1166" s="225"/>
      <c r="Q1166" s="225"/>
      <c r="R1166"/>
      <c r="S1166"/>
      <c r="T1166"/>
      <c r="U1166"/>
      <c r="V1166"/>
      <c r="W1166"/>
      <c r="X1166"/>
    </row>
    <row r="1167" spans="5:24" x14ac:dyDescent="0.3">
      <c r="E1167" s="173"/>
      <c r="F1167" s="173"/>
      <c r="I1167"/>
      <c r="J1167"/>
      <c r="K1167"/>
      <c r="L1167"/>
      <c r="M1167"/>
      <c r="N1167"/>
      <c r="O1167"/>
      <c r="P1167" s="225"/>
      <c r="Q1167" s="225"/>
      <c r="R1167"/>
      <c r="S1167"/>
      <c r="T1167"/>
      <c r="U1167"/>
      <c r="V1167"/>
      <c r="W1167"/>
      <c r="X1167"/>
    </row>
    <row r="1168" spans="5:24" x14ac:dyDescent="0.3">
      <c r="E1168" s="173"/>
      <c r="F1168" s="173"/>
      <c r="I1168"/>
      <c r="J1168"/>
      <c r="K1168"/>
      <c r="L1168"/>
      <c r="M1168"/>
      <c r="N1168"/>
      <c r="O1168"/>
      <c r="P1168" s="225"/>
      <c r="Q1168" s="225"/>
      <c r="R1168"/>
      <c r="S1168"/>
      <c r="T1168"/>
      <c r="U1168"/>
      <c r="V1168"/>
      <c r="W1168"/>
      <c r="X1168"/>
    </row>
    <row r="1169" spans="5:24" x14ac:dyDescent="0.3">
      <c r="E1169" s="173"/>
      <c r="F1169" s="173"/>
      <c r="I1169"/>
      <c r="J1169"/>
      <c r="K1169"/>
      <c r="L1169"/>
      <c r="M1169"/>
      <c r="N1169"/>
      <c r="O1169"/>
      <c r="P1169" s="225"/>
      <c r="Q1169" s="225"/>
      <c r="R1169"/>
      <c r="S1169"/>
      <c r="T1169"/>
      <c r="U1169"/>
      <c r="V1169"/>
      <c r="W1169"/>
      <c r="X1169"/>
    </row>
    <row r="1170" spans="5:24" x14ac:dyDescent="0.3">
      <c r="E1170" s="173"/>
      <c r="F1170" s="173"/>
      <c r="I1170"/>
      <c r="J1170"/>
      <c r="K1170"/>
      <c r="L1170"/>
      <c r="M1170"/>
      <c r="N1170"/>
      <c r="O1170"/>
      <c r="P1170" s="225"/>
      <c r="Q1170" s="225"/>
      <c r="R1170"/>
      <c r="S1170"/>
      <c r="T1170"/>
      <c r="U1170"/>
      <c r="V1170"/>
      <c r="W1170"/>
      <c r="X1170"/>
    </row>
    <row r="1171" spans="5:24" x14ac:dyDescent="0.3">
      <c r="E1171" s="173"/>
      <c r="F1171" s="173"/>
      <c r="I1171"/>
      <c r="J1171"/>
      <c r="K1171"/>
      <c r="L1171"/>
      <c r="M1171"/>
      <c r="N1171"/>
      <c r="O1171"/>
      <c r="P1171" s="225"/>
      <c r="Q1171" s="225"/>
      <c r="R1171"/>
      <c r="S1171"/>
      <c r="T1171"/>
      <c r="U1171"/>
      <c r="V1171"/>
      <c r="W1171"/>
      <c r="X1171"/>
    </row>
    <row r="1172" spans="5:24" x14ac:dyDescent="0.3">
      <c r="E1172" s="173"/>
      <c r="F1172" s="173"/>
      <c r="I1172"/>
      <c r="J1172"/>
      <c r="K1172"/>
      <c r="L1172"/>
      <c r="M1172"/>
      <c r="N1172"/>
      <c r="O1172"/>
      <c r="P1172" s="225"/>
      <c r="Q1172" s="225"/>
      <c r="R1172"/>
      <c r="S1172"/>
      <c r="T1172"/>
      <c r="U1172"/>
      <c r="V1172"/>
      <c r="W1172"/>
      <c r="X1172"/>
    </row>
    <row r="1173" spans="5:24" x14ac:dyDescent="0.3">
      <c r="E1173" s="173"/>
      <c r="F1173" s="173"/>
      <c r="I1173"/>
      <c r="J1173"/>
      <c r="K1173"/>
      <c r="L1173"/>
      <c r="M1173"/>
      <c r="N1173"/>
      <c r="O1173"/>
      <c r="P1173" s="225"/>
      <c r="Q1173" s="225"/>
      <c r="R1173"/>
      <c r="S1173"/>
      <c r="T1173"/>
      <c r="U1173"/>
      <c r="V1173"/>
      <c r="W1173"/>
      <c r="X1173"/>
    </row>
    <row r="1174" spans="5:24" x14ac:dyDescent="0.3">
      <c r="E1174" s="173"/>
      <c r="F1174" s="173"/>
      <c r="I1174"/>
      <c r="J1174"/>
      <c r="K1174"/>
      <c r="L1174"/>
      <c r="M1174"/>
      <c r="N1174"/>
      <c r="O1174"/>
      <c r="P1174" s="225"/>
      <c r="Q1174" s="225"/>
      <c r="R1174"/>
      <c r="S1174"/>
      <c r="T1174"/>
      <c r="U1174"/>
      <c r="V1174"/>
      <c r="W1174"/>
      <c r="X1174"/>
    </row>
    <row r="1175" spans="5:24" x14ac:dyDescent="0.3">
      <c r="E1175" s="173"/>
      <c r="F1175" s="173"/>
      <c r="I1175"/>
      <c r="J1175"/>
      <c r="K1175"/>
      <c r="L1175"/>
      <c r="M1175"/>
      <c r="N1175"/>
      <c r="O1175"/>
      <c r="P1175" s="225"/>
      <c r="Q1175" s="225"/>
      <c r="R1175"/>
      <c r="S1175"/>
      <c r="T1175"/>
      <c r="U1175"/>
      <c r="V1175"/>
      <c r="W1175"/>
      <c r="X1175"/>
    </row>
    <row r="1176" spans="5:24" x14ac:dyDescent="0.3">
      <c r="E1176" s="173"/>
      <c r="F1176" s="173"/>
      <c r="I1176"/>
      <c r="J1176"/>
      <c r="K1176"/>
      <c r="L1176"/>
      <c r="M1176"/>
      <c r="N1176"/>
      <c r="O1176"/>
      <c r="P1176" s="225"/>
      <c r="Q1176" s="225"/>
      <c r="R1176"/>
      <c r="S1176"/>
      <c r="T1176"/>
      <c r="U1176"/>
      <c r="V1176"/>
      <c r="W1176"/>
      <c r="X1176"/>
    </row>
    <row r="1177" spans="5:24" x14ac:dyDescent="0.3">
      <c r="E1177" s="173"/>
      <c r="F1177" s="173"/>
      <c r="I1177"/>
      <c r="J1177"/>
      <c r="K1177"/>
      <c r="L1177"/>
      <c r="M1177"/>
      <c r="N1177"/>
      <c r="O1177"/>
      <c r="P1177" s="225"/>
      <c r="Q1177" s="225"/>
      <c r="R1177"/>
      <c r="S1177"/>
      <c r="T1177"/>
      <c r="U1177"/>
      <c r="V1177"/>
      <c r="W1177"/>
      <c r="X1177"/>
    </row>
    <row r="1178" spans="5:24" x14ac:dyDescent="0.3">
      <c r="E1178" s="173"/>
      <c r="F1178" s="173"/>
      <c r="I1178"/>
      <c r="J1178"/>
      <c r="K1178"/>
      <c r="L1178"/>
      <c r="M1178"/>
      <c r="N1178"/>
      <c r="O1178"/>
      <c r="P1178" s="225"/>
      <c r="Q1178" s="225"/>
      <c r="R1178"/>
      <c r="S1178"/>
      <c r="T1178"/>
      <c r="U1178"/>
      <c r="V1178"/>
      <c r="W1178"/>
      <c r="X1178"/>
    </row>
    <row r="1179" spans="5:24" x14ac:dyDescent="0.3">
      <c r="E1179" s="173"/>
      <c r="F1179" s="173"/>
      <c r="I1179"/>
      <c r="J1179"/>
      <c r="K1179"/>
      <c r="L1179"/>
      <c r="M1179"/>
      <c r="N1179"/>
      <c r="O1179"/>
      <c r="P1179" s="225"/>
      <c r="Q1179" s="225"/>
      <c r="R1179"/>
      <c r="S1179"/>
      <c r="T1179"/>
      <c r="U1179"/>
      <c r="V1179"/>
      <c r="W1179"/>
      <c r="X1179"/>
    </row>
    <row r="1180" spans="5:24" x14ac:dyDescent="0.3">
      <c r="E1180" s="173"/>
      <c r="F1180" s="173"/>
      <c r="I1180"/>
      <c r="J1180"/>
      <c r="K1180"/>
      <c r="L1180"/>
      <c r="M1180"/>
      <c r="N1180"/>
      <c r="O1180"/>
      <c r="P1180" s="225"/>
      <c r="Q1180" s="225"/>
      <c r="R1180"/>
      <c r="S1180"/>
      <c r="T1180"/>
      <c r="U1180"/>
      <c r="V1180"/>
      <c r="W1180"/>
      <c r="X1180"/>
    </row>
    <row r="1181" spans="5:24" x14ac:dyDescent="0.3">
      <c r="E1181" s="173"/>
      <c r="F1181" s="173"/>
      <c r="I1181"/>
      <c r="J1181"/>
      <c r="K1181"/>
      <c r="L1181"/>
      <c r="M1181"/>
      <c r="N1181"/>
      <c r="O1181"/>
      <c r="P1181" s="225"/>
      <c r="Q1181" s="225"/>
      <c r="R1181"/>
      <c r="S1181"/>
      <c r="T1181"/>
      <c r="U1181"/>
      <c r="V1181"/>
      <c r="W1181"/>
      <c r="X1181"/>
    </row>
    <row r="1182" spans="5:24" x14ac:dyDescent="0.3">
      <c r="E1182" s="173"/>
      <c r="F1182" s="173"/>
      <c r="I1182"/>
      <c r="J1182"/>
      <c r="K1182"/>
      <c r="L1182"/>
      <c r="M1182"/>
      <c r="N1182"/>
      <c r="O1182"/>
      <c r="P1182" s="225"/>
      <c r="Q1182" s="225"/>
      <c r="R1182"/>
      <c r="S1182"/>
      <c r="T1182"/>
      <c r="U1182"/>
      <c r="V1182"/>
      <c r="W1182"/>
      <c r="X1182"/>
    </row>
    <row r="1183" spans="5:24" x14ac:dyDescent="0.3">
      <c r="E1183" s="173"/>
      <c r="F1183" s="173"/>
      <c r="I1183"/>
      <c r="J1183"/>
      <c r="K1183"/>
      <c r="L1183"/>
      <c r="M1183"/>
      <c r="N1183"/>
      <c r="O1183"/>
      <c r="P1183" s="225"/>
      <c r="Q1183" s="225"/>
      <c r="R1183"/>
      <c r="S1183"/>
      <c r="T1183"/>
      <c r="U1183"/>
      <c r="V1183"/>
      <c r="W1183"/>
      <c r="X1183"/>
    </row>
    <row r="1184" spans="5:24" x14ac:dyDescent="0.3">
      <c r="E1184" s="173"/>
      <c r="F1184" s="173"/>
      <c r="I1184"/>
      <c r="J1184"/>
      <c r="K1184"/>
      <c r="L1184"/>
      <c r="M1184"/>
      <c r="N1184"/>
      <c r="O1184"/>
      <c r="P1184" s="225"/>
      <c r="Q1184" s="225"/>
      <c r="R1184"/>
      <c r="S1184"/>
      <c r="T1184"/>
      <c r="U1184"/>
      <c r="V1184"/>
      <c r="W1184"/>
      <c r="X1184"/>
    </row>
    <row r="1185" spans="5:24" x14ac:dyDescent="0.3">
      <c r="E1185" s="173"/>
      <c r="F1185" s="173"/>
      <c r="I1185"/>
      <c r="J1185"/>
      <c r="K1185"/>
      <c r="L1185"/>
      <c r="M1185"/>
      <c r="N1185"/>
      <c r="O1185"/>
      <c r="P1185" s="225"/>
      <c r="Q1185" s="225"/>
      <c r="R1185"/>
      <c r="S1185"/>
      <c r="T1185"/>
      <c r="U1185"/>
      <c r="V1185"/>
      <c r="W1185"/>
      <c r="X1185"/>
    </row>
    <row r="1186" spans="5:24" x14ac:dyDescent="0.3">
      <c r="E1186" s="173"/>
      <c r="F1186" s="173"/>
      <c r="I1186"/>
      <c r="J1186"/>
      <c r="K1186"/>
      <c r="L1186"/>
      <c r="M1186"/>
      <c r="N1186"/>
      <c r="O1186"/>
      <c r="P1186" s="225"/>
      <c r="Q1186" s="225"/>
      <c r="R1186"/>
      <c r="S1186"/>
      <c r="T1186"/>
      <c r="U1186"/>
      <c r="V1186"/>
      <c r="W1186"/>
      <c r="X1186"/>
    </row>
    <row r="1187" spans="5:24" x14ac:dyDescent="0.3">
      <c r="E1187" s="173"/>
      <c r="F1187" s="173"/>
      <c r="I1187"/>
      <c r="J1187"/>
      <c r="K1187"/>
      <c r="L1187"/>
      <c r="M1187"/>
      <c r="N1187"/>
      <c r="O1187"/>
      <c r="P1187" s="225"/>
      <c r="Q1187" s="225"/>
      <c r="R1187"/>
      <c r="S1187"/>
      <c r="T1187"/>
      <c r="U1187"/>
      <c r="V1187"/>
      <c r="W1187"/>
      <c r="X1187"/>
    </row>
    <row r="1188" spans="5:24" x14ac:dyDescent="0.3">
      <c r="E1188" s="173"/>
      <c r="F1188" s="173"/>
      <c r="I1188"/>
      <c r="J1188"/>
      <c r="K1188"/>
      <c r="L1188"/>
      <c r="M1188"/>
      <c r="N1188"/>
      <c r="O1188"/>
      <c r="P1188" s="225"/>
      <c r="Q1188" s="225"/>
      <c r="R1188"/>
      <c r="S1188"/>
      <c r="T1188"/>
      <c r="U1188"/>
      <c r="V1188"/>
      <c r="W1188"/>
      <c r="X1188"/>
    </row>
    <row r="1189" spans="5:24" x14ac:dyDescent="0.3">
      <c r="E1189" s="173"/>
      <c r="F1189" s="173"/>
      <c r="I1189"/>
      <c r="J1189"/>
      <c r="K1189"/>
      <c r="L1189"/>
      <c r="M1189"/>
      <c r="N1189"/>
      <c r="O1189"/>
      <c r="P1189" s="225"/>
      <c r="Q1189" s="225"/>
      <c r="R1189"/>
      <c r="S1189"/>
      <c r="T1189"/>
      <c r="U1189"/>
      <c r="V1189"/>
      <c r="W1189"/>
      <c r="X1189"/>
    </row>
    <row r="1190" spans="5:24" x14ac:dyDescent="0.3">
      <c r="E1190" s="173"/>
      <c r="F1190" s="173"/>
      <c r="I1190"/>
      <c r="J1190"/>
      <c r="K1190"/>
      <c r="L1190"/>
      <c r="M1190"/>
      <c r="N1190"/>
      <c r="O1190"/>
      <c r="P1190" s="225"/>
      <c r="Q1190" s="225"/>
      <c r="R1190"/>
      <c r="S1190"/>
      <c r="T1190"/>
      <c r="U1190"/>
      <c r="V1190"/>
      <c r="W1190"/>
      <c r="X1190"/>
    </row>
    <row r="1191" spans="5:24" x14ac:dyDescent="0.3">
      <c r="E1191" s="173"/>
      <c r="F1191" s="173"/>
      <c r="I1191"/>
      <c r="J1191"/>
      <c r="K1191"/>
      <c r="L1191"/>
      <c r="M1191"/>
      <c r="N1191"/>
      <c r="O1191"/>
      <c r="P1191" s="225"/>
      <c r="Q1191" s="225"/>
      <c r="R1191"/>
      <c r="S1191"/>
      <c r="T1191"/>
      <c r="U1191"/>
      <c r="V1191"/>
      <c r="W1191"/>
      <c r="X1191"/>
    </row>
    <row r="1192" spans="5:24" x14ac:dyDescent="0.3">
      <c r="E1192" s="173"/>
      <c r="F1192" s="173"/>
      <c r="I1192"/>
      <c r="J1192"/>
      <c r="K1192"/>
      <c r="L1192"/>
      <c r="M1192"/>
      <c r="N1192"/>
      <c r="O1192"/>
      <c r="P1192" s="225"/>
      <c r="Q1192" s="225"/>
      <c r="R1192"/>
      <c r="S1192"/>
      <c r="T1192"/>
      <c r="U1192"/>
      <c r="V1192"/>
      <c r="W1192"/>
      <c r="X1192"/>
    </row>
    <row r="1193" spans="5:24" x14ac:dyDescent="0.3">
      <c r="E1193" s="173"/>
      <c r="F1193" s="173"/>
      <c r="I1193"/>
      <c r="J1193"/>
      <c r="K1193"/>
      <c r="L1193"/>
      <c r="M1193"/>
      <c r="N1193"/>
      <c r="O1193"/>
      <c r="P1193" s="225"/>
      <c r="Q1193" s="225"/>
      <c r="R1193"/>
      <c r="S1193"/>
      <c r="T1193"/>
      <c r="U1193"/>
      <c r="V1193"/>
      <c r="W1193"/>
      <c r="X1193"/>
    </row>
    <row r="1194" spans="5:24" x14ac:dyDescent="0.3">
      <c r="E1194" s="173"/>
      <c r="F1194" s="173"/>
      <c r="I1194"/>
      <c r="J1194"/>
      <c r="K1194"/>
      <c r="L1194"/>
      <c r="M1194"/>
      <c r="N1194"/>
      <c r="O1194"/>
      <c r="P1194" s="225"/>
      <c r="Q1194" s="225"/>
      <c r="R1194"/>
      <c r="S1194"/>
      <c r="T1194"/>
      <c r="U1194"/>
      <c r="V1194"/>
      <c r="W1194"/>
      <c r="X1194"/>
    </row>
    <row r="1195" spans="5:24" x14ac:dyDescent="0.3">
      <c r="E1195" s="173"/>
      <c r="F1195" s="173"/>
      <c r="I1195"/>
      <c r="J1195"/>
      <c r="K1195"/>
      <c r="L1195"/>
      <c r="M1195"/>
      <c r="N1195"/>
      <c r="O1195"/>
      <c r="P1195" s="225"/>
      <c r="Q1195" s="225"/>
      <c r="R1195"/>
      <c r="S1195"/>
      <c r="T1195"/>
      <c r="U1195"/>
      <c r="V1195"/>
      <c r="W1195"/>
      <c r="X1195"/>
    </row>
    <row r="1196" spans="5:24" x14ac:dyDescent="0.3">
      <c r="E1196" s="173"/>
      <c r="F1196" s="173"/>
      <c r="I1196"/>
      <c r="J1196"/>
      <c r="K1196"/>
      <c r="L1196"/>
      <c r="M1196"/>
      <c r="N1196"/>
      <c r="O1196"/>
      <c r="P1196" s="225"/>
      <c r="Q1196" s="225"/>
      <c r="R1196"/>
      <c r="S1196"/>
      <c r="T1196"/>
      <c r="U1196"/>
      <c r="V1196"/>
      <c r="W1196"/>
      <c r="X1196"/>
    </row>
    <row r="1197" spans="5:24" x14ac:dyDescent="0.3">
      <c r="E1197" s="173"/>
      <c r="F1197" s="173"/>
      <c r="I1197"/>
      <c r="J1197"/>
      <c r="K1197"/>
      <c r="L1197"/>
      <c r="M1197"/>
      <c r="N1197"/>
      <c r="O1197"/>
      <c r="P1197" s="225"/>
      <c r="Q1197" s="225"/>
      <c r="R1197"/>
      <c r="S1197"/>
      <c r="T1197"/>
      <c r="U1197"/>
      <c r="V1197"/>
      <c r="W1197"/>
      <c r="X1197"/>
    </row>
    <row r="1198" spans="5:24" x14ac:dyDescent="0.3">
      <c r="E1198" s="173"/>
      <c r="F1198" s="173"/>
      <c r="I1198"/>
      <c r="J1198"/>
      <c r="K1198"/>
      <c r="L1198"/>
      <c r="M1198"/>
      <c r="N1198"/>
      <c r="O1198"/>
      <c r="P1198" s="225"/>
      <c r="Q1198" s="225"/>
      <c r="R1198"/>
      <c r="S1198"/>
      <c r="T1198"/>
      <c r="U1198"/>
      <c r="V1198"/>
      <c r="W1198"/>
      <c r="X1198"/>
    </row>
    <row r="1199" spans="5:24" x14ac:dyDescent="0.3">
      <c r="E1199" s="173"/>
      <c r="F1199" s="173"/>
      <c r="I1199"/>
      <c r="J1199"/>
      <c r="K1199"/>
      <c r="L1199"/>
      <c r="M1199"/>
      <c r="N1199"/>
      <c r="O1199"/>
      <c r="P1199" s="225"/>
      <c r="Q1199" s="225"/>
      <c r="R1199"/>
      <c r="S1199"/>
      <c r="T1199"/>
      <c r="U1199"/>
      <c r="V1199"/>
      <c r="W1199"/>
      <c r="X1199"/>
    </row>
    <row r="1200" spans="5:24" x14ac:dyDescent="0.3">
      <c r="E1200" s="173"/>
      <c r="F1200" s="173"/>
      <c r="I1200"/>
      <c r="J1200"/>
      <c r="K1200"/>
      <c r="L1200"/>
      <c r="M1200"/>
      <c r="N1200"/>
      <c r="O1200"/>
      <c r="P1200" s="225"/>
      <c r="Q1200" s="225"/>
      <c r="R1200"/>
      <c r="S1200"/>
      <c r="T1200"/>
      <c r="U1200"/>
      <c r="V1200"/>
      <c r="W1200"/>
      <c r="X1200"/>
    </row>
    <row r="1201" spans="5:24" x14ac:dyDescent="0.3">
      <c r="E1201" s="173"/>
      <c r="F1201" s="173"/>
      <c r="I1201"/>
      <c r="J1201"/>
      <c r="K1201"/>
      <c r="L1201"/>
      <c r="M1201"/>
      <c r="N1201"/>
      <c r="O1201"/>
      <c r="P1201" s="225"/>
      <c r="Q1201" s="225"/>
      <c r="R1201"/>
      <c r="S1201"/>
      <c r="T1201"/>
      <c r="U1201"/>
      <c r="V1201"/>
      <c r="W1201"/>
      <c r="X1201"/>
    </row>
    <row r="1202" spans="5:24" x14ac:dyDescent="0.3">
      <c r="E1202" s="173"/>
      <c r="F1202" s="173"/>
      <c r="I1202"/>
      <c r="J1202"/>
      <c r="K1202"/>
      <c r="L1202"/>
      <c r="M1202"/>
      <c r="N1202"/>
      <c r="O1202"/>
      <c r="P1202" s="225"/>
      <c r="Q1202" s="225"/>
      <c r="R1202"/>
      <c r="S1202"/>
      <c r="T1202"/>
      <c r="U1202"/>
      <c r="V1202"/>
      <c r="W1202"/>
      <c r="X1202"/>
    </row>
    <row r="1203" spans="5:24" x14ac:dyDescent="0.3">
      <c r="E1203" s="173"/>
      <c r="F1203" s="173"/>
      <c r="I1203"/>
      <c r="J1203"/>
      <c r="K1203"/>
      <c r="L1203"/>
      <c r="M1203"/>
      <c r="N1203"/>
      <c r="O1203"/>
      <c r="P1203" s="225"/>
      <c r="Q1203" s="225"/>
      <c r="R1203"/>
      <c r="S1203"/>
      <c r="T1203"/>
      <c r="U1203"/>
      <c r="V1203"/>
      <c r="W1203"/>
      <c r="X1203"/>
    </row>
    <row r="1204" spans="5:24" x14ac:dyDescent="0.3">
      <c r="E1204" s="173"/>
      <c r="F1204" s="173"/>
      <c r="I1204"/>
      <c r="J1204"/>
      <c r="K1204"/>
      <c r="L1204"/>
      <c r="M1204"/>
      <c r="N1204"/>
      <c r="O1204"/>
      <c r="P1204" s="225"/>
      <c r="Q1204" s="225"/>
      <c r="R1204"/>
      <c r="S1204"/>
      <c r="T1204"/>
      <c r="U1204"/>
      <c r="V1204"/>
      <c r="W1204"/>
      <c r="X1204"/>
    </row>
    <row r="1205" spans="5:24" x14ac:dyDescent="0.3">
      <c r="E1205" s="173"/>
      <c r="F1205" s="173"/>
      <c r="I1205"/>
      <c r="J1205"/>
      <c r="K1205"/>
      <c r="L1205"/>
      <c r="M1205"/>
      <c r="N1205"/>
      <c r="O1205"/>
      <c r="P1205" s="225"/>
      <c r="Q1205" s="225"/>
      <c r="R1205"/>
      <c r="S1205"/>
      <c r="T1205"/>
      <c r="U1205"/>
      <c r="V1205"/>
      <c r="W1205"/>
      <c r="X1205"/>
    </row>
    <row r="1206" spans="5:24" x14ac:dyDescent="0.3">
      <c r="E1206" s="173"/>
      <c r="F1206" s="173"/>
      <c r="I1206"/>
      <c r="J1206"/>
      <c r="K1206"/>
      <c r="L1206"/>
      <c r="M1206"/>
      <c r="N1206"/>
      <c r="O1206"/>
      <c r="P1206" s="225"/>
      <c r="Q1206" s="225"/>
      <c r="R1206"/>
      <c r="S1206"/>
      <c r="T1206"/>
      <c r="U1206"/>
      <c r="V1206"/>
      <c r="W1206"/>
      <c r="X1206"/>
    </row>
    <row r="1207" spans="5:24" x14ac:dyDescent="0.3">
      <c r="E1207" s="173"/>
      <c r="F1207" s="173"/>
      <c r="I1207"/>
      <c r="J1207"/>
      <c r="K1207"/>
      <c r="L1207"/>
      <c r="M1207"/>
      <c r="N1207"/>
      <c r="O1207"/>
      <c r="P1207" s="225"/>
      <c r="Q1207" s="225"/>
      <c r="R1207"/>
      <c r="S1207"/>
      <c r="T1207"/>
      <c r="U1207"/>
      <c r="V1207"/>
      <c r="W1207"/>
      <c r="X1207"/>
    </row>
    <row r="1208" spans="5:24" x14ac:dyDescent="0.3">
      <c r="E1208" s="173"/>
      <c r="F1208" s="173"/>
      <c r="I1208"/>
      <c r="J1208"/>
      <c r="K1208"/>
      <c r="L1208"/>
      <c r="M1208"/>
      <c r="N1208"/>
      <c r="O1208"/>
      <c r="P1208" s="225"/>
      <c r="Q1208" s="225"/>
      <c r="R1208"/>
      <c r="S1208"/>
      <c r="T1208"/>
      <c r="U1208"/>
      <c r="V1208"/>
      <c r="W1208"/>
      <c r="X1208"/>
    </row>
    <row r="1209" spans="5:24" x14ac:dyDescent="0.3">
      <c r="E1209" s="173"/>
      <c r="F1209" s="173"/>
      <c r="I1209"/>
      <c r="J1209"/>
      <c r="K1209"/>
      <c r="L1209"/>
      <c r="M1209"/>
      <c r="N1209"/>
      <c r="O1209"/>
      <c r="P1209" s="225"/>
      <c r="Q1209" s="225"/>
      <c r="R1209"/>
      <c r="S1209"/>
      <c r="T1209"/>
      <c r="U1209"/>
      <c r="V1209"/>
      <c r="W1209"/>
      <c r="X1209"/>
    </row>
    <row r="1210" spans="5:24" x14ac:dyDescent="0.3">
      <c r="E1210" s="173"/>
      <c r="F1210" s="173"/>
      <c r="I1210"/>
      <c r="J1210"/>
      <c r="K1210"/>
      <c r="L1210"/>
      <c r="M1210"/>
      <c r="N1210"/>
      <c r="O1210"/>
      <c r="P1210" s="225"/>
      <c r="Q1210" s="225"/>
      <c r="R1210"/>
      <c r="S1210"/>
      <c r="T1210"/>
      <c r="U1210"/>
      <c r="V1210"/>
      <c r="W1210"/>
      <c r="X1210"/>
    </row>
    <row r="1211" spans="5:24" x14ac:dyDescent="0.3">
      <c r="E1211" s="173"/>
      <c r="F1211" s="173"/>
      <c r="I1211"/>
      <c r="J1211"/>
      <c r="K1211"/>
      <c r="L1211"/>
      <c r="M1211"/>
      <c r="N1211"/>
      <c r="O1211"/>
      <c r="P1211" s="225"/>
      <c r="Q1211" s="225"/>
      <c r="R1211"/>
      <c r="S1211"/>
      <c r="T1211"/>
      <c r="U1211"/>
      <c r="V1211"/>
      <c r="W1211"/>
      <c r="X1211"/>
    </row>
    <row r="1212" spans="5:24" x14ac:dyDescent="0.3">
      <c r="E1212" s="173"/>
      <c r="F1212" s="173"/>
      <c r="I1212"/>
      <c r="J1212"/>
      <c r="K1212"/>
      <c r="L1212"/>
      <c r="M1212"/>
      <c r="N1212"/>
      <c r="O1212"/>
      <c r="P1212" s="225"/>
      <c r="Q1212" s="225"/>
      <c r="R1212"/>
      <c r="S1212"/>
      <c r="T1212"/>
      <c r="U1212"/>
      <c r="V1212"/>
      <c r="W1212"/>
      <c r="X1212"/>
    </row>
    <row r="1213" spans="5:24" x14ac:dyDescent="0.3">
      <c r="E1213" s="173"/>
      <c r="F1213" s="173"/>
      <c r="I1213"/>
      <c r="J1213"/>
      <c r="K1213"/>
      <c r="L1213"/>
      <c r="M1213"/>
      <c r="N1213"/>
      <c r="O1213"/>
      <c r="P1213" s="225"/>
      <c r="Q1213" s="225"/>
      <c r="R1213"/>
      <c r="S1213"/>
      <c r="T1213"/>
      <c r="U1213"/>
      <c r="V1213"/>
      <c r="W1213"/>
      <c r="X1213"/>
    </row>
    <row r="1214" spans="5:24" x14ac:dyDescent="0.3">
      <c r="E1214" s="173"/>
      <c r="F1214" s="173"/>
      <c r="I1214"/>
      <c r="J1214"/>
      <c r="K1214"/>
      <c r="L1214"/>
      <c r="M1214"/>
      <c r="N1214"/>
      <c r="O1214"/>
      <c r="P1214" s="225"/>
      <c r="Q1214" s="225"/>
      <c r="R1214"/>
      <c r="S1214"/>
      <c r="T1214"/>
      <c r="U1214"/>
      <c r="V1214"/>
      <c r="W1214"/>
      <c r="X1214"/>
    </row>
    <row r="1215" spans="5:24" x14ac:dyDescent="0.3">
      <c r="E1215" s="173"/>
      <c r="F1215" s="173"/>
      <c r="I1215"/>
      <c r="J1215"/>
      <c r="K1215"/>
      <c r="L1215"/>
      <c r="M1215"/>
      <c r="N1215"/>
      <c r="O1215"/>
      <c r="P1215" s="225"/>
      <c r="Q1215" s="225"/>
      <c r="R1215"/>
      <c r="S1215"/>
      <c r="T1215"/>
      <c r="U1215"/>
      <c r="V1215"/>
      <c r="W1215"/>
      <c r="X1215"/>
    </row>
    <row r="1216" spans="5:24" x14ac:dyDescent="0.3">
      <c r="E1216" s="173"/>
      <c r="F1216" s="173"/>
      <c r="I1216"/>
      <c r="J1216"/>
      <c r="K1216"/>
      <c r="L1216"/>
      <c r="M1216"/>
      <c r="N1216"/>
      <c r="O1216"/>
      <c r="P1216" s="225"/>
      <c r="Q1216" s="225"/>
      <c r="R1216"/>
      <c r="S1216"/>
      <c r="T1216"/>
      <c r="U1216"/>
      <c r="V1216"/>
      <c r="W1216"/>
      <c r="X1216"/>
    </row>
    <row r="1217" spans="5:24" x14ac:dyDescent="0.3">
      <c r="E1217" s="173"/>
      <c r="F1217" s="173"/>
      <c r="I1217"/>
      <c r="J1217"/>
      <c r="K1217"/>
      <c r="L1217"/>
      <c r="M1217"/>
      <c r="N1217"/>
      <c r="O1217"/>
      <c r="P1217" s="225"/>
      <c r="Q1217" s="225"/>
      <c r="R1217"/>
      <c r="S1217"/>
      <c r="T1217"/>
      <c r="U1217"/>
      <c r="V1217"/>
      <c r="W1217"/>
      <c r="X1217"/>
    </row>
    <row r="1218" spans="5:24" x14ac:dyDescent="0.3">
      <c r="E1218" s="173"/>
      <c r="F1218" s="173"/>
      <c r="I1218"/>
      <c r="J1218"/>
      <c r="K1218"/>
      <c r="L1218"/>
      <c r="M1218"/>
      <c r="N1218"/>
      <c r="O1218"/>
      <c r="P1218" s="225"/>
      <c r="Q1218" s="225"/>
      <c r="R1218"/>
      <c r="S1218"/>
      <c r="T1218"/>
      <c r="U1218"/>
      <c r="V1218"/>
      <c r="W1218"/>
      <c r="X1218"/>
    </row>
    <row r="1219" spans="5:24" x14ac:dyDescent="0.3">
      <c r="E1219" s="173"/>
      <c r="F1219" s="173"/>
      <c r="I1219"/>
      <c r="J1219"/>
      <c r="K1219"/>
      <c r="L1219"/>
      <c r="M1219"/>
      <c r="N1219"/>
      <c r="O1219"/>
      <c r="P1219" s="225"/>
      <c r="Q1219" s="225"/>
      <c r="R1219"/>
      <c r="S1219"/>
      <c r="T1219"/>
      <c r="U1219"/>
      <c r="V1219"/>
      <c r="W1219"/>
      <c r="X1219"/>
    </row>
    <row r="1220" spans="5:24" x14ac:dyDescent="0.3">
      <c r="E1220" s="173"/>
      <c r="F1220" s="173"/>
      <c r="I1220"/>
      <c r="J1220"/>
      <c r="K1220"/>
      <c r="L1220"/>
      <c r="M1220"/>
      <c r="N1220"/>
      <c r="O1220"/>
      <c r="P1220" s="225"/>
      <c r="Q1220" s="225"/>
      <c r="R1220"/>
      <c r="S1220"/>
      <c r="T1220"/>
      <c r="U1220"/>
      <c r="V1220"/>
      <c r="W1220"/>
      <c r="X1220"/>
    </row>
    <row r="1221" spans="5:24" x14ac:dyDescent="0.3">
      <c r="E1221" s="173"/>
      <c r="F1221" s="173"/>
      <c r="I1221"/>
      <c r="J1221"/>
      <c r="K1221"/>
      <c r="L1221"/>
      <c r="M1221"/>
      <c r="N1221"/>
      <c r="O1221"/>
      <c r="P1221" s="225"/>
      <c r="Q1221" s="225"/>
      <c r="R1221"/>
      <c r="S1221"/>
      <c r="T1221"/>
      <c r="U1221"/>
      <c r="V1221"/>
      <c r="W1221"/>
      <c r="X1221"/>
    </row>
    <row r="1222" spans="5:24" x14ac:dyDescent="0.3">
      <c r="E1222" s="173"/>
      <c r="F1222" s="173"/>
      <c r="I1222"/>
      <c r="J1222"/>
      <c r="K1222"/>
      <c r="L1222"/>
      <c r="M1222"/>
      <c r="N1222"/>
      <c r="O1222"/>
      <c r="P1222" s="225"/>
      <c r="Q1222" s="225"/>
      <c r="R1222"/>
      <c r="S1222"/>
      <c r="T1222"/>
      <c r="U1222"/>
      <c r="V1222"/>
      <c r="W1222"/>
      <c r="X1222"/>
    </row>
    <row r="1223" spans="5:24" x14ac:dyDescent="0.3">
      <c r="E1223" s="173"/>
      <c r="F1223" s="173"/>
      <c r="I1223"/>
      <c r="J1223"/>
      <c r="K1223"/>
      <c r="L1223"/>
      <c r="M1223"/>
      <c r="N1223"/>
      <c r="O1223"/>
      <c r="P1223" s="225"/>
      <c r="Q1223" s="225"/>
      <c r="R1223"/>
      <c r="S1223"/>
      <c r="T1223"/>
      <c r="U1223"/>
      <c r="V1223"/>
      <c r="W1223"/>
      <c r="X1223"/>
    </row>
    <row r="1224" spans="5:24" x14ac:dyDescent="0.3">
      <c r="E1224" s="173"/>
      <c r="F1224" s="173"/>
      <c r="I1224"/>
      <c r="J1224"/>
      <c r="K1224"/>
      <c r="L1224"/>
      <c r="M1224"/>
      <c r="N1224"/>
      <c r="O1224"/>
      <c r="P1224" s="225"/>
      <c r="Q1224" s="225"/>
      <c r="R1224"/>
      <c r="S1224"/>
      <c r="T1224"/>
      <c r="U1224"/>
      <c r="V1224"/>
      <c r="W1224"/>
      <c r="X1224"/>
    </row>
    <row r="1225" spans="5:24" x14ac:dyDescent="0.3">
      <c r="E1225" s="173"/>
      <c r="F1225" s="173"/>
      <c r="I1225"/>
      <c r="J1225"/>
      <c r="K1225"/>
      <c r="L1225"/>
      <c r="M1225"/>
      <c r="N1225"/>
      <c r="O1225"/>
      <c r="P1225" s="225"/>
      <c r="Q1225" s="225"/>
      <c r="R1225"/>
      <c r="S1225"/>
      <c r="T1225"/>
      <c r="U1225"/>
      <c r="V1225"/>
      <c r="W1225"/>
      <c r="X1225"/>
    </row>
    <row r="1226" spans="5:24" x14ac:dyDescent="0.3">
      <c r="E1226" s="173"/>
      <c r="F1226" s="173"/>
      <c r="I1226"/>
      <c r="J1226"/>
      <c r="K1226"/>
      <c r="L1226"/>
      <c r="M1226"/>
      <c r="N1226"/>
      <c r="O1226"/>
      <c r="P1226" s="225"/>
      <c r="Q1226" s="225"/>
      <c r="R1226"/>
      <c r="S1226"/>
      <c r="T1226"/>
      <c r="U1226"/>
      <c r="V1226"/>
      <c r="W1226"/>
      <c r="X1226"/>
    </row>
    <row r="1227" spans="5:24" x14ac:dyDescent="0.3">
      <c r="E1227" s="173"/>
      <c r="F1227" s="173"/>
      <c r="I1227"/>
      <c r="J1227"/>
      <c r="K1227"/>
      <c r="L1227"/>
      <c r="M1227"/>
      <c r="N1227"/>
      <c r="O1227"/>
      <c r="P1227" s="225"/>
      <c r="Q1227" s="225"/>
      <c r="R1227"/>
      <c r="S1227"/>
      <c r="T1227"/>
      <c r="U1227"/>
      <c r="V1227"/>
      <c r="W1227"/>
      <c r="X1227"/>
    </row>
    <row r="1228" spans="5:24" x14ac:dyDescent="0.3">
      <c r="E1228" s="173"/>
      <c r="F1228" s="173"/>
      <c r="I1228"/>
      <c r="J1228"/>
      <c r="K1228"/>
      <c r="L1228"/>
      <c r="M1228"/>
      <c r="N1228"/>
      <c r="O1228"/>
      <c r="P1228" s="225"/>
      <c r="Q1228" s="225"/>
      <c r="R1228"/>
      <c r="S1228"/>
      <c r="T1228"/>
      <c r="U1228"/>
      <c r="V1228"/>
      <c r="W1228"/>
      <c r="X1228"/>
    </row>
    <row r="1229" spans="5:24" x14ac:dyDescent="0.3">
      <c r="E1229" s="173"/>
      <c r="F1229" s="173"/>
      <c r="I1229"/>
      <c r="J1229"/>
      <c r="K1229"/>
      <c r="L1229"/>
      <c r="M1229"/>
      <c r="N1229"/>
      <c r="O1229"/>
      <c r="P1229" s="225"/>
      <c r="Q1229" s="225"/>
      <c r="R1229"/>
      <c r="S1229"/>
      <c r="T1229"/>
      <c r="U1229"/>
      <c r="V1229"/>
      <c r="W1229"/>
      <c r="X1229"/>
    </row>
    <row r="1230" spans="5:24" x14ac:dyDescent="0.3">
      <c r="E1230" s="173"/>
      <c r="F1230" s="173"/>
      <c r="I1230"/>
      <c r="J1230"/>
      <c r="K1230"/>
      <c r="L1230"/>
      <c r="M1230"/>
      <c r="N1230"/>
      <c r="O1230"/>
      <c r="P1230" s="225"/>
      <c r="Q1230" s="225"/>
      <c r="R1230"/>
      <c r="S1230"/>
      <c r="T1230"/>
      <c r="U1230"/>
      <c r="V1230"/>
      <c r="W1230"/>
      <c r="X1230"/>
    </row>
    <row r="1231" spans="5:24" x14ac:dyDescent="0.3">
      <c r="E1231" s="173"/>
      <c r="F1231" s="173"/>
      <c r="I1231"/>
      <c r="J1231"/>
      <c r="K1231"/>
      <c r="L1231"/>
      <c r="M1231"/>
      <c r="N1231"/>
      <c r="O1231"/>
      <c r="P1231" s="225"/>
      <c r="Q1231" s="225"/>
      <c r="R1231"/>
      <c r="S1231"/>
      <c r="T1231"/>
      <c r="U1231"/>
      <c r="V1231"/>
      <c r="W1231"/>
      <c r="X1231"/>
    </row>
    <row r="1232" spans="5:24" x14ac:dyDescent="0.3">
      <c r="E1232" s="173"/>
      <c r="F1232" s="173"/>
      <c r="I1232"/>
      <c r="J1232"/>
      <c r="K1232"/>
      <c r="L1232"/>
      <c r="M1232"/>
      <c r="N1232"/>
      <c r="O1232"/>
      <c r="P1232" s="225"/>
      <c r="Q1232" s="225"/>
      <c r="R1232"/>
      <c r="S1232"/>
      <c r="T1232"/>
      <c r="U1232"/>
      <c r="V1232"/>
      <c r="W1232"/>
      <c r="X1232"/>
    </row>
    <row r="1233" spans="5:24" x14ac:dyDescent="0.3">
      <c r="E1233" s="173"/>
      <c r="F1233" s="173"/>
      <c r="I1233"/>
      <c r="J1233"/>
      <c r="K1233"/>
      <c r="L1233"/>
      <c r="M1233"/>
      <c r="N1233"/>
      <c r="O1233"/>
      <c r="P1233" s="225"/>
      <c r="Q1233" s="225"/>
      <c r="R1233"/>
      <c r="S1233"/>
      <c r="T1233"/>
      <c r="U1233"/>
      <c r="V1233"/>
      <c r="W1233"/>
      <c r="X1233"/>
    </row>
    <row r="1234" spans="5:24" x14ac:dyDescent="0.3">
      <c r="E1234" s="173"/>
      <c r="F1234" s="173"/>
      <c r="I1234"/>
      <c r="J1234"/>
      <c r="K1234"/>
      <c r="L1234"/>
      <c r="M1234"/>
      <c r="N1234"/>
      <c r="O1234"/>
      <c r="P1234" s="225"/>
      <c r="Q1234" s="225"/>
      <c r="R1234"/>
      <c r="S1234"/>
      <c r="T1234"/>
      <c r="U1234"/>
      <c r="V1234"/>
      <c r="W1234"/>
      <c r="X1234"/>
    </row>
    <row r="1235" spans="5:24" x14ac:dyDescent="0.3">
      <c r="E1235" s="173"/>
      <c r="F1235" s="173"/>
      <c r="I1235"/>
      <c r="J1235"/>
      <c r="K1235"/>
      <c r="L1235"/>
      <c r="M1235"/>
      <c r="N1235"/>
      <c r="O1235"/>
      <c r="P1235" s="225"/>
      <c r="Q1235" s="225"/>
      <c r="R1235"/>
      <c r="S1235"/>
      <c r="T1235"/>
      <c r="U1235"/>
      <c r="V1235"/>
      <c r="W1235"/>
      <c r="X1235"/>
    </row>
    <row r="1236" spans="5:24" x14ac:dyDescent="0.3">
      <c r="E1236" s="173"/>
      <c r="F1236" s="173"/>
      <c r="I1236"/>
      <c r="J1236"/>
      <c r="K1236"/>
      <c r="L1236"/>
      <c r="M1236"/>
      <c r="N1236"/>
      <c r="O1236"/>
      <c r="P1236" s="225"/>
      <c r="Q1236" s="225"/>
      <c r="R1236"/>
      <c r="S1236"/>
      <c r="T1236"/>
      <c r="U1236"/>
      <c r="V1236"/>
      <c r="W1236"/>
      <c r="X1236"/>
    </row>
    <row r="1237" spans="5:24" x14ac:dyDescent="0.3">
      <c r="E1237" s="173"/>
      <c r="F1237" s="173"/>
      <c r="I1237"/>
      <c r="J1237"/>
      <c r="K1237"/>
      <c r="L1237"/>
      <c r="M1237"/>
      <c r="N1237"/>
      <c r="O1237"/>
      <c r="P1237" s="225"/>
      <c r="Q1237" s="225"/>
      <c r="R1237"/>
      <c r="S1237"/>
      <c r="T1237"/>
      <c r="U1237"/>
      <c r="V1237"/>
      <c r="W1237"/>
      <c r="X1237"/>
    </row>
    <row r="1238" spans="5:24" x14ac:dyDescent="0.3">
      <c r="E1238" s="173"/>
      <c r="F1238" s="173"/>
      <c r="I1238"/>
      <c r="J1238"/>
      <c r="K1238"/>
      <c r="L1238"/>
      <c r="M1238"/>
      <c r="N1238"/>
      <c r="O1238"/>
      <c r="P1238" s="225"/>
      <c r="Q1238" s="225"/>
      <c r="R1238"/>
      <c r="S1238"/>
      <c r="T1238"/>
      <c r="U1238"/>
      <c r="V1238"/>
      <c r="W1238"/>
      <c r="X1238"/>
    </row>
    <row r="1239" spans="5:24" x14ac:dyDescent="0.3">
      <c r="E1239" s="173"/>
      <c r="F1239" s="173"/>
      <c r="I1239"/>
      <c r="J1239"/>
      <c r="K1239"/>
      <c r="L1239"/>
      <c r="M1239"/>
      <c r="N1239"/>
      <c r="O1239"/>
      <c r="P1239" s="225"/>
      <c r="Q1239" s="225"/>
      <c r="R1239"/>
      <c r="S1239"/>
      <c r="T1239"/>
      <c r="U1239"/>
      <c r="V1239"/>
      <c r="W1239"/>
      <c r="X1239"/>
    </row>
    <row r="1240" spans="5:24" x14ac:dyDescent="0.3">
      <c r="E1240" s="173"/>
      <c r="F1240" s="173"/>
      <c r="I1240"/>
      <c r="J1240"/>
      <c r="K1240"/>
      <c r="L1240"/>
      <c r="M1240"/>
      <c r="N1240"/>
      <c r="O1240"/>
      <c r="P1240" s="225"/>
      <c r="Q1240" s="225"/>
      <c r="R1240"/>
      <c r="S1240"/>
      <c r="T1240"/>
      <c r="U1240"/>
      <c r="V1240"/>
      <c r="W1240"/>
      <c r="X1240"/>
    </row>
    <row r="1241" spans="5:24" x14ac:dyDescent="0.3">
      <c r="E1241" s="173"/>
      <c r="F1241" s="173"/>
      <c r="I1241"/>
      <c r="J1241"/>
      <c r="K1241"/>
      <c r="L1241"/>
      <c r="M1241"/>
      <c r="N1241"/>
      <c r="O1241"/>
      <c r="P1241" s="225"/>
      <c r="Q1241" s="225"/>
      <c r="R1241"/>
      <c r="S1241"/>
      <c r="T1241"/>
      <c r="U1241"/>
      <c r="V1241"/>
      <c r="W1241"/>
      <c r="X1241"/>
    </row>
    <row r="1242" spans="5:24" x14ac:dyDescent="0.3">
      <c r="E1242" s="173"/>
      <c r="F1242" s="173"/>
      <c r="I1242"/>
      <c r="J1242"/>
      <c r="K1242"/>
      <c r="L1242"/>
      <c r="M1242"/>
      <c r="N1242"/>
      <c r="O1242"/>
      <c r="P1242" s="225"/>
      <c r="Q1242" s="225"/>
      <c r="R1242"/>
      <c r="S1242"/>
      <c r="T1242"/>
      <c r="U1242"/>
      <c r="V1242"/>
      <c r="W1242"/>
      <c r="X1242"/>
    </row>
    <row r="1243" spans="5:24" x14ac:dyDescent="0.3">
      <c r="E1243" s="173"/>
      <c r="F1243" s="173"/>
      <c r="I1243"/>
      <c r="J1243"/>
      <c r="K1243"/>
      <c r="L1243"/>
      <c r="M1243"/>
      <c r="N1243"/>
      <c r="O1243"/>
      <c r="P1243" s="225"/>
      <c r="Q1243" s="225"/>
      <c r="R1243"/>
      <c r="S1243"/>
      <c r="T1243"/>
      <c r="U1243"/>
      <c r="V1243"/>
      <c r="W1243"/>
      <c r="X1243"/>
    </row>
    <row r="1244" spans="5:24" x14ac:dyDescent="0.3">
      <c r="E1244" s="173"/>
      <c r="F1244" s="173"/>
      <c r="I1244"/>
      <c r="J1244"/>
      <c r="K1244"/>
      <c r="L1244"/>
      <c r="M1244"/>
      <c r="N1244"/>
      <c r="O1244"/>
      <c r="P1244" s="225"/>
      <c r="Q1244" s="225"/>
      <c r="R1244"/>
      <c r="S1244"/>
      <c r="T1244"/>
      <c r="U1244"/>
      <c r="V1244"/>
      <c r="W1244"/>
      <c r="X1244"/>
    </row>
    <row r="1245" spans="5:24" x14ac:dyDescent="0.3">
      <c r="E1245" s="173"/>
      <c r="F1245" s="173"/>
      <c r="I1245"/>
      <c r="J1245"/>
      <c r="K1245"/>
      <c r="L1245"/>
      <c r="M1245"/>
      <c r="N1245"/>
      <c r="O1245"/>
      <c r="P1245" s="225"/>
      <c r="Q1245" s="225"/>
      <c r="R1245"/>
      <c r="S1245"/>
      <c r="T1245"/>
      <c r="U1245"/>
      <c r="V1245"/>
      <c r="W1245"/>
      <c r="X1245"/>
    </row>
    <row r="1246" spans="5:24" x14ac:dyDescent="0.3">
      <c r="E1246" s="173"/>
      <c r="F1246" s="173"/>
      <c r="I1246"/>
      <c r="J1246"/>
      <c r="K1246"/>
      <c r="L1246"/>
      <c r="M1246"/>
      <c r="N1246"/>
      <c r="O1246"/>
      <c r="P1246" s="225"/>
      <c r="Q1246" s="225"/>
      <c r="R1246"/>
      <c r="S1246"/>
      <c r="T1246"/>
      <c r="U1246"/>
      <c r="V1246"/>
      <c r="W1246"/>
      <c r="X1246"/>
    </row>
    <row r="1247" spans="5:24" x14ac:dyDescent="0.3">
      <c r="E1247" s="173"/>
      <c r="F1247" s="173"/>
      <c r="I1247"/>
      <c r="J1247"/>
      <c r="K1247"/>
      <c r="L1247"/>
      <c r="M1247"/>
      <c r="N1247"/>
      <c r="O1247"/>
      <c r="P1247" s="225"/>
      <c r="Q1247" s="225"/>
      <c r="R1247"/>
      <c r="S1247"/>
      <c r="T1247"/>
      <c r="U1247"/>
      <c r="V1247"/>
      <c r="W1247"/>
      <c r="X1247"/>
    </row>
    <row r="1248" spans="5:24" x14ac:dyDescent="0.3">
      <c r="E1248" s="173"/>
      <c r="F1248" s="173"/>
      <c r="I1248"/>
      <c r="J1248"/>
      <c r="K1248"/>
      <c r="L1248"/>
      <c r="M1248"/>
      <c r="N1248"/>
      <c r="O1248"/>
      <c r="P1248" s="225"/>
      <c r="Q1248" s="225"/>
      <c r="R1248"/>
      <c r="S1248"/>
      <c r="T1248"/>
      <c r="U1248"/>
      <c r="V1248"/>
      <c r="W1248"/>
      <c r="X1248"/>
    </row>
    <row r="1249" spans="5:24" x14ac:dyDescent="0.3">
      <c r="E1249" s="173"/>
      <c r="F1249" s="173"/>
      <c r="I1249"/>
      <c r="J1249"/>
      <c r="K1249"/>
      <c r="L1249"/>
      <c r="M1249"/>
      <c r="N1249"/>
      <c r="O1249"/>
      <c r="P1249" s="225"/>
      <c r="Q1249" s="225"/>
      <c r="R1249"/>
      <c r="S1249"/>
      <c r="T1249"/>
      <c r="U1249"/>
      <c r="V1249"/>
      <c r="W1249"/>
      <c r="X1249"/>
    </row>
    <row r="1250" spans="5:24" x14ac:dyDescent="0.3">
      <c r="E1250" s="173"/>
      <c r="F1250" s="173"/>
      <c r="I1250"/>
      <c r="J1250"/>
      <c r="K1250"/>
      <c r="L1250"/>
      <c r="M1250"/>
      <c r="N1250"/>
      <c r="O1250"/>
      <c r="P1250" s="225"/>
      <c r="Q1250" s="225"/>
      <c r="R1250"/>
      <c r="S1250"/>
      <c r="T1250"/>
      <c r="U1250"/>
      <c r="V1250"/>
      <c r="W1250"/>
      <c r="X1250"/>
    </row>
    <row r="1251" spans="5:24" x14ac:dyDescent="0.3">
      <c r="E1251" s="173"/>
      <c r="F1251" s="173"/>
      <c r="I1251"/>
      <c r="J1251"/>
      <c r="K1251"/>
      <c r="L1251"/>
      <c r="M1251"/>
      <c r="N1251"/>
      <c r="O1251"/>
      <c r="P1251" s="225"/>
      <c r="Q1251" s="225"/>
      <c r="R1251"/>
      <c r="S1251"/>
      <c r="T1251"/>
      <c r="U1251"/>
      <c r="V1251"/>
      <c r="W1251"/>
      <c r="X1251"/>
    </row>
    <row r="1252" spans="5:24" x14ac:dyDescent="0.3">
      <c r="E1252" s="173"/>
      <c r="F1252" s="173"/>
      <c r="I1252"/>
      <c r="J1252"/>
      <c r="K1252"/>
      <c r="L1252"/>
      <c r="M1252"/>
      <c r="N1252"/>
      <c r="O1252"/>
      <c r="P1252" s="225"/>
      <c r="Q1252" s="225"/>
      <c r="R1252"/>
      <c r="S1252"/>
      <c r="T1252"/>
      <c r="U1252"/>
      <c r="V1252"/>
      <c r="W1252"/>
      <c r="X1252"/>
    </row>
    <row r="1253" spans="5:24" x14ac:dyDescent="0.3">
      <c r="E1253" s="173"/>
      <c r="F1253" s="173"/>
      <c r="I1253"/>
      <c r="J1253"/>
      <c r="K1253"/>
      <c r="L1253"/>
      <c r="M1253"/>
      <c r="N1253"/>
      <c r="O1253"/>
      <c r="P1253" s="225"/>
      <c r="Q1253" s="225"/>
      <c r="R1253"/>
      <c r="S1253"/>
      <c r="T1253"/>
      <c r="U1253"/>
      <c r="V1253"/>
      <c r="W1253"/>
      <c r="X1253"/>
    </row>
    <row r="1254" spans="5:24" x14ac:dyDescent="0.3">
      <c r="E1254" s="173"/>
      <c r="F1254" s="173"/>
      <c r="I1254"/>
      <c r="J1254"/>
      <c r="K1254"/>
      <c r="L1254"/>
      <c r="M1254"/>
      <c r="N1254"/>
      <c r="O1254"/>
      <c r="P1254" s="225"/>
      <c r="Q1254" s="225"/>
      <c r="R1254"/>
      <c r="S1254"/>
      <c r="T1254"/>
      <c r="U1254"/>
      <c r="V1254"/>
      <c r="W1254"/>
      <c r="X1254"/>
    </row>
    <row r="1255" spans="5:24" x14ac:dyDescent="0.3">
      <c r="E1255" s="173"/>
      <c r="F1255" s="173"/>
      <c r="I1255"/>
      <c r="J1255"/>
      <c r="K1255"/>
      <c r="L1255"/>
      <c r="M1255"/>
      <c r="N1255"/>
      <c r="O1255"/>
      <c r="P1255" s="225"/>
      <c r="Q1255" s="225"/>
      <c r="R1255"/>
      <c r="S1255"/>
      <c r="T1255"/>
      <c r="U1255"/>
      <c r="V1255"/>
      <c r="W1255"/>
      <c r="X1255"/>
    </row>
    <row r="1256" spans="5:24" x14ac:dyDescent="0.3">
      <c r="E1256" s="173"/>
      <c r="F1256" s="173"/>
      <c r="I1256"/>
      <c r="J1256"/>
      <c r="K1256"/>
      <c r="L1256"/>
      <c r="M1256"/>
      <c r="N1256"/>
      <c r="O1256"/>
      <c r="P1256" s="225"/>
      <c r="Q1256" s="225"/>
      <c r="R1256"/>
      <c r="S1256"/>
      <c r="T1256"/>
      <c r="U1256"/>
      <c r="V1256"/>
      <c r="W1256"/>
      <c r="X1256"/>
    </row>
    <row r="1257" spans="5:24" x14ac:dyDescent="0.3">
      <c r="E1257" s="173"/>
      <c r="F1257" s="173"/>
      <c r="I1257"/>
      <c r="J1257"/>
      <c r="K1257"/>
      <c r="L1257"/>
      <c r="M1257"/>
      <c r="N1257"/>
      <c r="O1257"/>
      <c r="P1257" s="225"/>
      <c r="Q1257" s="225"/>
      <c r="R1257"/>
      <c r="S1257"/>
      <c r="T1257"/>
      <c r="U1257"/>
      <c r="V1257"/>
      <c r="W1257"/>
      <c r="X1257"/>
    </row>
    <row r="1258" spans="5:24" x14ac:dyDescent="0.3">
      <c r="E1258" s="173"/>
      <c r="F1258" s="173"/>
      <c r="I1258"/>
      <c r="J1258"/>
      <c r="K1258"/>
      <c r="L1258"/>
      <c r="M1258"/>
      <c r="N1258"/>
      <c r="O1258"/>
      <c r="P1258" s="225"/>
      <c r="Q1258" s="225"/>
      <c r="R1258"/>
      <c r="S1258"/>
      <c r="T1258"/>
      <c r="U1258"/>
      <c r="V1258"/>
      <c r="W1258"/>
      <c r="X1258"/>
    </row>
    <row r="1259" spans="5:24" x14ac:dyDescent="0.3">
      <c r="E1259" s="173"/>
      <c r="F1259" s="173"/>
      <c r="I1259"/>
      <c r="J1259"/>
      <c r="K1259"/>
      <c r="L1259"/>
      <c r="M1259"/>
      <c r="N1259"/>
      <c r="O1259"/>
      <c r="P1259" s="225"/>
      <c r="Q1259" s="225"/>
      <c r="R1259"/>
      <c r="S1259"/>
      <c r="T1259"/>
      <c r="U1259"/>
      <c r="V1259"/>
      <c r="W1259"/>
      <c r="X1259"/>
    </row>
    <row r="1260" spans="5:24" x14ac:dyDescent="0.3">
      <c r="E1260" s="173"/>
      <c r="F1260" s="173"/>
      <c r="I1260"/>
      <c r="J1260"/>
      <c r="K1260"/>
      <c r="L1260"/>
      <c r="M1260"/>
      <c r="N1260"/>
      <c r="O1260"/>
      <c r="P1260" s="225"/>
      <c r="Q1260" s="225"/>
      <c r="R1260"/>
      <c r="S1260"/>
      <c r="T1260"/>
      <c r="U1260"/>
      <c r="V1260"/>
      <c r="W1260"/>
      <c r="X1260"/>
    </row>
    <row r="1261" spans="5:24" x14ac:dyDescent="0.3">
      <c r="E1261" s="173"/>
      <c r="F1261" s="173"/>
      <c r="I1261"/>
      <c r="J1261"/>
      <c r="K1261"/>
      <c r="L1261"/>
      <c r="M1261"/>
      <c r="N1261"/>
      <c r="O1261"/>
      <c r="P1261" s="225"/>
      <c r="Q1261" s="225"/>
      <c r="R1261"/>
      <c r="S1261"/>
      <c r="T1261"/>
      <c r="U1261"/>
      <c r="V1261"/>
      <c r="W1261"/>
      <c r="X1261"/>
    </row>
    <row r="1262" spans="5:24" x14ac:dyDescent="0.3">
      <c r="E1262" s="173"/>
      <c r="F1262" s="173"/>
      <c r="I1262"/>
      <c r="J1262"/>
      <c r="K1262"/>
      <c r="L1262"/>
      <c r="M1262"/>
      <c r="N1262"/>
      <c r="O1262"/>
      <c r="P1262" s="225"/>
      <c r="Q1262" s="225"/>
      <c r="R1262"/>
      <c r="S1262"/>
      <c r="T1262"/>
      <c r="U1262"/>
      <c r="V1262"/>
      <c r="W1262"/>
      <c r="X1262"/>
    </row>
    <row r="1263" spans="5:24" x14ac:dyDescent="0.3">
      <c r="E1263" s="173"/>
      <c r="F1263" s="173"/>
      <c r="I1263"/>
      <c r="J1263"/>
      <c r="K1263"/>
      <c r="L1263"/>
      <c r="M1263"/>
      <c r="N1263"/>
      <c r="O1263"/>
      <c r="P1263" s="225"/>
      <c r="Q1263" s="225"/>
      <c r="R1263"/>
      <c r="S1263"/>
      <c r="T1263"/>
      <c r="U1263"/>
      <c r="V1263"/>
      <c r="W1263"/>
      <c r="X1263"/>
    </row>
    <row r="1264" spans="5:24" x14ac:dyDescent="0.3">
      <c r="E1264" s="173"/>
      <c r="F1264" s="173"/>
      <c r="I1264"/>
      <c r="J1264"/>
      <c r="K1264"/>
      <c r="L1264"/>
      <c r="M1264"/>
      <c r="N1264"/>
      <c r="O1264"/>
      <c r="P1264" s="225"/>
      <c r="Q1264" s="225"/>
      <c r="R1264"/>
      <c r="S1264"/>
      <c r="T1264"/>
      <c r="U1264"/>
      <c r="V1264"/>
      <c r="W1264"/>
      <c r="X1264"/>
    </row>
    <row r="1265" spans="5:24" x14ac:dyDescent="0.3">
      <c r="E1265" s="173"/>
      <c r="F1265" s="173"/>
      <c r="I1265"/>
      <c r="J1265"/>
      <c r="K1265"/>
      <c r="L1265"/>
      <c r="M1265"/>
      <c r="N1265"/>
      <c r="O1265"/>
      <c r="P1265" s="225"/>
      <c r="Q1265" s="225"/>
      <c r="R1265"/>
      <c r="S1265"/>
      <c r="T1265"/>
      <c r="U1265"/>
      <c r="V1265"/>
      <c r="W1265"/>
      <c r="X1265"/>
    </row>
    <row r="1266" spans="5:24" x14ac:dyDescent="0.3">
      <c r="E1266" s="173"/>
      <c r="F1266" s="173"/>
      <c r="I1266"/>
      <c r="J1266"/>
      <c r="K1266"/>
      <c r="L1266"/>
      <c r="M1266"/>
      <c r="N1266"/>
      <c r="O1266"/>
      <c r="P1266" s="225"/>
      <c r="Q1266" s="225"/>
      <c r="R1266"/>
      <c r="S1266"/>
      <c r="T1266"/>
      <c r="U1266"/>
      <c r="V1266"/>
      <c r="W1266"/>
      <c r="X1266"/>
    </row>
    <row r="1267" spans="5:24" x14ac:dyDescent="0.3">
      <c r="E1267" s="173"/>
      <c r="F1267" s="173"/>
      <c r="I1267"/>
      <c r="J1267"/>
      <c r="K1267"/>
      <c r="L1267"/>
      <c r="M1267"/>
      <c r="N1267"/>
      <c r="O1267"/>
      <c r="P1267" s="225"/>
      <c r="Q1267" s="225"/>
      <c r="R1267"/>
      <c r="S1267"/>
      <c r="T1267"/>
      <c r="U1267"/>
      <c r="V1267"/>
      <c r="W1267"/>
      <c r="X1267"/>
    </row>
    <row r="1268" spans="5:24" x14ac:dyDescent="0.3">
      <c r="E1268" s="173"/>
      <c r="F1268" s="173"/>
      <c r="I1268"/>
      <c r="J1268"/>
      <c r="K1268"/>
      <c r="L1268"/>
      <c r="M1268"/>
      <c r="N1268"/>
      <c r="O1268"/>
      <c r="P1268" s="225"/>
      <c r="Q1268" s="225"/>
      <c r="R1268"/>
      <c r="S1268"/>
      <c r="T1268"/>
      <c r="U1268"/>
      <c r="V1268"/>
      <c r="W1268"/>
      <c r="X1268"/>
    </row>
    <row r="1269" spans="5:24" x14ac:dyDescent="0.3">
      <c r="E1269" s="173"/>
      <c r="F1269" s="173"/>
      <c r="I1269"/>
      <c r="J1269"/>
      <c r="K1269"/>
      <c r="L1269"/>
      <c r="M1269"/>
      <c r="N1269"/>
      <c r="O1269"/>
      <c r="P1269" s="225"/>
      <c r="Q1269" s="225"/>
      <c r="R1269"/>
      <c r="S1269"/>
      <c r="T1269"/>
      <c r="U1269"/>
      <c r="V1269"/>
      <c r="W1269"/>
      <c r="X1269"/>
    </row>
    <row r="1270" spans="5:24" x14ac:dyDescent="0.3">
      <c r="E1270" s="173"/>
      <c r="F1270" s="173"/>
      <c r="I1270"/>
      <c r="J1270"/>
      <c r="K1270"/>
      <c r="L1270"/>
      <c r="M1270"/>
      <c r="N1270"/>
      <c r="O1270"/>
      <c r="P1270" s="225"/>
      <c r="Q1270" s="225"/>
      <c r="R1270"/>
      <c r="S1270"/>
      <c r="T1270"/>
      <c r="U1270"/>
      <c r="V1270"/>
      <c r="W1270"/>
      <c r="X1270"/>
    </row>
    <row r="1271" spans="5:24" x14ac:dyDescent="0.3">
      <c r="E1271" s="173"/>
      <c r="F1271" s="173"/>
      <c r="I1271"/>
      <c r="J1271"/>
      <c r="K1271"/>
      <c r="L1271"/>
      <c r="M1271"/>
      <c r="N1271"/>
      <c r="O1271"/>
      <c r="P1271" s="225"/>
      <c r="Q1271" s="225"/>
      <c r="R1271"/>
      <c r="S1271"/>
      <c r="T1271"/>
      <c r="U1271"/>
      <c r="V1271"/>
      <c r="W1271"/>
      <c r="X1271"/>
    </row>
    <row r="1272" spans="5:24" x14ac:dyDescent="0.3">
      <c r="E1272" s="173"/>
      <c r="F1272" s="173"/>
      <c r="I1272"/>
      <c r="J1272"/>
      <c r="K1272"/>
      <c r="L1272"/>
      <c r="M1272"/>
      <c r="N1272"/>
      <c r="O1272"/>
      <c r="P1272" s="225"/>
      <c r="Q1272" s="225"/>
      <c r="R1272"/>
      <c r="S1272"/>
      <c r="T1272"/>
      <c r="U1272"/>
      <c r="V1272"/>
      <c r="W1272"/>
      <c r="X1272"/>
    </row>
    <row r="1273" spans="5:24" x14ac:dyDescent="0.3">
      <c r="E1273" s="173"/>
      <c r="F1273" s="173"/>
      <c r="I1273"/>
      <c r="J1273"/>
      <c r="K1273"/>
      <c r="L1273"/>
      <c r="M1273"/>
      <c r="N1273"/>
      <c r="O1273"/>
      <c r="P1273" s="225"/>
      <c r="Q1273" s="225"/>
      <c r="R1273"/>
      <c r="S1273"/>
      <c r="T1273"/>
      <c r="U1273"/>
      <c r="V1273"/>
      <c r="W1273"/>
      <c r="X1273"/>
    </row>
    <row r="1274" spans="5:24" x14ac:dyDescent="0.3">
      <c r="E1274" s="173"/>
      <c r="F1274" s="173"/>
      <c r="I1274"/>
      <c r="J1274"/>
      <c r="K1274"/>
      <c r="L1274"/>
      <c r="M1274"/>
      <c r="N1274"/>
      <c r="O1274"/>
      <c r="P1274" s="225"/>
      <c r="Q1274" s="225"/>
      <c r="R1274"/>
      <c r="S1274"/>
      <c r="T1274"/>
      <c r="U1274"/>
      <c r="V1274"/>
      <c r="W1274"/>
      <c r="X1274"/>
    </row>
    <row r="1275" spans="5:24" x14ac:dyDescent="0.3">
      <c r="E1275" s="173"/>
      <c r="F1275" s="173"/>
      <c r="I1275"/>
      <c r="J1275"/>
      <c r="K1275"/>
      <c r="L1275"/>
      <c r="M1275"/>
      <c r="N1275"/>
      <c r="O1275"/>
      <c r="P1275" s="225"/>
      <c r="Q1275" s="225"/>
      <c r="R1275"/>
      <c r="S1275"/>
      <c r="T1275"/>
      <c r="U1275"/>
      <c r="V1275"/>
      <c r="W1275"/>
      <c r="X1275"/>
    </row>
    <row r="1276" spans="5:24" x14ac:dyDescent="0.3">
      <c r="E1276" s="173"/>
      <c r="F1276" s="173"/>
      <c r="I1276"/>
      <c r="J1276"/>
      <c r="K1276"/>
      <c r="L1276"/>
      <c r="M1276"/>
      <c r="N1276"/>
      <c r="O1276"/>
      <c r="P1276" s="225"/>
      <c r="Q1276" s="225"/>
      <c r="R1276"/>
      <c r="S1276"/>
      <c r="T1276"/>
      <c r="U1276"/>
      <c r="V1276"/>
      <c r="W1276"/>
      <c r="X1276"/>
    </row>
    <row r="1277" spans="5:24" x14ac:dyDescent="0.3">
      <c r="E1277" s="173"/>
      <c r="F1277" s="173"/>
      <c r="I1277"/>
      <c r="J1277"/>
      <c r="K1277"/>
      <c r="L1277"/>
      <c r="M1277"/>
      <c r="N1277"/>
      <c r="O1277"/>
      <c r="P1277" s="225"/>
      <c r="Q1277" s="225"/>
      <c r="R1277"/>
      <c r="S1277"/>
      <c r="T1277"/>
      <c r="U1277"/>
      <c r="V1277"/>
      <c r="W1277"/>
      <c r="X1277"/>
    </row>
    <row r="1278" spans="5:24" x14ac:dyDescent="0.3">
      <c r="E1278" s="173"/>
      <c r="F1278" s="173"/>
      <c r="I1278"/>
      <c r="J1278"/>
      <c r="K1278"/>
      <c r="L1278"/>
      <c r="M1278"/>
      <c r="N1278"/>
      <c r="O1278"/>
      <c r="P1278" s="225"/>
      <c r="Q1278" s="225"/>
      <c r="R1278"/>
      <c r="S1278"/>
      <c r="T1278"/>
      <c r="U1278"/>
      <c r="V1278"/>
      <c r="W1278"/>
      <c r="X1278"/>
    </row>
    <row r="1279" spans="5:24" x14ac:dyDescent="0.3">
      <c r="E1279" s="173"/>
      <c r="F1279" s="173"/>
      <c r="I1279"/>
      <c r="J1279"/>
      <c r="K1279"/>
      <c r="L1279"/>
      <c r="M1279"/>
      <c r="N1279"/>
      <c r="O1279"/>
      <c r="P1279" s="225"/>
      <c r="Q1279" s="225"/>
      <c r="R1279"/>
      <c r="S1279"/>
      <c r="T1279"/>
      <c r="U1279"/>
      <c r="V1279"/>
      <c r="W1279"/>
      <c r="X1279"/>
    </row>
    <row r="1280" spans="5:24" x14ac:dyDescent="0.3">
      <c r="E1280" s="173"/>
      <c r="F1280" s="173"/>
      <c r="I1280"/>
      <c r="J1280"/>
      <c r="K1280"/>
      <c r="L1280"/>
      <c r="M1280"/>
      <c r="N1280"/>
      <c r="O1280"/>
      <c r="P1280" s="225"/>
      <c r="Q1280" s="225"/>
      <c r="R1280"/>
      <c r="S1280"/>
      <c r="T1280"/>
      <c r="U1280"/>
      <c r="V1280"/>
      <c r="W1280"/>
      <c r="X1280"/>
    </row>
    <row r="1281" spans="5:24" x14ac:dyDescent="0.3">
      <c r="E1281" s="173"/>
      <c r="F1281" s="173"/>
      <c r="I1281"/>
      <c r="J1281"/>
      <c r="K1281"/>
      <c r="L1281"/>
      <c r="M1281"/>
      <c r="N1281"/>
      <c r="O1281"/>
      <c r="P1281" s="225"/>
      <c r="Q1281" s="225"/>
      <c r="R1281"/>
      <c r="S1281"/>
      <c r="T1281"/>
      <c r="U1281"/>
      <c r="V1281"/>
      <c r="W1281"/>
      <c r="X1281"/>
    </row>
    <row r="1282" spans="5:24" x14ac:dyDescent="0.3">
      <c r="E1282" s="173"/>
      <c r="F1282" s="173"/>
      <c r="I1282"/>
      <c r="J1282"/>
      <c r="K1282"/>
      <c r="L1282"/>
      <c r="M1282"/>
      <c r="N1282"/>
      <c r="O1282"/>
      <c r="P1282" s="225"/>
      <c r="Q1282" s="225"/>
      <c r="R1282"/>
      <c r="S1282"/>
      <c r="T1282"/>
      <c r="U1282"/>
      <c r="V1282"/>
      <c r="W1282"/>
      <c r="X1282"/>
    </row>
    <row r="1283" spans="5:24" x14ac:dyDescent="0.3">
      <c r="E1283" s="173"/>
      <c r="F1283" s="173"/>
      <c r="I1283"/>
      <c r="J1283"/>
      <c r="K1283"/>
      <c r="L1283"/>
      <c r="M1283"/>
      <c r="N1283"/>
      <c r="O1283"/>
      <c r="P1283" s="225"/>
      <c r="Q1283" s="225"/>
      <c r="R1283"/>
      <c r="S1283"/>
      <c r="T1283"/>
      <c r="U1283"/>
      <c r="V1283"/>
      <c r="W1283"/>
      <c r="X1283"/>
    </row>
    <row r="1284" spans="5:24" x14ac:dyDescent="0.3">
      <c r="E1284" s="173"/>
      <c r="F1284" s="173"/>
      <c r="I1284"/>
      <c r="J1284"/>
      <c r="K1284"/>
      <c r="L1284"/>
      <c r="M1284"/>
      <c r="N1284"/>
      <c r="O1284"/>
      <c r="P1284" s="225"/>
      <c r="Q1284" s="225"/>
      <c r="R1284"/>
      <c r="S1284"/>
      <c r="T1284"/>
      <c r="U1284"/>
      <c r="V1284"/>
      <c r="W1284"/>
      <c r="X1284"/>
    </row>
    <row r="1285" spans="5:24" x14ac:dyDescent="0.3">
      <c r="E1285" s="173"/>
      <c r="F1285" s="173"/>
      <c r="I1285"/>
      <c r="J1285"/>
      <c r="K1285"/>
      <c r="L1285"/>
      <c r="M1285"/>
      <c r="N1285"/>
      <c r="O1285"/>
      <c r="P1285" s="225"/>
      <c r="Q1285" s="225"/>
      <c r="R1285"/>
      <c r="S1285"/>
      <c r="T1285"/>
      <c r="U1285"/>
      <c r="V1285"/>
      <c r="W1285"/>
      <c r="X1285"/>
    </row>
    <row r="1286" spans="5:24" x14ac:dyDescent="0.3">
      <c r="E1286" s="173"/>
      <c r="F1286" s="173"/>
      <c r="I1286"/>
      <c r="J1286"/>
      <c r="K1286"/>
      <c r="L1286"/>
      <c r="M1286"/>
      <c r="N1286"/>
      <c r="O1286"/>
      <c r="P1286" s="225"/>
      <c r="Q1286" s="225"/>
      <c r="R1286"/>
      <c r="S1286"/>
      <c r="T1286"/>
      <c r="U1286"/>
      <c r="V1286"/>
      <c r="W1286"/>
      <c r="X1286"/>
    </row>
    <row r="1287" spans="5:24" x14ac:dyDescent="0.3">
      <c r="E1287" s="173"/>
      <c r="F1287" s="173"/>
      <c r="I1287"/>
      <c r="J1287"/>
      <c r="K1287"/>
      <c r="L1287"/>
      <c r="M1287"/>
      <c r="N1287"/>
      <c r="O1287"/>
      <c r="P1287" s="225"/>
      <c r="Q1287" s="225"/>
      <c r="R1287"/>
      <c r="S1287"/>
      <c r="T1287"/>
      <c r="U1287"/>
      <c r="V1287"/>
      <c r="W1287"/>
      <c r="X1287"/>
    </row>
    <row r="1288" spans="5:24" x14ac:dyDescent="0.3">
      <c r="E1288" s="173"/>
      <c r="F1288" s="173"/>
      <c r="I1288"/>
      <c r="J1288"/>
      <c r="K1288"/>
      <c r="L1288"/>
      <c r="M1288"/>
      <c r="N1288"/>
      <c r="O1288"/>
      <c r="P1288" s="225"/>
      <c r="Q1288" s="225"/>
      <c r="R1288"/>
      <c r="S1288"/>
      <c r="T1288"/>
      <c r="U1288"/>
      <c r="V1288"/>
      <c r="W1288"/>
      <c r="X1288"/>
    </row>
    <row r="1289" spans="5:24" x14ac:dyDescent="0.3">
      <c r="E1289" s="173"/>
      <c r="F1289" s="173"/>
      <c r="I1289"/>
      <c r="J1289"/>
      <c r="K1289"/>
      <c r="L1289"/>
      <c r="M1289"/>
      <c r="N1289"/>
      <c r="O1289"/>
      <c r="P1289" s="225"/>
      <c r="Q1289" s="225"/>
      <c r="R1289"/>
      <c r="S1289"/>
      <c r="T1289"/>
      <c r="U1289"/>
      <c r="V1289"/>
      <c r="W1289"/>
      <c r="X1289"/>
    </row>
    <row r="1290" spans="5:24" x14ac:dyDescent="0.3">
      <c r="E1290" s="173"/>
      <c r="F1290" s="173"/>
      <c r="I1290"/>
      <c r="J1290"/>
      <c r="K1290"/>
      <c r="L1290"/>
      <c r="M1290"/>
      <c r="N1290"/>
      <c r="O1290"/>
      <c r="P1290" s="225"/>
      <c r="Q1290" s="225"/>
      <c r="R1290"/>
      <c r="S1290"/>
      <c r="T1290"/>
      <c r="U1290"/>
      <c r="V1290"/>
      <c r="W1290"/>
      <c r="X1290"/>
    </row>
    <row r="1291" spans="5:24" x14ac:dyDescent="0.3">
      <c r="E1291" s="173"/>
      <c r="F1291" s="173"/>
      <c r="I1291"/>
      <c r="J1291"/>
      <c r="K1291"/>
      <c r="L1291"/>
      <c r="M1291"/>
      <c r="N1291"/>
      <c r="O1291"/>
      <c r="P1291" s="225"/>
      <c r="Q1291" s="225"/>
      <c r="R1291"/>
      <c r="S1291"/>
      <c r="T1291"/>
      <c r="U1291"/>
      <c r="V1291"/>
      <c r="W1291"/>
      <c r="X1291"/>
    </row>
    <row r="1292" spans="5:24" x14ac:dyDescent="0.3">
      <c r="E1292" s="173"/>
      <c r="F1292" s="173"/>
      <c r="I1292"/>
      <c r="J1292"/>
      <c r="K1292"/>
      <c r="L1292"/>
      <c r="M1292"/>
      <c r="N1292"/>
      <c r="O1292"/>
      <c r="P1292" s="225"/>
      <c r="Q1292" s="225"/>
      <c r="R1292"/>
      <c r="S1292"/>
      <c r="T1292"/>
      <c r="U1292"/>
      <c r="V1292"/>
      <c r="W1292"/>
      <c r="X1292"/>
    </row>
    <row r="1293" spans="5:24" x14ac:dyDescent="0.3">
      <c r="E1293" s="173"/>
      <c r="F1293" s="173"/>
      <c r="I1293"/>
      <c r="J1293"/>
      <c r="K1293"/>
      <c r="L1293"/>
      <c r="M1293"/>
      <c r="N1293"/>
      <c r="O1293"/>
      <c r="P1293" s="225"/>
      <c r="Q1293" s="225"/>
      <c r="R1293"/>
      <c r="S1293"/>
      <c r="T1293"/>
      <c r="U1293"/>
      <c r="V1293"/>
      <c r="W1293"/>
      <c r="X1293"/>
    </row>
    <row r="1294" spans="5:24" x14ac:dyDescent="0.3">
      <c r="E1294" s="173"/>
      <c r="F1294" s="173"/>
      <c r="I1294"/>
      <c r="J1294"/>
      <c r="K1294"/>
      <c r="L1294"/>
      <c r="M1294"/>
      <c r="N1294"/>
      <c r="O1294"/>
      <c r="P1294" s="225"/>
      <c r="Q1294" s="225"/>
      <c r="R1294"/>
      <c r="S1294"/>
      <c r="T1294"/>
      <c r="U1294"/>
      <c r="V1294"/>
      <c r="W1294"/>
      <c r="X1294"/>
    </row>
    <row r="1295" spans="5:24" x14ac:dyDescent="0.3">
      <c r="E1295" s="173"/>
      <c r="F1295" s="173"/>
      <c r="I1295"/>
      <c r="J1295"/>
      <c r="K1295"/>
      <c r="L1295"/>
      <c r="M1295"/>
      <c r="N1295"/>
      <c r="O1295"/>
      <c r="P1295" s="225"/>
      <c r="Q1295" s="225"/>
      <c r="R1295"/>
      <c r="S1295"/>
      <c r="T1295"/>
      <c r="U1295"/>
      <c r="V1295"/>
      <c r="W1295"/>
      <c r="X1295"/>
    </row>
    <row r="1296" spans="5:24" x14ac:dyDescent="0.3">
      <c r="E1296" s="173"/>
      <c r="F1296" s="173"/>
      <c r="I1296"/>
      <c r="J1296"/>
      <c r="K1296"/>
      <c r="L1296"/>
      <c r="M1296"/>
      <c r="N1296"/>
      <c r="O1296"/>
      <c r="P1296" s="225"/>
      <c r="Q1296" s="225"/>
      <c r="R1296"/>
      <c r="S1296"/>
      <c r="T1296"/>
      <c r="U1296"/>
      <c r="V1296"/>
      <c r="W1296"/>
      <c r="X1296"/>
    </row>
    <row r="1297" spans="5:24" x14ac:dyDescent="0.3">
      <c r="E1297" s="173"/>
      <c r="F1297" s="173"/>
      <c r="I1297"/>
      <c r="J1297"/>
      <c r="K1297"/>
      <c r="L1297"/>
      <c r="M1297"/>
      <c r="N1297"/>
      <c r="O1297"/>
      <c r="P1297" s="225"/>
      <c r="Q1297" s="225"/>
      <c r="R1297"/>
      <c r="S1297"/>
      <c r="T1297"/>
      <c r="U1297"/>
      <c r="V1297"/>
      <c r="W1297"/>
      <c r="X1297"/>
    </row>
    <row r="1298" spans="5:24" x14ac:dyDescent="0.3">
      <c r="E1298" s="173"/>
      <c r="F1298" s="173"/>
      <c r="I1298"/>
      <c r="J1298"/>
      <c r="K1298"/>
      <c r="L1298"/>
      <c r="M1298"/>
      <c r="N1298"/>
      <c r="O1298"/>
      <c r="P1298" s="225"/>
      <c r="Q1298" s="225"/>
      <c r="R1298"/>
      <c r="S1298"/>
      <c r="T1298"/>
      <c r="U1298"/>
      <c r="V1298"/>
      <c r="W1298"/>
      <c r="X1298"/>
    </row>
    <row r="1299" spans="5:24" x14ac:dyDescent="0.3">
      <c r="E1299" s="173"/>
      <c r="F1299" s="173"/>
      <c r="I1299"/>
      <c r="J1299"/>
      <c r="K1299"/>
      <c r="L1299"/>
      <c r="M1299"/>
      <c r="N1299"/>
      <c r="O1299"/>
      <c r="P1299" s="225"/>
      <c r="Q1299" s="225"/>
      <c r="R1299"/>
      <c r="S1299"/>
      <c r="T1299"/>
      <c r="U1299"/>
      <c r="V1299"/>
      <c r="W1299"/>
      <c r="X1299"/>
    </row>
    <row r="1300" spans="5:24" x14ac:dyDescent="0.3">
      <c r="E1300" s="173"/>
      <c r="F1300" s="173"/>
      <c r="I1300"/>
      <c r="J1300"/>
      <c r="K1300"/>
      <c r="L1300"/>
      <c r="M1300"/>
      <c r="N1300"/>
      <c r="O1300"/>
      <c r="P1300" s="225"/>
      <c r="Q1300" s="225"/>
      <c r="R1300"/>
      <c r="S1300"/>
      <c r="T1300"/>
      <c r="U1300"/>
      <c r="V1300"/>
      <c r="W1300"/>
      <c r="X1300"/>
    </row>
    <row r="1301" spans="5:24" x14ac:dyDescent="0.3">
      <c r="E1301" s="173"/>
      <c r="F1301" s="173"/>
      <c r="I1301"/>
      <c r="J1301"/>
      <c r="K1301"/>
      <c r="L1301"/>
      <c r="M1301"/>
      <c r="N1301"/>
      <c r="O1301"/>
      <c r="P1301" s="225"/>
      <c r="Q1301" s="225"/>
      <c r="R1301"/>
      <c r="S1301"/>
      <c r="T1301"/>
      <c r="U1301"/>
      <c r="V1301"/>
      <c r="W1301"/>
      <c r="X1301"/>
    </row>
    <row r="1302" spans="5:24" x14ac:dyDescent="0.3">
      <c r="E1302" s="173"/>
      <c r="F1302" s="173"/>
      <c r="I1302"/>
      <c r="J1302"/>
      <c r="K1302"/>
      <c r="L1302"/>
      <c r="M1302"/>
      <c r="N1302"/>
      <c r="O1302"/>
      <c r="P1302" s="225"/>
      <c r="Q1302" s="225"/>
      <c r="R1302"/>
      <c r="S1302"/>
      <c r="T1302"/>
      <c r="U1302"/>
      <c r="V1302"/>
      <c r="W1302"/>
      <c r="X1302"/>
    </row>
    <row r="1303" spans="5:24" x14ac:dyDescent="0.3">
      <c r="E1303" s="173"/>
      <c r="F1303" s="173"/>
      <c r="I1303"/>
      <c r="J1303"/>
      <c r="K1303"/>
      <c r="L1303"/>
      <c r="M1303"/>
      <c r="N1303"/>
      <c r="O1303"/>
      <c r="P1303" s="225"/>
      <c r="Q1303" s="225"/>
      <c r="R1303"/>
      <c r="S1303"/>
      <c r="T1303"/>
      <c r="U1303"/>
      <c r="V1303"/>
      <c r="W1303"/>
      <c r="X1303"/>
    </row>
    <row r="1304" spans="5:24" x14ac:dyDescent="0.3">
      <c r="E1304" s="173"/>
      <c r="F1304" s="173"/>
      <c r="I1304"/>
      <c r="J1304"/>
      <c r="K1304"/>
      <c r="L1304"/>
      <c r="M1304"/>
      <c r="N1304"/>
      <c r="O1304"/>
      <c r="P1304" s="225"/>
      <c r="Q1304" s="225"/>
      <c r="R1304"/>
      <c r="S1304"/>
      <c r="T1304"/>
      <c r="U1304"/>
      <c r="V1304"/>
      <c r="W1304"/>
      <c r="X1304"/>
    </row>
    <row r="1305" spans="5:24" x14ac:dyDescent="0.3">
      <c r="E1305" s="173"/>
      <c r="F1305" s="173"/>
      <c r="I1305"/>
      <c r="J1305"/>
      <c r="K1305"/>
      <c r="L1305"/>
      <c r="M1305"/>
      <c r="N1305"/>
      <c r="O1305"/>
      <c r="P1305" s="225"/>
      <c r="Q1305" s="225"/>
      <c r="R1305"/>
      <c r="S1305"/>
      <c r="T1305"/>
      <c r="U1305"/>
      <c r="V1305"/>
      <c r="W1305"/>
      <c r="X1305"/>
    </row>
    <row r="1306" spans="5:24" x14ac:dyDescent="0.3">
      <c r="E1306" s="173"/>
      <c r="F1306" s="173"/>
      <c r="I1306"/>
      <c r="J1306"/>
      <c r="K1306"/>
      <c r="L1306"/>
      <c r="M1306"/>
      <c r="N1306"/>
      <c r="O1306"/>
      <c r="P1306" s="225"/>
      <c r="Q1306" s="225"/>
      <c r="R1306"/>
      <c r="S1306"/>
      <c r="T1306"/>
      <c r="U1306"/>
      <c r="V1306"/>
      <c r="W1306"/>
      <c r="X1306"/>
    </row>
    <row r="1307" spans="5:24" x14ac:dyDescent="0.3">
      <c r="E1307" s="173"/>
      <c r="F1307" s="173"/>
      <c r="I1307"/>
      <c r="J1307"/>
      <c r="K1307"/>
      <c r="L1307"/>
      <c r="M1307"/>
      <c r="N1307"/>
      <c r="O1307"/>
      <c r="P1307" s="225"/>
      <c r="Q1307" s="225"/>
      <c r="R1307"/>
      <c r="S1307"/>
      <c r="T1307"/>
      <c r="U1307"/>
      <c r="V1307"/>
      <c r="W1307"/>
      <c r="X1307"/>
    </row>
    <row r="1308" spans="5:24" x14ac:dyDescent="0.3">
      <c r="E1308" s="173"/>
      <c r="F1308" s="173"/>
      <c r="I1308"/>
      <c r="J1308"/>
      <c r="K1308"/>
      <c r="L1308"/>
      <c r="M1308"/>
      <c r="N1308"/>
      <c r="O1308"/>
      <c r="P1308" s="225"/>
      <c r="Q1308" s="225"/>
      <c r="R1308"/>
      <c r="S1308"/>
      <c r="T1308"/>
      <c r="U1308"/>
      <c r="V1308"/>
      <c r="W1308"/>
      <c r="X1308"/>
    </row>
    <row r="1309" spans="5:24" x14ac:dyDescent="0.3">
      <c r="E1309" s="173"/>
      <c r="F1309" s="173"/>
      <c r="I1309"/>
      <c r="J1309"/>
      <c r="K1309"/>
      <c r="L1309"/>
      <c r="M1309"/>
      <c r="N1309"/>
      <c r="O1309"/>
      <c r="P1309" s="225"/>
      <c r="Q1309" s="225"/>
      <c r="R1309"/>
      <c r="S1309"/>
      <c r="T1309"/>
      <c r="U1309"/>
      <c r="V1309"/>
      <c r="W1309"/>
      <c r="X1309"/>
    </row>
    <row r="1310" spans="5:24" x14ac:dyDescent="0.3">
      <c r="E1310" s="173"/>
      <c r="F1310" s="173"/>
      <c r="I1310"/>
      <c r="J1310"/>
      <c r="K1310"/>
      <c r="L1310"/>
      <c r="M1310"/>
      <c r="N1310"/>
      <c r="O1310"/>
      <c r="P1310" s="225"/>
      <c r="Q1310" s="225"/>
      <c r="R1310"/>
      <c r="S1310"/>
      <c r="T1310"/>
      <c r="U1310"/>
      <c r="V1310"/>
      <c r="W1310"/>
      <c r="X1310"/>
    </row>
    <row r="1311" spans="5:24" x14ac:dyDescent="0.3">
      <c r="E1311" s="173"/>
      <c r="F1311" s="173"/>
      <c r="I1311"/>
      <c r="J1311"/>
      <c r="K1311"/>
      <c r="L1311"/>
      <c r="M1311"/>
      <c r="N1311"/>
      <c r="O1311"/>
      <c r="P1311" s="225"/>
      <c r="Q1311" s="225"/>
      <c r="R1311"/>
      <c r="S1311"/>
      <c r="T1311"/>
      <c r="U1311"/>
      <c r="V1311"/>
      <c r="W1311"/>
      <c r="X1311"/>
    </row>
    <row r="1312" spans="5:24" x14ac:dyDescent="0.3">
      <c r="E1312" s="173"/>
      <c r="F1312" s="173"/>
      <c r="I1312"/>
      <c r="J1312"/>
      <c r="K1312"/>
      <c r="L1312"/>
      <c r="M1312"/>
      <c r="N1312"/>
      <c r="O1312"/>
      <c r="P1312" s="225"/>
      <c r="Q1312" s="225"/>
      <c r="R1312"/>
      <c r="S1312"/>
      <c r="T1312"/>
      <c r="U1312"/>
      <c r="V1312"/>
      <c r="W1312"/>
      <c r="X1312"/>
    </row>
    <row r="1313" spans="5:24" x14ac:dyDescent="0.3">
      <c r="E1313" s="173"/>
      <c r="F1313" s="173"/>
      <c r="I1313"/>
      <c r="J1313"/>
      <c r="K1313"/>
      <c r="L1313"/>
      <c r="M1313"/>
      <c r="N1313"/>
      <c r="O1313"/>
      <c r="P1313" s="225"/>
      <c r="Q1313" s="225"/>
      <c r="R1313"/>
      <c r="S1313"/>
      <c r="T1313"/>
      <c r="U1313"/>
      <c r="V1313"/>
      <c r="W1313"/>
      <c r="X1313"/>
    </row>
    <row r="1314" spans="5:24" x14ac:dyDescent="0.3">
      <c r="E1314" s="173"/>
      <c r="F1314" s="173"/>
      <c r="I1314"/>
      <c r="J1314"/>
      <c r="K1314"/>
      <c r="L1314"/>
      <c r="M1314"/>
      <c r="N1314"/>
      <c r="O1314"/>
      <c r="P1314" s="225"/>
      <c r="Q1314" s="225"/>
      <c r="R1314"/>
      <c r="S1314"/>
      <c r="T1314"/>
      <c r="U1314"/>
      <c r="V1314"/>
      <c r="W1314"/>
      <c r="X1314"/>
    </row>
    <row r="1315" spans="5:24" x14ac:dyDescent="0.3">
      <c r="E1315" s="173"/>
      <c r="F1315" s="173"/>
      <c r="I1315"/>
      <c r="J1315"/>
      <c r="K1315"/>
      <c r="L1315"/>
      <c r="M1315"/>
      <c r="N1315"/>
      <c r="O1315"/>
      <c r="P1315" s="225"/>
      <c r="Q1315" s="225"/>
      <c r="R1315"/>
      <c r="S1315"/>
      <c r="T1315"/>
      <c r="U1315"/>
      <c r="V1315"/>
      <c r="W1315"/>
      <c r="X1315"/>
    </row>
    <row r="1316" spans="5:24" x14ac:dyDescent="0.3">
      <c r="E1316" s="173"/>
      <c r="F1316" s="173"/>
      <c r="I1316"/>
      <c r="J1316"/>
      <c r="K1316"/>
      <c r="L1316"/>
      <c r="M1316"/>
      <c r="N1316"/>
      <c r="O1316"/>
      <c r="P1316" s="225"/>
      <c r="Q1316" s="225"/>
      <c r="R1316"/>
      <c r="S1316"/>
      <c r="T1316"/>
      <c r="U1316"/>
      <c r="V1316"/>
      <c r="W1316"/>
      <c r="X1316"/>
    </row>
    <row r="1317" spans="5:24" x14ac:dyDescent="0.3">
      <c r="E1317" s="173"/>
      <c r="F1317" s="173"/>
      <c r="I1317"/>
      <c r="J1317"/>
      <c r="K1317"/>
      <c r="L1317"/>
      <c r="M1317"/>
      <c r="N1317"/>
      <c r="O1317"/>
      <c r="P1317" s="225"/>
      <c r="Q1317" s="225"/>
      <c r="R1317"/>
      <c r="S1317"/>
      <c r="T1317"/>
      <c r="U1317"/>
      <c r="V1317"/>
      <c r="W1317"/>
      <c r="X1317"/>
    </row>
    <row r="1318" spans="5:24" x14ac:dyDescent="0.3">
      <c r="E1318" s="173"/>
      <c r="F1318" s="173"/>
      <c r="I1318"/>
      <c r="J1318"/>
      <c r="K1318"/>
      <c r="L1318"/>
      <c r="M1318"/>
      <c r="N1318"/>
      <c r="O1318"/>
      <c r="P1318" s="225"/>
      <c r="Q1318" s="225"/>
      <c r="R1318"/>
      <c r="S1318"/>
      <c r="T1318"/>
      <c r="U1318"/>
      <c r="V1318"/>
      <c r="W1318"/>
      <c r="X1318"/>
    </row>
    <row r="1319" spans="5:24" x14ac:dyDescent="0.3">
      <c r="E1319" s="173"/>
      <c r="F1319" s="173"/>
      <c r="I1319"/>
      <c r="J1319"/>
      <c r="K1319"/>
      <c r="L1319"/>
      <c r="M1319"/>
      <c r="N1319"/>
      <c r="O1319"/>
      <c r="P1319" s="225"/>
      <c r="Q1319" s="225"/>
      <c r="R1319"/>
      <c r="S1319"/>
      <c r="T1319"/>
      <c r="U1319"/>
      <c r="V1319"/>
      <c r="W1319"/>
      <c r="X1319"/>
    </row>
    <row r="1320" spans="5:24" x14ac:dyDescent="0.3">
      <c r="E1320" s="173"/>
      <c r="F1320" s="173"/>
      <c r="I1320"/>
      <c r="J1320"/>
      <c r="K1320"/>
      <c r="L1320"/>
      <c r="M1320"/>
      <c r="N1320"/>
      <c r="O1320"/>
      <c r="P1320" s="225"/>
      <c r="Q1320" s="225"/>
      <c r="R1320"/>
      <c r="S1320"/>
      <c r="T1320"/>
      <c r="U1320"/>
      <c r="V1320"/>
      <c r="W1320"/>
      <c r="X1320"/>
    </row>
    <row r="1321" spans="5:24" x14ac:dyDescent="0.3">
      <c r="E1321" s="173"/>
      <c r="F1321" s="173"/>
      <c r="I1321"/>
      <c r="J1321"/>
      <c r="K1321"/>
      <c r="L1321"/>
      <c r="M1321"/>
      <c r="N1321"/>
      <c r="O1321"/>
      <c r="P1321" s="225"/>
      <c r="Q1321" s="225"/>
      <c r="R1321"/>
      <c r="S1321"/>
      <c r="T1321"/>
      <c r="U1321"/>
      <c r="V1321"/>
      <c r="W1321"/>
      <c r="X1321"/>
    </row>
    <row r="1322" spans="5:24" x14ac:dyDescent="0.3">
      <c r="E1322" s="173"/>
      <c r="F1322" s="173"/>
      <c r="I1322"/>
      <c r="J1322"/>
      <c r="K1322"/>
      <c r="L1322"/>
      <c r="M1322"/>
      <c r="N1322"/>
      <c r="O1322"/>
      <c r="P1322" s="225"/>
      <c r="Q1322" s="225"/>
      <c r="R1322"/>
      <c r="S1322"/>
      <c r="T1322"/>
      <c r="U1322"/>
      <c r="V1322"/>
      <c r="W1322"/>
      <c r="X1322"/>
    </row>
    <row r="1323" spans="5:24" x14ac:dyDescent="0.3">
      <c r="E1323" s="173"/>
      <c r="F1323" s="173"/>
      <c r="I1323"/>
      <c r="J1323"/>
      <c r="K1323"/>
      <c r="L1323"/>
      <c r="M1323"/>
      <c r="N1323"/>
      <c r="O1323"/>
      <c r="P1323" s="225"/>
      <c r="Q1323" s="225"/>
      <c r="R1323"/>
      <c r="S1323"/>
      <c r="T1323"/>
      <c r="U1323"/>
      <c r="V1323"/>
      <c r="W1323"/>
      <c r="X1323"/>
    </row>
    <row r="1324" spans="5:24" x14ac:dyDescent="0.3">
      <c r="E1324" s="173"/>
      <c r="F1324" s="173"/>
      <c r="I1324"/>
      <c r="J1324"/>
      <c r="K1324"/>
      <c r="L1324"/>
      <c r="M1324"/>
      <c r="N1324"/>
      <c r="O1324"/>
      <c r="P1324" s="225"/>
      <c r="Q1324" s="225"/>
      <c r="R1324"/>
      <c r="S1324"/>
      <c r="T1324"/>
      <c r="U1324"/>
      <c r="V1324"/>
      <c r="W1324"/>
      <c r="X1324"/>
    </row>
    <row r="1325" spans="5:24" x14ac:dyDescent="0.3">
      <c r="E1325" s="173"/>
      <c r="F1325" s="173"/>
      <c r="I1325"/>
      <c r="J1325"/>
      <c r="K1325"/>
      <c r="L1325"/>
      <c r="M1325"/>
      <c r="N1325"/>
      <c r="O1325"/>
      <c r="P1325" s="225"/>
      <c r="Q1325" s="225"/>
      <c r="R1325"/>
      <c r="S1325"/>
      <c r="T1325"/>
      <c r="U1325"/>
      <c r="V1325"/>
      <c r="W1325"/>
      <c r="X1325"/>
    </row>
    <row r="1326" spans="5:24" x14ac:dyDescent="0.3">
      <c r="E1326" s="173"/>
      <c r="F1326" s="173"/>
      <c r="I1326"/>
      <c r="J1326"/>
      <c r="K1326"/>
      <c r="L1326"/>
      <c r="M1326"/>
      <c r="N1326"/>
      <c r="O1326"/>
      <c r="P1326" s="225"/>
      <c r="Q1326" s="225"/>
      <c r="R1326"/>
      <c r="S1326"/>
      <c r="T1326"/>
      <c r="U1326"/>
      <c r="V1326"/>
      <c r="W1326"/>
      <c r="X1326"/>
    </row>
    <row r="1327" spans="5:24" x14ac:dyDescent="0.3">
      <c r="E1327" s="173"/>
      <c r="F1327" s="173"/>
      <c r="I1327"/>
      <c r="J1327"/>
      <c r="K1327"/>
      <c r="L1327"/>
      <c r="M1327"/>
      <c r="N1327"/>
      <c r="O1327"/>
      <c r="P1327" s="225"/>
      <c r="Q1327" s="225"/>
      <c r="R1327"/>
      <c r="S1327"/>
      <c r="T1327"/>
      <c r="U1327"/>
      <c r="V1327"/>
      <c r="W1327"/>
      <c r="X1327"/>
    </row>
    <row r="1328" spans="5:24" x14ac:dyDescent="0.3">
      <c r="E1328" s="173"/>
      <c r="F1328" s="173"/>
      <c r="I1328"/>
      <c r="J1328"/>
      <c r="K1328"/>
      <c r="L1328"/>
      <c r="M1328"/>
      <c r="N1328"/>
      <c r="O1328"/>
      <c r="P1328" s="225"/>
      <c r="Q1328" s="225"/>
      <c r="R1328"/>
      <c r="S1328"/>
      <c r="T1328"/>
      <c r="U1328"/>
      <c r="V1328"/>
      <c r="W1328"/>
      <c r="X1328"/>
    </row>
    <row r="1329" spans="5:24" x14ac:dyDescent="0.3">
      <c r="E1329" s="173"/>
      <c r="F1329" s="173"/>
      <c r="I1329"/>
      <c r="J1329"/>
      <c r="K1329"/>
      <c r="L1329"/>
      <c r="M1329"/>
      <c r="N1329"/>
      <c r="O1329"/>
      <c r="P1329" s="225"/>
      <c r="Q1329" s="225"/>
      <c r="R1329"/>
      <c r="S1329"/>
      <c r="T1329"/>
      <c r="U1329"/>
      <c r="V1329"/>
      <c r="W1329"/>
      <c r="X1329"/>
    </row>
    <row r="1330" spans="5:24" x14ac:dyDescent="0.3">
      <c r="E1330" s="173"/>
      <c r="F1330" s="173"/>
      <c r="I1330"/>
      <c r="J1330"/>
      <c r="K1330"/>
      <c r="L1330"/>
      <c r="M1330"/>
      <c r="N1330"/>
      <c r="O1330"/>
      <c r="P1330" s="225"/>
      <c r="Q1330" s="225"/>
      <c r="R1330"/>
      <c r="S1330"/>
      <c r="T1330"/>
      <c r="U1330"/>
      <c r="V1330"/>
      <c r="W1330"/>
      <c r="X1330"/>
    </row>
    <row r="1331" spans="5:24" x14ac:dyDescent="0.3">
      <c r="E1331" s="173"/>
      <c r="F1331" s="173"/>
      <c r="I1331"/>
      <c r="J1331"/>
      <c r="K1331"/>
      <c r="L1331"/>
      <c r="M1331"/>
      <c r="N1331"/>
      <c r="O1331"/>
      <c r="P1331" s="225"/>
      <c r="Q1331" s="225"/>
      <c r="R1331"/>
      <c r="S1331"/>
      <c r="T1331"/>
      <c r="U1331"/>
      <c r="V1331"/>
      <c r="W1331"/>
      <c r="X1331"/>
    </row>
    <row r="1332" spans="5:24" x14ac:dyDescent="0.3">
      <c r="E1332" s="173"/>
      <c r="F1332" s="173"/>
      <c r="I1332"/>
      <c r="J1332"/>
      <c r="K1332"/>
      <c r="L1332"/>
      <c r="M1332"/>
      <c r="N1332"/>
      <c r="O1332"/>
      <c r="P1332" s="225"/>
      <c r="Q1332" s="225"/>
      <c r="R1332"/>
      <c r="S1332"/>
      <c r="T1332"/>
      <c r="U1332"/>
      <c r="V1332"/>
      <c r="W1332"/>
      <c r="X1332"/>
    </row>
    <row r="1333" spans="5:24" x14ac:dyDescent="0.3">
      <c r="E1333" s="173"/>
      <c r="F1333" s="173"/>
      <c r="I1333"/>
      <c r="J1333"/>
      <c r="K1333"/>
      <c r="L1333"/>
      <c r="M1333"/>
      <c r="N1333"/>
      <c r="O1333"/>
      <c r="P1333" s="225"/>
      <c r="Q1333" s="225"/>
      <c r="R1333"/>
      <c r="S1333"/>
      <c r="T1333"/>
      <c r="U1333"/>
      <c r="V1333"/>
      <c r="W1333"/>
      <c r="X1333"/>
    </row>
    <row r="1334" spans="5:24" x14ac:dyDescent="0.3">
      <c r="E1334" s="173"/>
      <c r="F1334" s="173"/>
      <c r="I1334"/>
      <c r="J1334"/>
      <c r="K1334"/>
      <c r="L1334"/>
      <c r="M1334"/>
      <c r="N1334"/>
      <c r="O1334"/>
      <c r="P1334" s="225"/>
      <c r="Q1334" s="225"/>
      <c r="R1334"/>
      <c r="S1334"/>
      <c r="T1334"/>
      <c r="U1334"/>
      <c r="V1334"/>
      <c r="W1334"/>
      <c r="X1334"/>
    </row>
    <row r="1335" spans="5:24" x14ac:dyDescent="0.3">
      <c r="E1335" s="173"/>
      <c r="F1335" s="173"/>
      <c r="I1335"/>
      <c r="J1335"/>
      <c r="K1335"/>
      <c r="L1335"/>
      <c r="M1335"/>
      <c r="N1335"/>
      <c r="O1335"/>
      <c r="P1335" s="225"/>
      <c r="Q1335" s="225"/>
      <c r="R1335"/>
      <c r="S1335"/>
      <c r="T1335"/>
      <c r="U1335"/>
      <c r="V1335"/>
      <c r="W1335"/>
      <c r="X1335"/>
    </row>
    <row r="1336" spans="5:24" x14ac:dyDescent="0.3">
      <c r="E1336" s="173"/>
      <c r="F1336" s="173"/>
      <c r="I1336"/>
      <c r="J1336"/>
      <c r="K1336"/>
      <c r="L1336"/>
      <c r="M1336"/>
      <c r="N1336"/>
      <c r="O1336"/>
      <c r="P1336" s="225"/>
      <c r="Q1336" s="225"/>
      <c r="R1336"/>
      <c r="S1336"/>
      <c r="T1336"/>
      <c r="U1336"/>
      <c r="V1336"/>
      <c r="W1336"/>
      <c r="X1336"/>
    </row>
    <row r="1337" spans="5:24" x14ac:dyDescent="0.3">
      <c r="E1337" s="173"/>
      <c r="F1337" s="173"/>
      <c r="I1337"/>
      <c r="J1337"/>
      <c r="K1337"/>
      <c r="L1337"/>
      <c r="M1337"/>
      <c r="N1337"/>
      <c r="O1337"/>
      <c r="P1337" s="225"/>
      <c r="Q1337" s="225"/>
      <c r="R1337"/>
      <c r="S1337"/>
      <c r="T1337"/>
      <c r="U1337"/>
      <c r="V1337"/>
      <c r="W1337"/>
      <c r="X1337"/>
    </row>
    <row r="1338" spans="5:24" x14ac:dyDescent="0.3">
      <c r="E1338" s="173"/>
      <c r="F1338" s="173"/>
      <c r="I1338"/>
      <c r="J1338"/>
      <c r="K1338"/>
      <c r="L1338"/>
      <c r="M1338"/>
      <c r="N1338"/>
      <c r="O1338"/>
      <c r="P1338" s="225"/>
      <c r="Q1338" s="225"/>
      <c r="R1338"/>
      <c r="S1338"/>
      <c r="T1338"/>
      <c r="U1338"/>
      <c r="V1338"/>
      <c r="W1338"/>
      <c r="X1338"/>
    </row>
    <row r="1339" spans="5:24" x14ac:dyDescent="0.3">
      <c r="E1339" s="173"/>
      <c r="F1339" s="173"/>
      <c r="I1339"/>
      <c r="J1339"/>
      <c r="K1339"/>
      <c r="L1339"/>
      <c r="M1339"/>
      <c r="N1339"/>
      <c r="O1339"/>
      <c r="P1339" s="225"/>
      <c r="Q1339" s="225"/>
      <c r="R1339"/>
      <c r="S1339"/>
      <c r="T1339"/>
      <c r="U1339"/>
      <c r="V1339"/>
      <c r="W1339"/>
      <c r="X1339"/>
    </row>
    <row r="1340" spans="5:24" x14ac:dyDescent="0.3">
      <c r="E1340" s="173"/>
      <c r="F1340" s="173"/>
      <c r="I1340"/>
      <c r="J1340"/>
      <c r="K1340"/>
      <c r="L1340"/>
      <c r="M1340"/>
      <c r="N1340"/>
      <c r="O1340"/>
      <c r="P1340" s="225"/>
      <c r="Q1340" s="225"/>
      <c r="R1340"/>
      <c r="S1340"/>
      <c r="T1340"/>
      <c r="U1340"/>
      <c r="V1340"/>
      <c r="W1340"/>
      <c r="X1340"/>
    </row>
    <row r="1341" spans="5:24" x14ac:dyDescent="0.3">
      <c r="E1341" s="173"/>
      <c r="F1341" s="173"/>
      <c r="I1341"/>
      <c r="J1341"/>
      <c r="K1341"/>
      <c r="L1341"/>
      <c r="M1341"/>
      <c r="N1341"/>
      <c r="O1341"/>
      <c r="P1341" s="225"/>
      <c r="Q1341" s="225"/>
      <c r="R1341"/>
      <c r="S1341"/>
      <c r="T1341"/>
      <c r="U1341"/>
      <c r="V1341"/>
      <c r="W1341"/>
      <c r="X1341"/>
    </row>
    <row r="1342" spans="5:24" x14ac:dyDescent="0.3">
      <c r="E1342" s="173"/>
      <c r="F1342" s="173"/>
      <c r="I1342"/>
      <c r="J1342"/>
      <c r="K1342"/>
      <c r="L1342"/>
      <c r="M1342"/>
      <c r="N1342"/>
      <c r="O1342"/>
      <c r="P1342" s="225"/>
      <c r="Q1342" s="225"/>
      <c r="R1342"/>
      <c r="S1342"/>
      <c r="T1342"/>
      <c r="U1342"/>
      <c r="V1342"/>
      <c r="W1342"/>
      <c r="X1342"/>
    </row>
    <row r="1343" spans="5:24" x14ac:dyDescent="0.3">
      <c r="E1343" s="173"/>
      <c r="F1343" s="173"/>
      <c r="I1343"/>
      <c r="J1343"/>
      <c r="K1343"/>
      <c r="L1343"/>
      <c r="M1343"/>
      <c r="N1343"/>
      <c r="O1343"/>
      <c r="P1343" s="225"/>
      <c r="Q1343" s="225"/>
      <c r="R1343"/>
      <c r="S1343"/>
      <c r="T1343"/>
      <c r="U1343"/>
      <c r="V1343"/>
      <c r="W1343"/>
      <c r="X1343"/>
    </row>
    <row r="1344" spans="5:24" x14ac:dyDescent="0.3">
      <c r="E1344" s="173"/>
      <c r="F1344" s="173"/>
      <c r="I1344"/>
      <c r="J1344"/>
      <c r="K1344"/>
      <c r="L1344"/>
      <c r="M1344"/>
      <c r="N1344"/>
      <c r="O1344"/>
      <c r="P1344" s="225"/>
      <c r="Q1344" s="225"/>
      <c r="R1344"/>
      <c r="S1344"/>
      <c r="T1344"/>
      <c r="U1344"/>
      <c r="V1344"/>
      <c r="W1344"/>
      <c r="X1344"/>
    </row>
    <row r="1345" spans="5:24" x14ac:dyDescent="0.3">
      <c r="E1345" s="173"/>
      <c r="F1345" s="173"/>
      <c r="I1345"/>
      <c r="J1345"/>
      <c r="K1345"/>
      <c r="L1345"/>
      <c r="M1345"/>
      <c r="N1345"/>
      <c r="O1345"/>
      <c r="P1345" s="225"/>
      <c r="Q1345" s="225"/>
      <c r="R1345"/>
      <c r="S1345"/>
      <c r="T1345"/>
      <c r="U1345"/>
      <c r="V1345"/>
      <c r="W1345"/>
      <c r="X1345"/>
    </row>
    <row r="1346" spans="5:24" x14ac:dyDescent="0.3">
      <c r="E1346" s="173"/>
      <c r="F1346" s="173"/>
      <c r="I1346"/>
      <c r="J1346"/>
      <c r="K1346"/>
      <c r="L1346"/>
      <c r="M1346"/>
      <c r="N1346"/>
      <c r="O1346"/>
      <c r="P1346" s="225"/>
      <c r="Q1346" s="225"/>
      <c r="R1346"/>
      <c r="S1346"/>
      <c r="T1346"/>
      <c r="U1346"/>
      <c r="V1346"/>
      <c r="W1346"/>
      <c r="X1346"/>
    </row>
    <row r="1347" spans="5:24" x14ac:dyDescent="0.3">
      <c r="E1347" s="173"/>
      <c r="F1347" s="173"/>
      <c r="I1347"/>
      <c r="J1347"/>
      <c r="K1347"/>
      <c r="L1347"/>
      <c r="M1347"/>
      <c r="N1347"/>
      <c r="O1347"/>
      <c r="P1347" s="225"/>
      <c r="Q1347" s="225"/>
      <c r="R1347"/>
      <c r="S1347"/>
      <c r="T1347"/>
      <c r="U1347"/>
      <c r="V1347"/>
      <c r="W1347"/>
      <c r="X1347"/>
    </row>
    <row r="1348" spans="5:24" x14ac:dyDescent="0.3">
      <c r="E1348" s="173"/>
      <c r="F1348" s="173"/>
      <c r="I1348"/>
      <c r="J1348"/>
      <c r="K1348"/>
      <c r="L1348"/>
      <c r="M1348"/>
      <c r="N1348"/>
      <c r="O1348"/>
      <c r="P1348" s="225"/>
      <c r="Q1348" s="225"/>
      <c r="R1348"/>
      <c r="S1348"/>
      <c r="T1348"/>
      <c r="U1348"/>
      <c r="V1348"/>
      <c r="W1348"/>
      <c r="X1348"/>
    </row>
    <row r="1349" spans="5:24" x14ac:dyDescent="0.3">
      <c r="E1349" s="173"/>
      <c r="F1349" s="173"/>
      <c r="I1349"/>
      <c r="J1349"/>
      <c r="K1349"/>
      <c r="L1349"/>
      <c r="M1349"/>
      <c r="N1349"/>
      <c r="O1349"/>
      <c r="P1349" s="225"/>
      <c r="Q1349" s="225"/>
      <c r="R1349"/>
      <c r="S1349"/>
      <c r="T1349"/>
      <c r="U1349"/>
      <c r="V1349"/>
      <c r="W1349"/>
      <c r="X1349"/>
    </row>
    <row r="1350" spans="5:24" x14ac:dyDescent="0.3">
      <c r="E1350" s="173"/>
      <c r="F1350" s="173"/>
      <c r="I1350"/>
      <c r="J1350"/>
      <c r="K1350"/>
      <c r="L1350"/>
      <c r="M1350"/>
      <c r="N1350"/>
      <c r="O1350"/>
      <c r="P1350" s="225"/>
      <c r="Q1350" s="225"/>
      <c r="R1350"/>
      <c r="S1350"/>
      <c r="T1350"/>
      <c r="U1350"/>
      <c r="V1350"/>
      <c r="W1350"/>
      <c r="X1350"/>
    </row>
    <row r="1351" spans="5:24" x14ac:dyDescent="0.3">
      <c r="E1351" s="173"/>
      <c r="F1351" s="173"/>
      <c r="I1351"/>
      <c r="J1351"/>
      <c r="K1351"/>
      <c r="L1351"/>
      <c r="M1351"/>
      <c r="N1351"/>
      <c r="O1351"/>
      <c r="P1351" s="225"/>
      <c r="Q1351" s="225"/>
      <c r="R1351"/>
      <c r="S1351"/>
      <c r="T1351"/>
      <c r="U1351"/>
      <c r="V1351"/>
      <c r="W1351"/>
      <c r="X1351"/>
    </row>
    <row r="1352" spans="5:24" x14ac:dyDescent="0.3">
      <c r="E1352" s="173"/>
      <c r="F1352" s="173"/>
      <c r="I1352"/>
      <c r="J1352"/>
      <c r="K1352"/>
      <c r="L1352"/>
      <c r="M1352"/>
      <c r="N1352"/>
      <c r="O1352"/>
      <c r="P1352" s="225"/>
      <c r="Q1352" s="225"/>
      <c r="R1352"/>
      <c r="S1352"/>
      <c r="T1352"/>
      <c r="U1352"/>
      <c r="V1352"/>
      <c r="W1352"/>
      <c r="X1352"/>
    </row>
    <row r="1353" spans="5:24" x14ac:dyDescent="0.3">
      <c r="E1353" s="173"/>
      <c r="F1353" s="173"/>
      <c r="I1353"/>
      <c r="J1353"/>
      <c r="K1353"/>
      <c r="L1353"/>
      <c r="M1353"/>
      <c r="N1353"/>
      <c r="O1353"/>
      <c r="P1353" s="225"/>
      <c r="Q1353" s="225"/>
      <c r="R1353"/>
      <c r="S1353"/>
      <c r="T1353"/>
      <c r="U1353"/>
      <c r="V1353"/>
      <c r="W1353"/>
      <c r="X1353"/>
    </row>
    <row r="1354" spans="5:24" x14ac:dyDescent="0.3">
      <c r="E1354" s="173"/>
      <c r="F1354" s="173"/>
      <c r="I1354"/>
      <c r="J1354"/>
      <c r="K1354"/>
      <c r="L1354"/>
      <c r="M1354"/>
      <c r="N1354"/>
      <c r="O1354"/>
      <c r="P1354" s="225"/>
      <c r="Q1354" s="225"/>
      <c r="R1354"/>
      <c r="S1354"/>
      <c r="T1354"/>
      <c r="U1354"/>
      <c r="V1354"/>
      <c r="W1354"/>
      <c r="X1354"/>
    </row>
    <row r="1355" spans="5:24" x14ac:dyDescent="0.3">
      <c r="E1355" s="173"/>
      <c r="F1355" s="173"/>
      <c r="I1355"/>
      <c r="J1355"/>
      <c r="K1355"/>
      <c r="L1355"/>
      <c r="M1355"/>
      <c r="N1355"/>
      <c r="O1355"/>
      <c r="P1355" s="225"/>
      <c r="Q1355" s="225"/>
      <c r="R1355"/>
      <c r="S1355"/>
      <c r="T1355"/>
      <c r="U1355"/>
      <c r="V1355"/>
      <c r="W1355"/>
      <c r="X1355"/>
    </row>
    <row r="1356" spans="5:24" x14ac:dyDescent="0.3">
      <c r="E1356" s="173"/>
      <c r="F1356" s="173"/>
      <c r="I1356"/>
      <c r="J1356"/>
      <c r="K1356"/>
      <c r="L1356"/>
      <c r="M1356"/>
      <c r="N1356"/>
      <c r="O1356"/>
      <c r="P1356" s="225"/>
      <c r="Q1356" s="225"/>
      <c r="R1356"/>
      <c r="S1356"/>
      <c r="T1356"/>
      <c r="U1356"/>
      <c r="V1356"/>
      <c r="W1356"/>
      <c r="X1356"/>
    </row>
    <row r="1357" spans="5:24" x14ac:dyDescent="0.3">
      <c r="E1357" s="173"/>
      <c r="F1357" s="173"/>
      <c r="I1357"/>
      <c r="J1357"/>
      <c r="K1357"/>
      <c r="L1357"/>
      <c r="M1357"/>
      <c r="N1357"/>
      <c r="O1357"/>
      <c r="P1357" s="225"/>
      <c r="Q1357" s="225"/>
      <c r="R1357"/>
      <c r="S1357"/>
      <c r="T1357"/>
      <c r="U1357"/>
      <c r="V1357"/>
      <c r="W1357"/>
      <c r="X1357"/>
    </row>
    <row r="1358" spans="5:24" x14ac:dyDescent="0.3">
      <c r="E1358" s="173"/>
      <c r="F1358" s="173"/>
      <c r="I1358"/>
      <c r="J1358"/>
      <c r="K1358"/>
      <c r="L1358"/>
      <c r="M1358"/>
      <c r="N1358"/>
      <c r="O1358"/>
      <c r="P1358" s="225"/>
      <c r="Q1358" s="225"/>
      <c r="R1358"/>
      <c r="S1358"/>
      <c r="T1358"/>
      <c r="U1358"/>
      <c r="V1358"/>
      <c r="W1358"/>
      <c r="X1358"/>
    </row>
    <row r="1359" spans="5:24" x14ac:dyDescent="0.3">
      <c r="E1359" s="173"/>
      <c r="F1359" s="173"/>
      <c r="I1359"/>
      <c r="J1359"/>
      <c r="K1359"/>
      <c r="L1359"/>
      <c r="M1359"/>
      <c r="N1359"/>
      <c r="O1359"/>
      <c r="P1359" s="225"/>
      <c r="Q1359" s="225"/>
      <c r="R1359"/>
      <c r="S1359"/>
      <c r="T1359"/>
      <c r="U1359"/>
      <c r="V1359"/>
      <c r="W1359"/>
      <c r="X1359"/>
    </row>
    <row r="1360" spans="5:24" x14ac:dyDescent="0.3">
      <c r="E1360" s="173"/>
      <c r="F1360" s="173"/>
      <c r="I1360"/>
      <c r="J1360"/>
      <c r="K1360"/>
      <c r="L1360"/>
      <c r="M1360"/>
      <c r="N1360"/>
      <c r="O1360"/>
      <c r="P1360" s="225"/>
      <c r="Q1360" s="225"/>
      <c r="R1360"/>
      <c r="S1360"/>
      <c r="T1360"/>
      <c r="U1360"/>
      <c r="V1360"/>
      <c r="W1360"/>
      <c r="X1360"/>
    </row>
    <row r="1361" spans="5:24" x14ac:dyDescent="0.3">
      <c r="E1361" s="173"/>
      <c r="F1361" s="173"/>
      <c r="I1361"/>
      <c r="J1361"/>
      <c r="K1361"/>
      <c r="L1361"/>
      <c r="M1361"/>
      <c r="N1361"/>
      <c r="O1361"/>
      <c r="P1361" s="225"/>
      <c r="Q1361" s="225"/>
      <c r="R1361"/>
      <c r="S1361"/>
      <c r="T1361"/>
      <c r="U1361"/>
      <c r="V1361"/>
      <c r="W1361"/>
      <c r="X1361"/>
    </row>
    <row r="1362" spans="5:24" x14ac:dyDescent="0.3">
      <c r="E1362" s="173"/>
      <c r="F1362" s="173"/>
      <c r="I1362"/>
      <c r="J1362"/>
      <c r="K1362"/>
      <c r="L1362"/>
      <c r="M1362"/>
      <c r="N1362"/>
      <c r="O1362"/>
      <c r="P1362" s="225"/>
      <c r="Q1362" s="225"/>
      <c r="R1362"/>
      <c r="S1362"/>
      <c r="T1362"/>
      <c r="U1362"/>
      <c r="V1362"/>
      <c r="W1362"/>
      <c r="X1362"/>
    </row>
    <row r="1363" spans="5:24" x14ac:dyDescent="0.3">
      <c r="E1363" s="173"/>
      <c r="F1363" s="173"/>
      <c r="I1363"/>
      <c r="J1363"/>
      <c r="K1363"/>
      <c r="L1363"/>
      <c r="M1363"/>
      <c r="N1363"/>
      <c r="O1363"/>
      <c r="P1363" s="225"/>
      <c r="Q1363" s="225"/>
      <c r="R1363"/>
      <c r="S1363"/>
      <c r="T1363"/>
      <c r="U1363"/>
      <c r="V1363"/>
      <c r="W1363"/>
      <c r="X1363"/>
    </row>
    <row r="1364" spans="5:24" x14ac:dyDescent="0.3">
      <c r="E1364" s="173"/>
      <c r="F1364" s="173"/>
      <c r="I1364"/>
      <c r="J1364"/>
      <c r="K1364"/>
      <c r="L1364"/>
      <c r="M1364"/>
      <c r="N1364"/>
      <c r="O1364"/>
      <c r="P1364" s="225"/>
      <c r="Q1364" s="225"/>
      <c r="R1364"/>
      <c r="S1364"/>
      <c r="T1364"/>
      <c r="U1364"/>
      <c r="V1364"/>
      <c r="W1364"/>
      <c r="X1364"/>
    </row>
    <row r="1365" spans="5:24" x14ac:dyDescent="0.3">
      <c r="E1365" s="173"/>
      <c r="F1365" s="173"/>
      <c r="I1365"/>
      <c r="J1365"/>
      <c r="K1365"/>
      <c r="L1365"/>
      <c r="M1365"/>
      <c r="N1365"/>
      <c r="O1365"/>
      <c r="P1365" s="225"/>
      <c r="Q1365" s="225"/>
      <c r="R1365"/>
      <c r="S1365"/>
      <c r="T1365"/>
      <c r="U1365"/>
      <c r="V1365"/>
      <c r="W1365"/>
      <c r="X1365"/>
    </row>
    <row r="1366" spans="5:24" x14ac:dyDescent="0.3">
      <c r="E1366" s="173"/>
      <c r="F1366" s="173"/>
      <c r="I1366"/>
      <c r="J1366"/>
      <c r="K1366"/>
      <c r="L1366"/>
      <c r="M1366"/>
      <c r="N1366"/>
      <c r="O1366"/>
      <c r="P1366" s="225"/>
      <c r="Q1366" s="225"/>
      <c r="R1366"/>
      <c r="S1366"/>
      <c r="T1366"/>
      <c r="U1366"/>
      <c r="V1366"/>
      <c r="W1366"/>
      <c r="X1366"/>
    </row>
    <row r="1367" spans="5:24" x14ac:dyDescent="0.3">
      <c r="E1367" s="173"/>
      <c r="F1367" s="173"/>
      <c r="I1367"/>
      <c r="J1367"/>
      <c r="K1367"/>
      <c r="L1367"/>
      <c r="M1367"/>
      <c r="N1367"/>
      <c r="O1367"/>
      <c r="P1367" s="225"/>
      <c r="Q1367" s="225"/>
      <c r="R1367"/>
      <c r="S1367"/>
      <c r="T1367"/>
      <c r="U1367"/>
      <c r="V1367"/>
      <c r="W1367"/>
      <c r="X1367"/>
    </row>
    <row r="1368" spans="5:24" x14ac:dyDescent="0.3">
      <c r="E1368" s="173"/>
      <c r="F1368" s="173"/>
      <c r="I1368"/>
      <c r="J1368"/>
      <c r="K1368"/>
      <c r="L1368"/>
      <c r="M1368"/>
      <c r="N1368"/>
      <c r="O1368"/>
      <c r="P1368" s="225"/>
      <c r="Q1368" s="225"/>
      <c r="R1368"/>
      <c r="S1368"/>
      <c r="T1368"/>
      <c r="U1368"/>
      <c r="V1368"/>
      <c r="W1368"/>
      <c r="X1368"/>
    </row>
    <row r="1369" spans="5:24" x14ac:dyDescent="0.3">
      <c r="E1369" s="173"/>
      <c r="F1369" s="173"/>
      <c r="I1369"/>
      <c r="J1369"/>
      <c r="K1369"/>
      <c r="L1369"/>
      <c r="M1369"/>
      <c r="N1369"/>
      <c r="O1369"/>
      <c r="P1369" s="225"/>
      <c r="Q1369" s="225"/>
      <c r="R1369"/>
      <c r="S1369"/>
      <c r="T1369"/>
      <c r="U1369"/>
      <c r="V1369"/>
      <c r="W1369"/>
      <c r="X1369"/>
    </row>
    <row r="1370" spans="5:24" x14ac:dyDescent="0.3">
      <c r="E1370" s="173"/>
      <c r="F1370" s="173"/>
      <c r="I1370"/>
      <c r="J1370"/>
      <c r="K1370"/>
      <c r="L1370"/>
      <c r="M1370"/>
      <c r="N1370"/>
      <c r="O1370"/>
      <c r="P1370" s="225"/>
      <c r="Q1370" s="225"/>
      <c r="R1370"/>
      <c r="S1370"/>
      <c r="T1370"/>
      <c r="U1370"/>
      <c r="V1370"/>
      <c r="W1370"/>
      <c r="X1370"/>
    </row>
    <row r="1371" spans="5:24" x14ac:dyDescent="0.3">
      <c r="E1371" s="173"/>
      <c r="F1371" s="173"/>
      <c r="I1371"/>
      <c r="J1371"/>
      <c r="K1371"/>
      <c r="L1371"/>
      <c r="M1371"/>
      <c r="N1371"/>
      <c r="O1371"/>
      <c r="P1371" s="225"/>
      <c r="Q1371" s="225"/>
      <c r="R1371"/>
      <c r="S1371"/>
      <c r="T1371"/>
      <c r="U1371"/>
      <c r="V1371"/>
      <c r="W1371"/>
      <c r="X1371"/>
    </row>
    <row r="1372" spans="5:24" x14ac:dyDescent="0.3">
      <c r="E1372" s="173"/>
      <c r="F1372" s="173"/>
      <c r="I1372"/>
      <c r="J1372"/>
      <c r="K1372"/>
      <c r="L1372"/>
      <c r="M1372"/>
      <c r="N1372"/>
      <c r="O1372"/>
      <c r="P1372" s="225"/>
      <c r="Q1372" s="225"/>
      <c r="R1372"/>
      <c r="S1372"/>
      <c r="T1372"/>
      <c r="U1372"/>
      <c r="V1372"/>
      <c r="W1372"/>
      <c r="X1372"/>
    </row>
    <row r="1373" spans="5:24" x14ac:dyDescent="0.3">
      <c r="E1373" s="173"/>
      <c r="F1373" s="173"/>
      <c r="I1373"/>
      <c r="J1373"/>
      <c r="K1373"/>
      <c r="L1373"/>
      <c r="M1373"/>
      <c r="N1373"/>
      <c r="O1373"/>
      <c r="P1373" s="225"/>
      <c r="Q1373" s="225"/>
      <c r="R1373"/>
      <c r="S1373"/>
      <c r="T1373"/>
      <c r="U1373"/>
      <c r="V1373"/>
      <c r="W1373"/>
      <c r="X1373"/>
    </row>
    <row r="1374" spans="5:24" x14ac:dyDescent="0.3">
      <c r="E1374" s="173"/>
      <c r="F1374" s="173"/>
      <c r="I1374"/>
      <c r="J1374"/>
      <c r="K1374"/>
      <c r="L1374"/>
      <c r="M1374"/>
      <c r="N1374"/>
      <c r="O1374"/>
      <c r="P1374" s="225"/>
      <c r="Q1374" s="225"/>
      <c r="R1374"/>
      <c r="S1374"/>
      <c r="T1374"/>
      <c r="U1374"/>
      <c r="V1374"/>
      <c r="W1374"/>
      <c r="X1374"/>
    </row>
    <row r="1375" spans="5:24" x14ac:dyDescent="0.3">
      <c r="E1375" s="173"/>
      <c r="F1375" s="173"/>
      <c r="I1375"/>
      <c r="J1375"/>
      <c r="K1375"/>
      <c r="L1375"/>
      <c r="M1375"/>
      <c r="N1375"/>
      <c r="O1375"/>
      <c r="P1375" s="225"/>
      <c r="Q1375" s="225"/>
      <c r="R1375"/>
      <c r="S1375"/>
      <c r="T1375"/>
      <c r="U1375"/>
      <c r="V1375"/>
      <c r="W1375"/>
      <c r="X1375"/>
    </row>
    <row r="1376" spans="5:24" x14ac:dyDescent="0.3">
      <c r="E1376" s="173"/>
      <c r="F1376" s="173"/>
      <c r="I1376"/>
      <c r="J1376"/>
      <c r="K1376"/>
      <c r="L1376"/>
      <c r="M1376"/>
      <c r="N1376"/>
      <c r="O1376"/>
      <c r="P1376" s="225"/>
      <c r="Q1376" s="225"/>
      <c r="R1376"/>
      <c r="S1376"/>
      <c r="T1376"/>
      <c r="U1376"/>
      <c r="V1376"/>
      <c r="W1376"/>
      <c r="X1376"/>
    </row>
    <row r="1377" spans="5:24" x14ac:dyDescent="0.3">
      <c r="E1377" s="173"/>
      <c r="F1377" s="173"/>
      <c r="I1377"/>
      <c r="J1377"/>
      <c r="K1377"/>
      <c r="L1377"/>
      <c r="M1377"/>
      <c r="N1377"/>
      <c r="O1377"/>
      <c r="P1377" s="225"/>
      <c r="Q1377" s="225"/>
      <c r="R1377"/>
      <c r="S1377"/>
      <c r="T1377"/>
      <c r="U1377"/>
      <c r="V1377"/>
      <c r="W1377"/>
      <c r="X1377"/>
    </row>
    <row r="1378" spans="5:24" x14ac:dyDescent="0.3">
      <c r="E1378" s="173"/>
      <c r="F1378" s="173"/>
      <c r="I1378"/>
      <c r="J1378"/>
      <c r="K1378"/>
      <c r="L1378"/>
      <c r="M1378"/>
      <c r="N1378"/>
      <c r="O1378"/>
      <c r="P1378" s="225"/>
      <c r="Q1378" s="225"/>
      <c r="R1378"/>
      <c r="S1378"/>
      <c r="T1378"/>
      <c r="U1378"/>
      <c r="V1378"/>
      <c r="W1378"/>
      <c r="X1378"/>
    </row>
    <row r="1379" spans="5:24" x14ac:dyDescent="0.3">
      <c r="E1379" s="173"/>
      <c r="F1379" s="173"/>
      <c r="I1379"/>
      <c r="J1379"/>
      <c r="K1379"/>
      <c r="L1379"/>
      <c r="M1379"/>
      <c r="N1379"/>
      <c r="O1379"/>
      <c r="P1379" s="225"/>
      <c r="Q1379" s="225"/>
      <c r="R1379"/>
      <c r="S1379"/>
      <c r="T1379"/>
      <c r="U1379"/>
      <c r="V1379"/>
      <c r="W1379"/>
      <c r="X1379"/>
    </row>
    <row r="1380" spans="5:24" x14ac:dyDescent="0.3">
      <c r="E1380" s="173"/>
      <c r="F1380" s="173"/>
      <c r="I1380"/>
      <c r="J1380"/>
      <c r="K1380"/>
      <c r="L1380"/>
      <c r="M1380"/>
      <c r="N1380"/>
      <c r="O1380"/>
      <c r="P1380" s="225"/>
      <c r="Q1380" s="225"/>
      <c r="R1380"/>
      <c r="S1380"/>
      <c r="T1380"/>
      <c r="U1380"/>
      <c r="V1380"/>
      <c r="W1380"/>
      <c r="X1380"/>
    </row>
    <row r="1381" spans="5:24" x14ac:dyDescent="0.3">
      <c r="E1381" s="173"/>
      <c r="F1381" s="173"/>
      <c r="I1381"/>
      <c r="J1381"/>
      <c r="K1381"/>
      <c r="L1381"/>
      <c r="M1381"/>
      <c r="N1381"/>
      <c r="O1381"/>
      <c r="P1381" s="225"/>
      <c r="Q1381" s="225"/>
      <c r="R1381"/>
      <c r="S1381"/>
      <c r="T1381"/>
      <c r="U1381"/>
      <c r="V1381"/>
      <c r="W1381"/>
      <c r="X1381"/>
    </row>
    <row r="1382" spans="5:24" x14ac:dyDescent="0.3">
      <c r="E1382" s="173"/>
      <c r="F1382" s="173"/>
      <c r="I1382"/>
      <c r="J1382"/>
      <c r="K1382"/>
      <c r="L1382"/>
      <c r="M1382"/>
      <c r="N1382"/>
      <c r="O1382"/>
      <c r="P1382" s="225"/>
      <c r="Q1382" s="225"/>
      <c r="R1382"/>
      <c r="S1382"/>
      <c r="T1382"/>
      <c r="U1382"/>
      <c r="V1382"/>
      <c r="W1382"/>
      <c r="X1382"/>
    </row>
    <row r="1383" spans="5:24" x14ac:dyDescent="0.3">
      <c r="E1383" s="173"/>
      <c r="F1383" s="173"/>
      <c r="I1383"/>
      <c r="J1383"/>
      <c r="K1383"/>
      <c r="L1383"/>
      <c r="M1383"/>
      <c r="N1383"/>
      <c r="O1383"/>
      <c r="P1383" s="225"/>
      <c r="Q1383" s="225"/>
      <c r="R1383"/>
      <c r="S1383"/>
      <c r="T1383"/>
      <c r="U1383"/>
      <c r="V1383"/>
      <c r="W1383"/>
      <c r="X1383"/>
    </row>
    <row r="1384" spans="5:24" x14ac:dyDescent="0.3">
      <c r="E1384" s="173"/>
      <c r="F1384" s="173"/>
      <c r="I1384"/>
      <c r="J1384"/>
      <c r="K1384"/>
      <c r="L1384"/>
      <c r="M1384"/>
      <c r="N1384"/>
      <c r="O1384"/>
      <c r="P1384" s="225"/>
      <c r="Q1384" s="225"/>
      <c r="R1384"/>
      <c r="S1384"/>
      <c r="T1384"/>
      <c r="U1384"/>
      <c r="V1384"/>
      <c r="W1384"/>
      <c r="X1384"/>
    </row>
    <row r="1385" spans="5:24" x14ac:dyDescent="0.3">
      <c r="E1385" s="173"/>
      <c r="F1385" s="173"/>
      <c r="I1385"/>
      <c r="J1385"/>
      <c r="K1385"/>
      <c r="L1385"/>
      <c r="M1385"/>
      <c r="N1385"/>
      <c r="O1385"/>
      <c r="P1385" s="225"/>
      <c r="Q1385" s="225"/>
      <c r="R1385"/>
      <c r="S1385"/>
      <c r="T1385"/>
      <c r="U1385"/>
      <c r="V1385"/>
      <c r="W1385"/>
      <c r="X1385"/>
    </row>
    <row r="1386" spans="5:24" x14ac:dyDescent="0.3">
      <c r="E1386" s="173"/>
      <c r="F1386" s="173"/>
      <c r="I1386"/>
      <c r="J1386"/>
      <c r="K1386"/>
      <c r="L1386"/>
      <c r="M1386"/>
      <c r="N1386"/>
      <c r="O1386"/>
      <c r="P1386" s="225"/>
      <c r="Q1386" s="225"/>
      <c r="R1386"/>
      <c r="S1386"/>
      <c r="T1386"/>
      <c r="U1386"/>
      <c r="V1386"/>
      <c r="W1386"/>
      <c r="X1386"/>
    </row>
    <row r="1387" spans="5:24" x14ac:dyDescent="0.3">
      <c r="E1387" s="173"/>
      <c r="F1387" s="173"/>
      <c r="I1387"/>
      <c r="J1387"/>
      <c r="K1387"/>
      <c r="L1387"/>
      <c r="M1387"/>
      <c r="N1387"/>
      <c r="O1387"/>
      <c r="P1387" s="225"/>
      <c r="Q1387" s="225"/>
      <c r="R1387"/>
      <c r="S1387"/>
      <c r="T1387"/>
      <c r="U1387"/>
      <c r="V1387"/>
      <c r="W1387"/>
      <c r="X1387"/>
    </row>
    <row r="1388" spans="5:24" x14ac:dyDescent="0.3">
      <c r="E1388" s="173"/>
      <c r="F1388" s="173"/>
      <c r="I1388"/>
      <c r="J1388"/>
      <c r="K1388"/>
      <c r="L1388"/>
      <c r="M1388"/>
      <c r="N1388"/>
      <c r="O1388"/>
      <c r="P1388" s="225"/>
      <c r="Q1388" s="225"/>
      <c r="R1388"/>
      <c r="S1388"/>
      <c r="T1388"/>
      <c r="U1388"/>
      <c r="V1388"/>
      <c r="W1388"/>
      <c r="X1388"/>
    </row>
    <row r="1389" spans="5:24" x14ac:dyDescent="0.3">
      <c r="E1389" s="173"/>
      <c r="F1389" s="173"/>
      <c r="I1389"/>
      <c r="J1389"/>
      <c r="K1389"/>
      <c r="L1389"/>
      <c r="M1389"/>
      <c r="N1389"/>
      <c r="O1389"/>
      <c r="P1389" s="225"/>
      <c r="Q1389" s="225"/>
      <c r="R1389"/>
      <c r="S1389"/>
      <c r="T1389"/>
      <c r="U1389"/>
      <c r="V1389"/>
      <c r="W1389"/>
      <c r="X1389"/>
    </row>
    <row r="1390" spans="5:24" x14ac:dyDescent="0.3">
      <c r="E1390" s="173"/>
      <c r="F1390" s="173"/>
      <c r="I1390"/>
      <c r="J1390"/>
      <c r="K1390"/>
      <c r="L1390"/>
      <c r="M1390"/>
      <c r="N1390"/>
      <c r="O1390"/>
      <c r="P1390" s="225"/>
      <c r="Q1390" s="225"/>
      <c r="R1390"/>
      <c r="S1390"/>
      <c r="T1390"/>
      <c r="U1390"/>
      <c r="V1390"/>
      <c r="W1390"/>
      <c r="X1390"/>
    </row>
    <row r="1391" spans="5:24" x14ac:dyDescent="0.3">
      <c r="E1391" s="173"/>
      <c r="F1391" s="173"/>
      <c r="I1391"/>
      <c r="J1391"/>
      <c r="K1391"/>
      <c r="L1391"/>
      <c r="M1391"/>
      <c r="N1391"/>
      <c r="O1391"/>
      <c r="P1391" s="225"/>
      <c r="Q1391" s="225"/>
      <c r="R1391"/>
      <c r="S1391"/>
      <c r="T1391"/>
      <c r="U1391"/>
      <c r="V1391"/>
      <c r="W1391"/>
      <c r="X1391"/>
    </row>
    <row r="1392" spans="5:24" x14ac:dyDescent="0.3">
      <c r="E1392" s="173"/>
      <c r="F1392" s="173"/>
      <c r="I1392"/>
      <c r="J1392"/>
      <c r="K1392"/>
      <c r="L1392"/>
      <c r="M1392"/>
      <c r="N1392"/>
      <c r="O1392"/>
      <c r="P1392" s="225"/>
      <c r="Q1392" s="225"/>
      <c r="R1392"/>
      <c r="S1392"/>
      <c r="T1392"/>
      <c r="U1392"/>
      <c r="V1392"/>
      <c r="W1392"/>
      <c r="X1392"/>
    </row>
    <row r="1393" spans="5:24" x14ac:dyDescent="0.3">
      <c r="E1393" s="173"/>
      <c r="F1393" s="173"/>
      <c r="I1393"/>
      <c r="J1393"/>
      <c r="K1393"/>
      <c r="L1393"/>
      <c r="M1393"/>
      <c r="N1393"/>
      <c r="O1393"/>
      <c r="P1393" s="225"/>
      <c r="Q1393" s="225"/>
      <c r="R1393"/>
      <c r="S1393"/>
      <c r="T1393"/>
      <c r="U1393"/>
      <c r="V1393"/>
      <c r="W1393"/>
      <c r="X1393"/>
    </row>
    <row r="1394" spans="5:24" x14ac:dyDescent="0.3">
      <c r="E1394" s="173"/>
      <c r="F1394" s="173"/>
      <c r="I1394"/>
      <c r="J1394"/>
      <c r="K1394"/>
      <c r="L1394"/>
      <c r="M1394"/>
      <c r="N1394"/>
      <c r="O1394"/>
      <c r="P1394" s="225"/>
      <c r="Q1394" s="225"/>
      <c r="R1394"/>
      <c r="S1394"/>
      <c r="T1394"/>
      <c r="U1394"/>
      <c r="V1394"/>
      <c r="W1394"/>
      <c r="X1394"/>
    </row>
    <row r="1395" spans="5:24" x14ac:dyDescent="0.3">
      <c r="E1395" s="173"/>
      <c r="F1395" s="173"/>
      <c r="I1395"/>
      <c r="J1395"/>
      <c r="K1395"/>
      <c r="L1395"/>
      <c r="M1395"/>
      <c r="N1395"/>
      <c r="O1395"/>
      <c r="P1395" s="225"/>
      <c r="Q1395" s="225"/>
      <c r="R1395"/>
      <c r="S1395"/>
      <c r="T1395"/>
      <c r="U1395"/>
      <c r="V1395"/>
      <c r="W1395"/>
      <c r="X1395"/>
    </row>
    <row r="1396" spans="5:24" x14ac:dyDescent="0.3">
      <c r="E1396" s="173"/>
      <c r="F1396" s="173"/>
      <c r="I1396"/>
      <c r="J1396"/>
      <c r="K1396"/>
      <c r="L1396"/>
      <c r="M1396"/>
      <c r="N1396"/>
      <c r="O1396"/>
      <c r="P1396" s="225"/>
      <c r="Q1396" s="225"/>
      <c r="R1396"/>
      <c r="S1396"/>
      <c r="T1396"/>
      <c r="U1396"/>
      <c r="V1396"/>
      <c r="W1396"/>
      <c r="X1396"/>
    </row>
    <row r="1397" spans="5:24" x14ac:dyDescent="0.3">
      <c r="E1397" s="173"/>
      <c r="F1397" s="173"/>
      <c r="I1397"/>
      <c r="J1397"/>
      <c r="K1397"/>
      <c r="L1397"/>
      <c r="M1397"/>
      <c r="N1397"/>
      <c r="O1397"/>
      <c r="P1397" s="225"/>
      <c r="Q1397" s="225"/>
      <c r="R1397"/>
      <c r="S1397"/>
      <c r="T1397"/>
      <c r="U1397"/>
      <c r="V1397"/>
      <c r="W1397"/>
      <c r="X1397"/>
    </row>
    <row r="1398" spans="5:24" x14ac:dyDescent="0.3">
      <c r="E1398" s="173"/>
      <c r="F1398" s="173"/>
      <c r="I1398"/>
      <c r="J1398"/>
      <c r="K1398"/>
      <c r="L1398"/>
      <c r="M1398"/>
      <c r="N1398"/>
      <c r="O1398"/>
      <c r="P1398" s="225"/>
      <c r="Q1398" s="225"/>
      <c r="R1398"/>
      <c r="S1398"/>
      <c r="T1398"/>
      <c r="U1398"/>
      <c r="V1398"/>
      <c r="W1398"/>
      <c r="X1398"/>
    </row>
    <row r="1399" spans="5:24" x14ac:dyDescent="0.3">
      <c r="E1399" s="173"/>
      <c r="F1399" s="173"/>
      <c r="I1399"/>
      <c r="J1399"/>
      <c r="K1399"/>
      <c r="L1399"/>
      <c r="M1399"/>
      <c r="N1399"/>
      <c r="O1399"/>
      <c r="P1399" s="225"/>
      <c r="Q1399" s="225"/>
      <c r="R1399"/>
      <c r="S1399"/>
      <c r="T1399"/>
      <c r="U1399"/>
      <c r="V1399"/>
      <c r="W1399"/>
      <c r="X1399"/>
    </row>
    <row r="1400" spans="5:24" x14ac:dyDescent="0.3">
      <c r="E1400" s="173"/>
      <c r="F1400" s="173"/>
      <c r="I1400"/>
      <c r="J1400"/>
      <c r="K1400"/>
      <c r="L1400"/>
      <c r="M1400"/>
      <c r="N1400"/>
      <c r="O1400"/>
      <c r="P1400" s="225"/>
      <c r="Q1400" s="225"/>
      <c r="R1400"/>
      <c r="S1400"/>
      <c r="T1400"/>
      <c r="U1400"/>
      <c r="V1400"/>
      <c r="W1400"/>
      <c r="X1400"/>
    </row>
    <row r="1401" spans="5:24" x14ac:dyDescent="0.3">
      <c r="E1401" s="173"/>
      <c r="F1401" s="173"/>
      <c r="I1401"/>
      <c r="J1401"/>
      <c r="K1401"/>
      <c r="L1401"/>
      <c r="M1401"/>
      <c r="N1401"/>
      <c r="O1401"/>
      <c r="P1401" s="225"/>
      <c r="Q1401" s="225"/>
      <c r="R1401"/>
      <c r="S1401"/>
      <c r="T1401"/>
      <c r="U1401"/>
      <c r="V1401"/>
      <c r="W1401"/>
      <c r="X1401"/>
    </row>
    <row r="1402" spans="5:24" x14ac:dyDescent="0.3">
      <c r="E1402" s="173"/>
      <c r="F1402" s="173"/>
      <c r="I1402"/>
      <c r="J1402"/>
      <c r="K1402"/>
      <c r="L1402"/>
      <c r="M1402"/>
      <c r="N1402"/>
      <c r="O1402"/>
      <c r="P1402" s="225"/>
      <c r="Q1402" s="225"/>
      <c r="R1402"/>
      <c r="S1402"/>
      <c r="T1402"/>
      <c r="U1402"/>
      <c r="V1402"/>
      <c r="W1402"/>
      <c r="X1402"/>
    </row>
    <row r="1403" spans="5:24" x14ac:dyDescent="0.3">
      <c r="E1403" s="173"/>
      <c r="F1403" s="173"/>
      <c r="I1403"/>
      <c r="J1403"/>
      <c r="K1403"/>
      <c r="L1403"/>
      <c r="M1403"/>
      <c r="N1403"/>
      <c r="O1403"/>
      <c r="P1403" s="225"/>
      <c r="Q1403" s="225"/>
      <c r="R1403"/>
      <c r="S1403"/>
      <c r="T1403"/>
      <c r="U1403"/>
      <c r="V1403"/>
      <c r="W1403"/>
      <c r="X1403"/>
    </row>
    <row r="1404" spans="5:24" x14ac:dyDescent="0.3">
      <c r="E1404" s="173"/>
      <c r="F1404" s="173"/>
      <c r="I1404"/>
      <c r="J1404"/>
      <c r="K1404"/>
      <c r="L1404"/>
      <c r="M1404"/>
      <c r="N1404"/>
      <c r="O1404"/>
      <c r="P1404" s="225"/>
      <c r="Q1404" s="225"/>
      <c r="R1404"/>
      <c r="S1404"/>
      <c r="T1404"/>
      <c r="U1404"/>
      <c r="V1404"/>
      <c r="W1404"/>
      <c r="X1404"/>
    </row>
    <row r="1405" spans="5:24" x14ac:dyDescent="0.3">
      <c r="E1405" s="173"/>
      <c r="F1405" s="173"/>
      <c r="I1405"/>
      <c r="J1405"/>
      <c r="K1405"/>
      <c r="L1405"/>
      <c r="M1405"/>
      <c r="N1405"/>
      <c r="O1405"/>
      <c r="P1405" s="225"/>
      <c r="Q1405" s="225"/>
      <c r="R1405"/>
      <c r="S1405"/>
      <c r="T1405"/>
      <c r="U1405"/>
      <c r="V1405"/>
      <c r="W1405"/>
      <c r="X1405"/>
    </row>
    <row r="1406" spans="5:24" x14ac:dyDescent="0.3">
      <c r="E1406" s="173"/>
      <c r="F1406" s="173"/>
      <c r="I1406"/>
      <c r="J1406"/>
      <c r="K1406"/>
      <c r="L1406"/>
      <c r="M1406"/>
      <c r="N1406"/>
      <c r="O1406"/>
      <c r="P1406" s="225"/>
      <c r="Q1406" s="225"/>
      <c r="R1406"/>
      <c r="S1406"/>
      <c r="T1406"/>
      <c r="U1406"/>
      <c r="V1406"/>
      <c r="W1406"/>
      <c r="X1406"/>
    </row>
    <row r="1407" spans="5:24" x14ac:dyDescent="0.3">
      <c r="E1407" s="173"/>
      <c r="F1407" s="173"/>
      <c r="I1407"/>
      <c r="J1407"/>
      <c r="K1407"/>
      <c r="L1407"/>
      <c r="M1407"/>
      <c r="N1407"/>
      <c r="O1407"/>
      <c r="P1407" s="225"/>
      <c r="Q1407" s="225"/>
      <c r="R1407"/>
      <c r="S1407"/>
      <c r="T1407"/>
      <c r="U1407"/>
      <c r="V1407"/>
      <c r="W1407"/>
      <c r="X1407"/>
    </row>
    <row r="1408" spans="5:24" x14ac:dyDescent="0.3">
      <c r="E1408" s="173"/>
      <c r="F1408" s="173"/>
      <c r="I1408"/>
      <c r="J1408"/>
      <c r="K1408"/>
      <c r="L1408"/>
      <c r="M1408"/>
      <c r="N1408"/>
      <c r="O1408"/>
      <c r="P1408" s="225"/>
      <c r="Q1408" s="225"/>
      <c r="R1408"/>
      <c r="S1408"/>
      <c r="T1408"/>
      <c r="U1408"/>
      <c r="V1408"/>
      <c r="W1408"/>
      <c r="X1408"/>
    </row>
    <row r="1409" spans="5:24" x14ac:dyDescent="0.3">
      <c r="E1409" s="173"/>
      <c r="F1409" s="173"/>
      <c r="I1409"/>
      <c r="J1409"/>
      <c r="K1409"/>
      <c r="L1409"/>
      <c r="M1409"/>
      <c r="N1409"/>
      <c r="O1409"/>
      <c r="P1409" s="225"/>
      <c r="Q1409" s="225"/>
      <c r="R1409"/>
      <c r="S1409"/>
      <c r="T1409"/>
      <c r="U1409"/>
      <c r="V1409"/>
      <c r="W1409"/>
      <c r="X1409"/>
    </row>
    <row r="1410" spans="5:24" x14ac:dyDescent="0.3">
      <c r="E1410" s="173"/>
      <c r="F1410" s="173"/>
      <c r="I1410"/>
      <c r="J1410"/>
      <c r="K1410"/>
      <c r="L1410"/>
      <c r="M1410"/>
      <c r="N1410"/>
      <c r="O1410"/>
      <c r="P1410" s="225"/>
      <c r="Q1410" s="225"/>
      <c r="R1410"/>
      <c r="S1410"/>
      <c r="T1410"/>
      <c r="U1410"/>
      <c r="V1410"/>
      <c r="W1410"/>
      <c r="X1410"/>
    </row>
    <row r="1411" spans="5:24" x14ac:dyDescent="0.3">
      <c r="E1411" s="173"/>
      <c r="F1411" s="173"/>
      <c r="I1411"/>
      <c r="J1411"/>
      <c r="K1411"/>
      <c r="L1411"/>
      <c r="M1411"/>
      <c r="N1411"/>
      <c r="O1411"/>
      <c r="P1411" s="225"/>
      <c r="Q1411" s="225"/>
      <c r="R1411"/>
      <c r="S1411"/>
      <c r="T1411"/>
      <c r="U1411"/>
      <c r="V1411"/>
      <c r="W1411"/>
      <c r="X1411"/>
    </row>
    <row r="1412" spans="5:24" x14ac:dyDescent="0.3">
      <c r="E1412" s="173"/>
      <c r="F1412" s="173"/>
      <c r="I1412"/>
      <c r="J1412"/>
      <c r="K1412"/>
      <c r="L1412"/>
      <c r="M1412"/>
      <c r="N1412"/>
      <c r="O1412"/>
      <c r="P1412" s="225"/>
      <c r="Q1412" s="225"/>
      <c r="R1412"/>
      <c r="S1412"/>
      <c r="T1412"/>
      <c r="U1412"/>
      <c r="V1412"/>
      <c r="W1412"/>
      <c r="X1412"/>
    </row>
    <row r="1413" spans="5:24" x14ac:dyDescent="0.3">
      <c r="E1413" s="173"/>
      <c r="F1413" s="173"/>
      <c r="I1413"/>
      <c r="J1413"/>
      <c r="K1413"/>
      <c r="L1413"/>
      <c r="M1413"/>
      <c r="N1413"/>
      <c r="O1413"/>
      <c r="P1413" s="225"/>
      <c r="Q1413" s="225"/>
      <c r="R1413"/>
      <c r="S1413"/>
      <c r="T1413"/>
      <c r="U1413"/>
      <c r="V1413"/>
      <c r="W1413"/>
      <c r="X1413"/>
    </row>
    <row r="1414" spans="5:24" x14ac:dyDescent="0.3">
      <c r="E1414" s="173"/>
      <c r="F1414" s="173"/>
      <c r="I1414"/>
      <c r="J1414"/>
      <c r="K1414"/>
      <c r="L1414"/>
      <c r="M1414"/>
      <c r="N1414"/>
      <c r="O1414"/>
      <c r="P1414" s="225"/>
      <c r="Q1414" s="225"/>
      <c r="R1414"/>
      <c r="S1414"/>
      <c r="T1414"/>
      <c r="U1414"/>
      <c r="V1414"/>
      <c r="W1414"/>
      <c r="X1414"/>
    </row>
    <row r="1415" spans="5:24" x14ac:dyDescent="0.3">
      <c r="E1415" s="173"/>
      <c r="F1415" s="173"/>
      <c r="I1415"/>
      <c r="J1415"/>
      <c r="K1415"/>
      <c r="L1415"/>
      <c r="M1415"/>
      <c r="N1415"/>
      <c r="O1415"/>
      <c r="P1415" s="225"/>
      <c r="Q1415" s="225"/>
      <c r="R1415"/>
      <c r="S1415"/>
      <c r="T1415"/>
      <c r="U1415"/>
      <c r="V1415"/>
      <c r="W1415"/>
      <c r="X1415"/>
    </row>
    <row r="1416" spans="5:24" x14ac:dyDescent="0.3">
      <c r="E1416" s="173"/>
      <c r="F1416" s="173"/>
      <c r="I1416"/>
      <c r="J1416"/>
      <c r="K1416"/>
      <c r="L1416"/>
      <c r="M1416"/>
      <c r="N1416"/>
      <c r="O1416"/>
      <c r="P1416" s="225"/>
      <c r="Q1416" s="225"/>
      <c r="R1416"/>
      <c r="S1416"/>
      <c r="T1416"/>
      <c r="U1416"/>
      <c r="V1416"/>
      <c r="W1416"/>
      <c r="X1416"/>
    </row>
    <row r="1417" spans="5:24" x14ac:dyDescent="0.3">
      <c r="E1417" s="173"/>
      <c r="F1417" s="173"/>
      <c r="I1417"/>
      <c r="J1417"/>
      <c r="K1417"/>
      <c r="L1417"/>
      <c r="M1417"/>
      <c r="N1417"/>
      <c r="O1417"/>
      <c r="P1417" s="225"/>
      <c r="Q1417" s="225"/>
      <c r="R1417"/>
      <c r="S1417"/>
      <c r="T1417"/>
      <c r="U1417"/>
      <c r="V1417"/>
      <c r="W1417"/>
      <c r="X1417"/>
    </row>
    <row r="1418" spans="5:24" x14ac:dyDescent="0.3">
      <c r="E1418" s="173"/>
      <c r="F1418" s="173"/>
      <c r="I1418"/>
      <c r="J1418"/>
      <c r="K1418"/>
      <c r="L1418"/>
      <c r="M1418"/>
      <c r="N1418"/>
      <c r="O1418"/>
      <c r="P1418" s="225"/>
      <c r="Q1418" s="225"/>
      <c r="R1418"/>
      <c r="S1418"/>
      <c r="T1418"/>
      <c r="U1418"/>
      <c r="V1418"/>
      <c r="W1418"/>
      <c r="X1418"/>
    </row>
    <row r="1419" spans="5:24" x14ac:dyDescent="0.3">
      <c r="E1419" s="173"/>
      <c r="F1419" s="173"/>
      <c r="I1419"/>
      <c r="J1419"/>
      <c r="K1419"/>
      <c r="L1419"/>
      <c r="M1419"/>
      <c r="N1419"/>
      <c r="O1419"/>
      <c r="P1419" s="225"/>
      <c r="Q1419" s="225"/>
      <c r="R1419"/>
      <c r="S1419"/>
      <c r="T1419"/>
      <c r="U1419"/>
      <c r="V1419"/>
      <c r="W1419"/>
      <c r="X1419"/>
    </row>
    <row r="1420" spans="5:24" x14ac:dyDescent="0.3">
      <c r="E1420" s="173"/>
      <c r="F1420" s="173"/>
      <c r="I1420"/>
      <c r="J1420"/>
      <c r="K1420"/>
      <c r="L1420"/>
      <c r="M1420"/>
      <c r="N1420"/>
      <c r="O1420"/>
      <c r="P1420" s="225"/>
      <c r="Q1420" s="225"/>
      <c r="R1420"/>
      <c r="S1420"/>
      <c r="T1420"/>
      <c r="U1420"/>
      <c r="V1420"/>
      <c r="W1420"/>
      <c r="X1420"/>
    </row>
    <row r="1421" spans="5:24" x14ac:dyDescent="0.3">
      <c r="E1421" s="173"/>
      <c r="F1421" s="173"/>
      <c r="I1421"/>
      <c r="J1421"/>
      <c r="K1421"/>
      <c r="L1421"/>
      <c r="M1421"/>
      <c r="N1421"/>
      <c r="O1421"/>
      <c r="P1421" s="225"/>
      <c r="Q1421" s="225"/>
      <c r="R1421"/>
      <c r="S1421"/>
      <c r="T1421"/>
      <c r="U1421"/>
      <c r="V1421"/>
      <c r="W1421"/>
      <c r="X1421"/>
    </row>
    <row r="1422" spans="5:24" x14ac:dyDescent="0.3">
      <c r="E1422" s="173"/>
      <c r="F1422" s="173"/>
      <c r="I1422"/>
      <c r="J1422"/>
      <c r="K1422"/>
      <c r="L1422"/>
      <c r="M1422"/>
      <c r="N1422"/>
      <c r="O1422"/>
      <c r="P1422" s="225"/>
      <c r="Q1422" s="225"/>
      <c r="R1422"/>
      <c r="S1422"/>
      <c r="T1422"/>
      <c r="U1422"/>
      <c r="V1422"/>
      <c r="W1422"/>
      <c r="X1422"/>
    </row>
    <row r="1423" spans="5:24" x14ac:dyDescent="0.3">
      <c r="E1423" s="173"/>
      <c r="F1423" s="173"/>
      <c r="I1423"/>
      <c r="J1423"/>
      <c r="K1423"/>
      <c r="L1423"/>
      <c r="M1423"/>
      <c r="N1423"/>
      <c r="O1423"/>
      <c r="P1423" s="225"/>
      <c r="Q1423" s="225"/>
      <c r="R1423"/>
      <c r="S1423"/>
      <c r="T1423"/>
      <c r="U1423"/>
      <c r="V1423"/>
      <c r="W1423"/>
      <c r="X1423"/>
    </row>
    <row r="1424" spans="5:24" x14ac:dyDescent="0.3">
      <c r="E1424" s="173"/>
      <c r="F1424" s="173"/>
      <c r="I1424"/>
      <c r="J1424"/>
      <c r="K1424"/>
      <c r="L1424"/>
      <c r="M1424"/>
      <c r="N1424"/>
      <c r="O1424"/>
      <c r="P1424" s="225"/>
      <c r="Q1424" s="225"/>
      <c r="R1424"/>
      <c r="S1424"/>
      <c r="T1424"/>
      <c r="U1424"/>
      <c r="V1424"/>
      <c r="W1424"/>
      <c r="X1424"/>
    </row>
    <row r="1425" spans="5:24" x14ac:dyDescent="0.3">
      <c r="E1425" s="173"/>
      <c r="F1425" s="173"/>
      <c r="I1425"/>
      <c r="J1425"/>
      <c r="K1425"/>
      <c r="L1425"/>
      <c r="M1425"/>
      <c r="N1425"/>
      <c r="O1425"/>
      <c r="P1425" s="225"/>
      <c r="Q1425" s="225"/>
      <c r="R1425"/>
      <c r="S1425"/>
      <c r="T1425"/>
      <c r="U1425"/>
      <c r="V1425"/>
      <c r="W1425"/>
      <c r="X1425"/>
    </row>
    <row r="1426" spans="5:24" x14ac:dyDescent="0.3">
      <c r="E1426" s="173"/>
      <c r="F1426" s="173"/>
      <c r="I1426"/>
      <c r="J1426"/>
      <c r="K1426"/>
      <c r="L1426"/>
      <c r="M1426"/>
      <c r="N1426"/>
      <c r="O1426"/>
      <c r="P1426" s="225"/>
      <c r="Q1426" s="225"/>
      <c r="R1426"/>
      <c r="S1426"/>
      <c r="T1426"/>
      <c r="U1426"/>
      <c r="V1426"/>
      <c r="W1426"/>
      <c r="X1426"/>
    </row>
    <row r="1427" spans="5:24" x14ac:dyDescent="0.3">
      <c r="E1427" s="173"/>
      <c r="F1427" s="173"/>
      <c r="I1427"/>
      <c r="J1427"/>
      <c r="K1427"/>
      <c r="L1427"/>
      <c r="M1427"/>
      <c r="N1427"/>
      <c r="O1427"/>
      <c r="P1427" s="225"/>
      <c r="Q1427" s="225"/>
      <c r="R1427"/>
      <c r="S1427"/>
      <c r="T1427"/>
      <c r="U1427"/>
      <c r="V1427"/>
      <c r="W1427"/>
      <c r="X1427"/>
    </row>
    <row r="1428" spans="5:24" x14ac:dyDescent="0.3">
      <c r="E1428" s="173"/>
      <c r="F1428" s="173"/>
      <c r="I1428"/>
      <c r="J1428"/>
      <c r="K1428"/>
      <c r="L1428"/>
      <c r="M1428"/>
      <c r="N1428"/>
      <c r="O1428"/>
      <c r="P1428" s="225"/>
      <c r="Q1428" s="225"/>
      <c r="R1428"/>
      <c r="S1428"/>
      <c r="T1428"/>
      <c r="U1428"/>
      <c r="V1428"/>
      <c r="W1428"/>
      <c r="X1428"/>
    </row>
    <row r="1429" spans="5:24" x14ac:dyDescent="0.3">
      <c r="E1429" s="173"/>
      <c r="F1429" s="173"/>
      <c r="I1429"/>
      <c r="J1429"/>
      <c r="K1429"/>
      <c r="L1429"/>
      <c r="M1429"/>
      <c r="N1429"/>
      <c r="O1429"/>
      <c r="P1429" s="225"/>
      <c r="Q1429" s="225"/>
      <c r="R1429"/>
      <c r="S1429"/>
      <c r="T1429"/>
      <c r="U1429"/>
      <c r="V1429"/>
      <c r="W1429"/>
      <c r="X1429"/>
    </row>
    <row r="1430" spans="5:24" x14ac:dyDescent="0.3">
      <c r="E1430" s="173"/>
      <c r="F1430" s="173"/>
      <c r="I1430"/>
      <c r="J1430"/>
      <c r="K1430"/>
      <c r="L1430"/>
      <c r="M1430"/>
      <c r="N1430"/>
      <c r="O1430"/>
      <c r="P1430" s="225"/>
      <c r="Q1430" s="225"/>
      <c r="R1430"/>
      <c r="S1430"/>
      <c r="T1430"/>
      <c r="U1430"/>
      <c r="V1430"/>
      <c r="W1430"/>
      <c r="X1430"/>
    </row>
    <row r="1431" spans="5:24" x14ac:dyDescent="0.3">
      <c r="E1431" s="173"/>
      <c r="F1431" s="173"/>
      <c r="I1431"/>
      <c r="J1431"/>
      <c r="K1431"/>
      <c r="L1431"/>
      <c r="M1431"/>
      <c r="N1431"/>
      <c r="O1431"/>
      <c r="P1431" s="225"/>
      <c r="Q1431" s="225"/>
      <c r="R1431"/>
      <c r="S1431"/>
      <c r="T1431"/>
      <c r="U1431"/>
      <c r="V1431"/>
      <c r="W1431"/>
      <c r="X1431"/>
    </row>
    <row r="1432" spans="5:24" x14ac:dyDescent="0.3">
      <c r="E1432" s="173"/>
      <c r="F1432" s="173"/>
      <c r="I1432"/>
      <c r="J1432"/>
      <c r="K1432"/>
      <c r="L1432"/>
      <c r="M1432"/>
      <c r="N1432"/>
      <c r="O1432"/>
      <c r="P1432" s="225"/>
      <c r="Q1432" s="225"/>
      <c r="R1432"/>
      <c r="S1432"/>
      <c r="T1432"/>
      <c r="U1432"/>
      <c r="V1432"/>
      <c r="W1432"/>
      <c r="X1432"/>
    </row>
    <row r="1433" spans="5:24" x14ac:dyDescent="0.3">
      <c r="E1433" s="173"/>
      <c r="F1433" s="173"/>
      <c r="I1433"/>
      <c r="J1433"/>
      <c r="K1433"/>
      <c r="L1433"/>
      <c r="M1433"/>
      <c r="N1433"/>
      <c r="O1433"/>
      <c r="P1433" s="225"/>
      <c r="Q1433" s="225"/>
      <c r="R1433"/>
      <c r="S1433"/>
      <c r="T1433"/>
      <c r="U1433"/>
      <c r="V1433"/>
      <c r="W1433"/>
      <c r="X1433"/>
    </row>
    <row r="1434" spans="5:24" x14ac:dyDescent="0.3">
      <c r="E1434" s="173"/>
      <c r="F1434" s="173"/>
      <c r="I1434"/>
      <c r="J1434"/>
      <c r="K1434"/>
      <c r="L1434"/>
      <c r="M1434"/>
      <c r="N1434"/>
      <c r="O1434"/>
      <c r="P1434" s="225"/>
      <c r="Q1434" s="225"/>
      <c r="R1434"/>
      <c r="S1434"/>
      <c r="T1434"/>
      <c r="U1434"/>
      <c r="V1434"/>
      <c r="W1434"/>
      <c r="X1434"/>
    </row>
    <row r="1435" spans="5:24" x14ac:dyDescent="0.3">
      <c r="E1435" s="173"/>
      <c r="F1435" s="173"/>
      <c r="I1435"/>
      <c r="J1435"/>
      <c r="K1435"/>
      <c r="L1435"/>
      <c r="M1435"/>
      <c r="N1435"/>
      <c r="O1435"/>
      <c r="P1435" s="225"/>
      <c r="Q1435" s="225"/>
      <c r="R1435"/>
      <c r="S1435"/>
      <c r="T1435"/>
      <c r="U1435"/>
      <c r="V1435"/>
      <c r="W1435"/>
      <c r="X1435"/>
    </row>
    <row r="1436" spans="5:24" x14ac:dyDescent="0.3">
      <c r="E1436" s="173"/>
      <c r="F1436" s="173"/>
      <c r="I1436"/>
      <c r="J1436"/>
      <c r="K1436"/>
      <c r="L1436"/>
      <c r="M1436"/>
      <c r="N1436"/>
      <c r="O1436"/>
      <c r="P1436" s="225"/>
      <c r="Q1436" s="225"/>
      <c r="R1436"/>
      <c r="S1436"/>
      <c r="T1436"/>
      <c r="U1436"/>
      <c r="V1436"/>
      <c r="W1436"/>
      <c r="X1436"/>
    </row>
    <row r="1437" spans="5:24" x14ac:dyDescent="0.3">
      <c r="E1437" s="173"/>
      <c r="F1437" s="173"/>
      <c r="I1437"/>
      <c r="J1437"/>
      <c r="K1437"/>
      <c r="L1437"/>
      <c r="M1437"/>
      <c r="N1437"/>
      <c r="O1437"/>
      <c r="P1437" s="225"/>
      <c r="Q1437" s="225"/>
      <c r="R1437"/>
      <c r="S1437"/>
      <c r="T1437"/>
      <c r="U1437"/>
      <c r="V1437"/>
      <c r="W1437"/>
      <c r="X1437"/>
    </row>
    <row r="1438" spans="5:24" x14ac:dyDescent="0.3">
      <c r="E1438" s="173"/>
      <c r="F1438" s="173"/>
      <c r="I1438"/>
      <c r="J1438"/>
      <c r="K1438"/>
      <c r="L1438"/>
      <c r="M1438"/>
      <c r="N1438"/>
      <c r="O1438"/>
      <c r="P1438" s="225"/>
      <c r="Q1438" s="225"/>
      <c r="R1438"/>
      <c r="S1438"/>
      <c r="T1438"/>
      <c r="U1438"/>
      <c r="V1438"/>
      <c r="W1438"/>
      <c r="X1438"/>
    </row>
    <row r="1439" spans="5:24" x14ac:dyDescent="0.3">
      <c r="E1439" s="173"/>
      <c r="F1439" s="173"/>
      <c r="I1439"/>
      <c r="J1439"/>
      <c r="K1439"/>
      <c r="L1439"/>
      <c r="M1439"/>
      <c r="N1439"/>
      <c r="O1439"/>
      <c r="P1439" s="225"/>
      <c r="Q1439" s="225"/>
      <c r="R1439"/>
      <c r="S1439"/>
      <c r="T1439"/>
      <c r="U1439"/>
      <c r="V1439"/>
      <c r="W1439"/>
      <c r="X1439"/>
    </row>
    <row r="1440" spans="5:24" x14ac:dyDescent="0.3">
      <c r="E1440" s="173"/>
      <c r="F1440" s="173"/>
      <c r="I1440"/>
      <c r="J1440"/>
      <c r="K1440"/>
      <c r="L1440"/>
      <c r="M1440"/>
      <c r="N1440"/>
      <c r="O1440"/>
      <c r="P1440" s="225"/>
      <c r="Q1440" s="225"/>
      <c r="R1440"/>
      <c r="S1440"/>
      <c r="T1440"/>
      <c r="U1440"/>
      <c r="V1440"/>
      <c r="W1440"/>
      <c r="X1440"/>
    </row>
    <row r="1441" spans="5:24" x14ac:dyDescent="0.3">
      <c r="E1441" s="173"/>
      <c r="F1441" s="173"/>
      <c r="I1441"/>
      <c r="J1441"/>
      <c r="K1441"/>
      <c r="L1441"/>
      <c r="M1441"/>
      <c r="N1441"/>
      <c r="O1441"/>
      <c r="P1441" s="225"/>
      <c r="Q1441" s="225"/>
      <c r="R1441"/>
      <c r="S1441"/>
      <c r="T1441"/>
      <c r="U1441"/>
      <c r="V1441"/>
      <c r="W1441"/>
      <c r="X1441"/>
    </row>
    <row r="1442" spans="5:24" x14ac:dyDescent="0.3">
      <c r="E1442" s="173"/>
      <c r="F1442" s="173"/>
      <c r="I1442"/>
      <c r="J1442"/>
      <c r="K1442"/>
      <c r="L1442"/>
      <c r="M1442"/>
      <c r="N1442"/>
      <c r="O1442"/>
      <c r="P1442" s="225"/>
      <c r="Q1442" s="225"/>
      <c r="R1442"/>
      <c r="S1442"/>
      <c r="T1442"/>
      <c r="U1442"/>
      <c r="V1442"/>
      <c r="W1442"/>
      <c r="X1442"/>
    </row>
    <row r="1443" spans="5:24" x14ac:dyDescent="0.3">
      <c r="E1443" s="173"/>
      <c r="F1443" s="173"/>
      <c r="I1443"/>
      <c r="J1443"/>
      <c r="K1443"/>
      <c r="L1443"/>
      <c r="M1443"/>
      <c r="N1443"/>
      <c r="O1443"/>
      <c r="P1443" s="225"/>
      <c r="Q1443" s="225"/>
      <c r="R1443"/>
      <c r="S1443"/>
      <c r="T1443"/>
      <c r="U1443"/>
      <c r="V1443"/>
      <c r="W1443"/>
      <c r="X1443"/>
    </row>
    <row r="1444" spans="5:24" x14ac:dyDescent="0.3">
      <c r="E1444" s="173"/>
      <c r="F1444" s="173"/>
      <c r="I1444"/>
      <c r="J1444"/>
      <c r="K1444"/>
      <c r="L1444"/>
      <c r="M1444"/>
      <c r="N1444"/>
      <c r="O1444"/>
      <c r="P1444" s="225"/>
      <c r="Q1444" s="225"/>
      <c r="R1444"/>
      <c r="S1444"/>
      <c r="T1444"/>
      <c r="U1444"/>
      <c r="V1444"/>
      <c r="W1444"/>
      <c r="X1444"/>
    </row>
    <row r="1445" spans="5:24" x14ac:dyDescent="0.3">
      <c r="E1445" s="173"/>
      <c r="F1445" s="173"/>
      <c r="I1445"/>
      <c r="J1445"/>
      <c r="K1445"/>
      <c r="L1445"/>
      <c r="M1445"/>
      <c r="N1445"/>
      <c r="O1445"/>
      <c r="P1445" s="225"/>
      <c r="Q1445" s="225"/>
      <c r="R1445"/>
      <c r="S1445"/>
      <c r="T1445"/>
      <c r="U1445"/>
      <c r="V1445"/>
      <c r="W1445"/>
      <c r="X1445"/>
    </row>
    <row r="1446" spans="5:24" x14ac:dyDescent="0.3">
      <c r="E1446" s="173"/>
      <c r="F1446" s="173"/>
      <c r="I1446"/>
      <c r="J1446"/>
      <c r="K1446"/>
      <c r="L1446"/>
      <c r="M1446"/>
      <c r="N1446"/>
      <c r="O1446"/>
      <c r="P1446" s="225"/>
      <c r="Q1446" s="225"/>
      <c r="R1446"/>
      <c r="S1446"/>
      <c r="T1446"/>
      <c r="U1446"/>
      <c r="V1446"/>
      <c r="W1446"/>
      <c r="X1446"/>
    </row>
    <row r="1447" spans="5:24" x14ac:dyDescent="0.3">
      <c r="E1447" s="173"/>
      <c r="F1447" s="173"/>
      <c r="I1447"/>
      <c r="J1447"/>
      <c r="K1447"/>
      <c r="L1447"/>
      <c r="M1447"/>
      <c r="N1447"/>
      <c r="O1447"/>
      <c r="P1447" s="225"/>
      <c r="Q1447" s="225"/>
      <c r="R1447"/>
      <c r="S1447"/>
      <c r="T1447"/>
      <c r="U1447"/>
      <c r="V1447"/>
      <c r="W1447"/>
      <c r="X1447"/>
    </row>
    <row r="1448" spans="5:24" x14ac:dyDescent="0.3">
      <c r="E1448" s="173"/>
      <c r="F1448" s="173"/>
      <c r="I1448"/>
      <c r="J1448"/>
      <c r="K1448"/>
      <c r="L1448"/>
      <c r="M1448"/>
      <c r="N1448"/>
      <c r="O1448"/>
      <c r="P1448" s="225"/>
      <c r="Q1448" s="225"/>
      <c r="R1448"/>
      <c r="S1448"/>
      <c r="T1448"/>
      <c r="U1448"/>
      <c r="V1448"/>
      <c r="W1448"/>
      <c r="X1448"/>
    </row>
    <row r="1449" spans="5:24" x14ac:dyDescent="0.3">
      <c r="E1449" s="173"/>
      <c r="F1449" s="173"/>
      <c r="I1449"/>
      <c r="J1449"/>
      <c r="K1449"/>
      <c r="L1449"/>
      <c r="M1449"/>
      <c r="N1449"/>
      <c r="O1449"/>
      <c r="P1449" s="225"/>
      <c r="Q1449" s="225"/>
      <c r="R1449"/>
      <c r="S1449"/>
      <c r="T1449"/>
      <c r="U1449"/>
      <c r="V1449"/>
      <c r="W1449"/>
      <c r="X1449"/>
    </row>
    <row r="1450" spans="5:24" x14ac:dyDescent="0.3">
      <c r="E1450" s="173"/>
      <c r="F1450" s="173"/>
      <c r="I1450"/>
      <c r="J1450"/>
      <c r="K1450"/>
      <c r="L1450"/>
      <c r="M1450"/>
      <c r="N1450"/>
      <c r="O1450"/>
      <c r="P1450" s="225"/>
      <c r="Q1450" s="225"/>
      <c r="R1450"/>
      <c r="S1450"/>
      <c r="T1450"/>
      <c r="U1450"/>
      <c r="V1450"/>
      <c r="W1450"/>
      <c r="X1450"/>
    </row>
    <row r="1451" spans="5:24" x14ac:dyDescent="0.3">
      <c r="E1451" s="173"/>
      <c r="F1451" s="173"/>
      <c r="I1451"/>
      <c r="J1451"/>
      <c r="K1451"/>
      <c r="L1451"/>
      <c r="M1451"/>
      <c r="N1451"/>
      <c r="O1451"/>
      <c r="P1451" s="225"/>
      <c r="Q1451" s="225"/>
      <c r="R1451"/>
      <c r="S1451"/>
      <c r="T1451"/>
      <c r="U1451"/>
      <c r="V1451"/>
      <c r="W1451"/>
      <c r="X1451"/>
    </row>
    <row r="1452" spans="5:24" x14ac:dyDescent="0.3">
      <c r="E1452" s="173"/>
      <c r="F1452" s="173"/>
      <c r="I1452"/>
      <c r="J1452"/>
      <c r="K1452"/>
      <c r="L1452"/>
      <c r="M1452"/>
      <c r="N1452"/>
      <c r="O1452"/>
      <c r="P1452" s="225"/>
      <c r="Q1452" s="225"/>
      <c r="R1452"/>
      <c r="S1452"/>
      <c r="T1452"/>
      <c r="U1452"/>
      <c r="V1452"/>
      <c r="W1452"/>
      <c r="X1452"/>
    </row>
    <row r="1453" spans="5:24" x14ac:dyDescent="0.3">
      <c r="E1453" s="173"/>
      <c r="F1453" s="173"/>
      <c r="I1453"/>
      <c r="J1453"/>
      <c r="K1453"/>
      <c r="L1453"/>
      <c r="M1453"/>
      <c r="N1453"/>
      <c r="O1453"/>
      <c r="P1453" s="225"/>
      <c r="Q1453" s="225"/>
      <c r="R1453"/>
      <c r="S1453"/>
      <c r="T1453"/>
      <c r="U1453"/>
      <c r="V1453"/>
      <c r="W1453"/>
      <c r="X1453"/>
    </row>
    <row r="1454" spans="5:24" x14ac:dyDescent="0.3">
      <c r="E1454" s="173"/>
      <c r="F1454" s="173"/>
      <c r="I1454"/>
      <c r="J1454"/>
      <c r="K1454"/>
      <c r="L1454"/>
      <c r="M1454"/>
      <c r="N1454"/>
      <c r="O1454"/>
      <c r="P1454" s="225"/>
      <c r="Q1454" s="225"/>
      <c r="R1454"/>
      <c r="S1454"/>
      <c r="T1454"/>
      <c r="U1454"/>
      <c r="V1454"/>
      <c r="W1454"/>
      <c r="X1454"/>
    </row>
    <row r="1455" spans="5:24" x14ac:dyDescent="0.3">
      <c r="E1455" s="173"/>
      <c r="F1455" s="173"/>
      <c r="I1455"/>
      <c r="J1455"/>
      <c r="K1455"/>
      <c r="L1455"/>
      <c r="M1455"/>
      <c r="N1455"/>
      <c r="O1455"/>
      <c r="P1455" s="225"/>
      <c r="Q1455" s="225"/>
      <c r="R1455"/>
      <c r="S1455"/>
      <c r="T1455"/>
      <c r="U1455"/>
      <c r="V1455"/>
      <c r="W1455"/>
      <c r="X1455"/>
    </row>
    <row r="1456" spans="5:24" x14ac:dyDescent="0.3">
      <c r="E1456" s="173"/>
      <c r="F1456" s="173"/>
      <c r="I1456"/>
      <c r="J1456"/>
      <c r="K1456"/>
      <c r="L1456"/>
      <c r="M1456"/>
      <c r="N1456"/>
      <c r="O1456"/>
      <c r="P1456" s="225"/>
      <c r="Q1456" s="225"/>
      <c r="R1456"/>
      <c r="S1456"/>
      <c r="T1456"/>
      <c r="U1456"/>
      <c r="V1456"/>
      <c r="W1456"/>
      <c r="X1456"/>
    </row>
    <row r="1457" spans="5:24" x14ac:dyDescent="0.3">
      <c r="E1457" s="173"/>
      <c r="F1457" s="173"/>
      <c r="I1457"/>
      <c r="J1457"/>
      <c r="K1457"/>
      <c r="L1457"/>
      <c r="M1457"/>
      <c r="N1457"/>
      <c r="O1457"/>
      <c r="P1457" s="225"/>
      <c r="Q1457" s="225"/>
      <c r="R1457"/>
      <c r="S1457"/>
      <c r="T1457"/>
      <c r="U1457"/>
      <c r="V1457"/>
      <c r="W1457"/>
      <c r="X1457"/>
    </row>
    <row r="1458" spans="5:24" x14ac:dyDescent="0.3">
      <c r="E1458" s="173"/>
      <c r="F1458" s="173"/>
      <c r="I1458"/>
      <c r="J1458"/>
      <c r="K1458"/>
      <c r="L1458"/>
      <c r="M1458"/>
      <c r="N1458"/>
      <c r="O1458"/>
      <c r="P1458" s="225"/>
      <c r="Q1458" s="225"/>
      <c r="R1458"/>
      <c r="S1458"/>
      <c r="T1458"/>
      <c r="U1458"/>
      <c r="V1458"/>
      <c r="W1458"/>
      <c r="X1458"/>
    </row>
    <row r="1459" spans="5:24" x14ac:dyDescent="0.3">
      <c r="E1459" s="173"/>
      <c r="F1459" s="173"/>
      <c r="I1459"/>
      <c r="J1459"/>
      <c r="K1459"/>
      <c r="L1459"/>
      <c r="M1459"/>
      <c r="N1459"/>
      <c r="O1459"/>
      <c r="P1459" s="225"/>
      <c r="Q1459" s="225"/>
      <c r="R1459"/>
      <c r="S1459"/>
      <c r="T1459"/>
      <c r="U1459"/>
      <c r="V1459"/>
      <c r="W1459"/>
      <c r="X1459"/>
    </row>
    <row r="1460" spans="5:24" x14ac:dyDescent="0.3">
      <c r="E1460" s="173"/>
      <c r="F1460" s="173"/>
      <c r="I1460"/>
      <c r="J1460"/>
      <c r="K1460"/>
      <c r="L1460"/>
      <c r="M1460"/>
      <c r="N1460"/>
      <c r="O1460"/>
      <c r="P1460" s="225"/>
      <c r="Q1460" s="225"/>
      <c r="R1460"/>
      <c r="S1460"/>
      <c r="T1460"/>
      <c r="U1460"/>
      <c r="V1460"/>
      <c r="W1460"/>
      <c r="X1460"/>
    </row>
    <row r="1461" spans="5:24" x14ac:dyDescent="0.3">
      <c r="E1461" s="173"/>
      <c r="F1461" s="173"/>
      <c r="I1461"/>
      <c r="J1461"/>
      <c r="K1461"/>
      <c r="L1461"/>
      <c r="M1461"/>
      <c r="N1461"/>
      <c r="O1461"/>
      <c r="P1461" s="225"/>
      <c r="Q1461" s="225"/>
      <c r="R1461"/>
      <c r="S1461"/>
      <c r="T1461"/>
      <c r="U1461"/>
      <c r="V1461"/>
      <c r="W1461"/>
      <c r="X1461"/>
    </row>
    <row r="1462" spans="5:24" x14ac:dyDescent="0.3">
      <c r="E1462" s="173"/>
      <c r="F1462" s="173"/>
      <c r="I1462"/>
      <c r="J1462"/>
      <c r="K1462"/>
      <c r="L1462"/>
      <c r="M1462"/>
      <c r="N1462"/>
      <c r="O1462"/>
      <c r="P1462" s="225"/>
      <c r="Q1462" s="225"/>
      <c r="R1462"/>
      <c r="S1462"/>
      <c r="T1462"/>
      <c r="U1462"/>
      <c r="V1462"/>
      <c r="W1462"/>
      <c r="X1462"/>
    </row>
    <row r="1463" spans="5:24" x14ac:dyDescent="0.3">
      <c r="E1463" s="173"/>
      <c r="F1463" s="173"/>
      <c r="I1463"/>
      <c r="J1463"/>
      <c r="K1463"/>
      <c r="L1463"/>
      <c r="M1463"/>
      <c r="N1463"/>
      <c r="O1463"/>
      <c r="P1463" s="225"/>
      <c r="Q1463" s="225"/>
      <c r="R1463"/>
      <c r="S1463"/>
      <c r="T1463"/>
      <c r="U1463"/>
      <c r="V1463"/>
      <c r="W1463"/>
      <c r="X1463"/>
    </row>
    <row r="1464" spans="5:24" x14ac:dyDescent="0.3">
      <c r="E1464" s="173"/>
      <c r="F1464" s="173"/>
      <c r="I1464"/>
      <c r="J1464"/>
      <c r="K1464"/>
      <c r="L1464"/>
      <c r="M1464"/>
      <c r="N1464"/>
      <c r="O1464"/>
      <c r="P1464" s="225"/>
      <c r="Q1464" s="225"/>
      <c r="R1464"/>
      <c r="S1464"/>
      <c r="T1464"/>
      <c r="U1464"/>
      <c r="V1464"/>
      <c r="W1464"/>
      <c r="X1464"/>
    </row>
    <row r="1465" spans="5:24" x14ac:dyDescent="0.3">
      <c r="E1465" s="173"/>
      <c r="F1465" s="173"/>
      <c r="I1465"/>
      <c r="J1465"/>
      <c r="K1465"/>
      <c r="L1465"/>
      <c r="M1465"/>
      <c r="N1465"/>
      <c r="O1465"/>
      <c r="P1465" s="225"/>
      <c r="Q1465" s="225"/>
      <c r="R1465"/>
      <c r="S1465"/>
      <c r="T1465"/>
      <c r="U1465"/>
      <c r="V1465"/>
      <c r="W1465"/>
      <c r="X1465"/>
    </row>
    <row r="1466" spans="5:24" x14ac:dyDescent="0.3">
      <c r="E1466" s="173"/>
      <c r="F1466" s="173"/>
      <c r="I1466"/>
      <c r="J1466"/>
      <c r="K1466"/>
      <c r="L1466"/>
      <c r="M1466"/>
      <c r="N1466"/>
      <c r="O1466"/>
      <c r="P1466" s="225"/>
      <c r="Q1466" s="225"/>
      <c r="R1466"/>
      <c r="S1466"/>
      <c r="T1466"/>
      <c r="U1466"/>
      <c r="V1466"/>
      <c r="W1466"/>
      <c r="X1466"/>
    </row>
    <row r="1467" spans="5:24" x14ac:dyDescent="0.3">
      <c r="E1467" s="173"/>
      <c r="F1467" s="173"/>
      <c r="I1467"/>
      <c r="J1467"/>
      <c r="K1467"/>
      <c r="L1467"/>
      <c r="M1467"/>
      <c r="N1467"/>
      <c r="O1467"/>
      <c r="P1467" s="225"/>
      <c r="Q1467" s="225"/>
      <c r="R1467"/>
      <c r="S1467"/>
      <c r="T1467"/>
      <c r="U1467"/>
      <c r="V1467"/>
      <c r="W1467"/>
      <c r="X1467"/>
    </row>
    <row r="1468" spans="5:24" x14ac:dyDescent="0.3">
      <c r="E1468" s="173"/>
      <c r="F1468" s="173"/>
      <c r="I1468"/>
      <c r="J1468"/>
      <c r="K1468"/>
      <c r="L1468"/>
      <c r="M1468"/>
      <c r="N1468"/>
      <c r="O1468"/>
      <c r="P1468" s="225"/>
      <c r="Q1468" s="225"/>
      <c r="R1468"/>
      <c r="S1468"/>
      <c r="T1468"/>
      <c r="U1468"/>
      <c r="V1468"/>
      <c r="W1468"/>
      <c r="X1468"/>
    </row>
    <row r="1469" spans="5:24" x14ac:dyDescent="0.3">
      <c r="E1469" s="173"/>
      <c r="F1469" s="173"/>
      <c r="I1469"/>
      <c r="J1469"/>
      <c r="K1469"/>
      <c r="L1469"/>
      <c r="M1469"/>
      <c r="N1469"/>
      <c r="O1469"/>
      <c r="P1469" s="225"/>
      <c r="Q1469" s="225"/>
      <c r="R1469"/>
      <c r="S1469"/>
      <c r="T1469"/>
      <c r="U1469"/>
      <c r="V1469"/>
      <c r="W1469"/>
      <c r="X1469"/>
    </row>
    <row r="1470" spans="5:24" x14ac:dyDescent="0.3">
      <c r="E1470" s="173"/>
      <c r="F1470" s="173"/>
      <c r="I1470"/>
      <c r="J1470"/>
      <c r="K1470"/>
      <c r="L1470"/>
      <c r="M1470"/>
      <c r="N1470"/>
      <c r="O1470"/>
      <c r="P1470" s="225"/>
      <c r="Q1470" s="225"/>
      <c r="R1470"/>
      <c r="S1470"/>
      <c r="T1470"/>
      <c r="U1470"/>
      <c r="V1470"/>
      <c r="W1470"/>
      <c r="X1470"/>
    </row>
    <row r="1471" spans="5:24" x14ac:dyDescent="0.3">
      <c r="E1471" s="173"/>
      <c r="F1471" s="173"/>
      <c r="I1471"/>
      <c r="J1471"/>
      <c r="K1471"/>
      <c r="L1471"/>
      <c r="M1471"/>
      <c r="N1471"/>
      <c r="O1471"/>
      <c r="P1471" s="225"/>
      <c r="Q1471" s="225"/>
      <c r="R1471"/>
      <c r="S1471"/>
      <c r="T1471"/>
      <c r="U1471"/>
      <c r="V1471"/>
      <c r="W1471"/>
      <c r="X1471"/>
    </row>
    <row r="1472" spans="5:24" x14ac:dyDescent="0.3">
      <c r="E1472" s="173"/>
      <c r="F1472" s="173"/>
      <c r="I1472"/>
      <c r="J1472"/>
      <c r="K1472"/>
      <c r="L1472"/>
      <c r="M1472"/>
      <c r="N1472"/>
      <c r="O1472"/>
      <c r="P1472" s="225"/>
      <c r="Q1472" s="225"/>
      <c r="R1472"/>
      <c r="S1472"/>
      <c r="T1472"/>
      <c r="U1472"/>
      <c r="V1472"/>
      <c r="W1472"/>
      <c r="X1472"/>
    </row>
    <row r="1473" spans="5:24" x14ac:dyDescent="0.3">
      <c r="E1473" s="173"/>
      <c r="F1473" s="173"/>
      <c r="I1473"/>
      <c r="J1473"/>
      <c r="K1473"/>
      <c r="L1473"/>
      <c r="M1473"/>
      <c r="N1473"/>
      <c r="O1473"/>
      <c r="P1473" s="225"/>
      <c r="Q1473" s="225"/>
      <c r="R1473"/>
      <c r="S1473"/>
      <c r="T1473"/>
      <c r="U1473"/>
      <c r="V1473"/>
      <c r="W1473"/>
      <c r="X1473"/>
    </row>
    <row r="1474" spans="5:24" x14ac:dyDescent="0.3">
      <c r="E1474" s="173"/>
      <c r="F1474" s="173"/>
      <c r="I1474"/>
      <c r="J1474"/>
      <c r="K1474"/>
      <c r="L1474"/>
      <c r="M1474"/>
      <c r="N1474"/>
      <c r="O1474"/>
      <c r="P1474" s="225"/>
      <c r="Q1474" s="225"/>
      <c r="R1474"/>
      <c r="S1474"/>
      <c r="T1474"/>
      <c r="U1474"/>
      <c r="V1474"/>
      <c r="W1474"/>
      <c r="X1474"/>
    </row>
    <row r="1475" spans="5:24" x14ac:dyDescent="0.3">
      <c r="E1475" s="173"/>
      <c r="F1475" s="173"/>
      <c r="I1475"/>
      <c r="J1475"/>
      <c r="K1475"/>
      <c r="L1475"/>
      <c r="M1475"/>
      <c r="N1475"/>
      <c r="O1475"/>
      <c r="P1475" s="225"/>
      <c r="Q1475" s="225"/>
      <c r="R1475"/>
      <c r="S1475"/>
      <c r="T1475"/>
      <c r="U1475"/>
      <c r="V1475"/>
      <c r="W1475"/>
      <c r="X1475"/>
    </row>
    <row r="1476" spans="5:24" x14ac:dyDescent="0.3">
      <c r="E1476" s="173"/>
      <c r="F1476" s="173"/>
      <c r="I1476"/>
      <c r="J1476"/>
      <c r="K1476"/>
      <c r="L1476"/>
      <c r="M1476"/>
      <c r="N1476"/>
      <c r="O1476"/>
      <c r="P1476" s="225"/>
      <c r="Q1476" s="225"/>
      <c r="R1476"/>
      <c r="S1476"/>
      <c r="T1476"/>
      <c r="U1476"/>
      <c r="V1476"/>
      <c r="W1476"/>
      <c r="X1476"/>
    </row>
    <row r="1477" spans="5:24" x14ac:dyDescent="0.3">
      <c r="E1477" s="173"/>
      <c r="F1477" s="173"/>
      <c r="I1477"/>
      <c r="J1477"/>
      <c r="K1477"/>
      <c r="L1477"/>
      <c r="M1477"/>
      <c r="N1477"/>
      <c r="O1477"/>
      <c r="P1477" s="225"/>
      <c r="Q1477" s="225"/>
      <c r="R1477"/>
      <c r="S1477"/>
      <c r="T1477"/>
      <c r="U1477"/>
      <c r="V1477"/>
      <c r="W1477"/>
      <c r="X1477"/>
    </row>
    <row r="1478" spans="5:24" x14ac:dyDescent="0.3">
      <c r="E1478" s="173"/>
      <c r="F1478" s="173"/>
      <c r="I1478"/>
      <c r="J1478"/>
      <c r="K1478"/>
      <c r="L1478"/>
      <c r="M1478"/>
      <c r="N1478"/>
      <c r="O1478"/>
      <c r="P1478" s="225"/>
      <c r="Q1478" s="225"/>
      <c r="R1478"/>
      <c r="S1478"/>
      <c r="T1478"/>
      <c r="U1478"/>
      <c r="V1478"/>
      <c r="W1478"/>
      <c r="X1478"/>
    </row>
    <row r="1479" spans="5:24" x14ac:dyDescent="0.3">
      <c r="E1479" s="173"/>
      <c r="F1479" s="173"/>
      <c r="I1479"/>
      <c r="J1479"/>
      <c r="K1479"/>
      <c r="L1479"/>
      <c r="M1479"/>
      <c r="N1479"/>
      <c r="O1479"/>
      <c r="P1479" s="225"/>
      <c r="Q1479" s="225"/>
      <c r="R1479"/>
      <c r="S1479"/>
      <c r="T1479"/>
      <c r="U1479"/>
      <c r="V1479"/>
      <c r="W1479"/>
      <c r="X1479"/>
    </row>
    <row r="1480" spans="5:24" x14ac:dyDescent="0.3">
      <c r="E1480" s="173"/>
      <c r="F1480" s="173"/>
      <c r="I1480"/>
      <c r="J1480"/>
      <c r="K1480"/>
      <c r="L1480"/>
      <c r="M1480"/>
      <c r="N1480"/>
      <c r="O1480"/>
      <c r="P1480" s="225"/>
      <c r="Q1480" s="225"/>
      <c r="R1480"/>
      <c r="S1480"/>
      <c r="T1480"/>
      <c r="U1480"/>
      <c r="V1480"/>
      <c r="W1480"/>
      <c r="X1480"/>
    </row>
    <row r="1481" spans="5:24" x14ac:dyDescent="0.3">
      <c r="E1481" s="173"/>
      <c r="F1481" s="173"/>
      <c r="I1481"/>
      <c r="J1481"/>
      <c r="K1481"/>
      <c r="L1481"/>
      <c r="M1481"/>
      <c r="N1481"/>
      <c r="O1481"/>
      <c r="P1481" s="225"/>
      <c r="Q1481" s="225"/>
      <c r="R1481"/>
      <c r="S1481"/>
      <c r="T1481"/>
      <c r="U1481"/>
      <c r="V1481"/>
      <c r="W1481"/>
      <c r="X1481"/>
    </row>
    <row r="1482" spans="5:24" x14ac:dyDescent="0.3">
      <c r="E1482" s="173"/>
      <c r="F1482" s="173"/>
      <c r="I1482"/>
      <c r="J1482"/>
      <c r="K1482"/>
      <c r="L1482"/>
      <c r="M1482"/>
      <c r="N1482"/>
      <c r="O1482"/>
      <c r="P1482" s="225"/>
      <c r="Q1482" s="225"/>
      <c r="R1482"/>
      <c r="S1482"/>
      <c r="T1482"/>
      <c r="U1482"/>
      <c r="V1482"/>
      <c r="W1482"/>
      <c r="X1482"/>
    </row>
    <row r="1483" spans="5:24" x14ac:dyDescent="0.3">
      <c r="E1483" s="173"/>
      <c r="F1483" s="173"/>
      <c r="I1483"/>
      <c r="J1483"/>
      <c r="K1483"/>
      <c r="L1483"/>
      <c r="M1483"/>
      <c r="N1483"/>
      <c r="O1483"/>
      <c r="P1483" s="225"/>
      <c r="Q1483" s="225"/>
      <c r="R1483"/>
      <c r="S1483"/>
      <c r="T1483"/>
      <c r="U1483"/>
      <c r="V1483"/>
      <c r="W1483"/>
      <c r="X1483"/>
    </row>
    <row r="1484" spans="5:24" x14ac:dyDescent="0.3">
      <c r="E1484" s="173"/>
      <c r="F1484" s="173"/>
      <c r="I1484"/>
      <c r="J1484"/>
      <c r="K1484"/>
      <c r="L1484"/>
      <c r="M1484"/>
      <c r="N1484"/>
      <c r="O1484"/>
      <c r="P1484" s="225"/>
      <c r="Q1484" s="225"/>
      <c r="R1484"/>
      <c r="S1484"/>
      <c r="T1484"/>
      <c r="U1484"/>
      <c r="V1484"/>
      <c r="W1484"/>
      <c r="X1484"/>
    </row>
    <row r="1485" spans="5:24" x14ac:dyDescent="0.3">
      <c r="E1485" s="173"/>
      <c r="F1485" s="173"/>
      <c r="I1485"/>
      <c r="J1485"/>
      <c r="K1485"/>
      <c r="L1485"/>
      <c r="M1485"/>
      <c r="N1485"/>
      <c r="O1485"/>
      <c r="P1485" s="225"/>
      <c r="Q1485" s="225"/>
      <c r="R1485"/>
      <c r="S1485"/>
      <c r="T1485"/>
      <c r="U1485"/>
      <c r="V1485"/>
      <c r="W1485"/>
      <c r="X1485"/>
    </row>
    <row r="1486" spans="5:24" x14ac:dyDescent="0.3">
      <c r="E1486" s="173"/>
      <c r="F1486" s="173"/>
      <c r="I1486"/>
      <c r="J1486"/>
      <c r="K1486"/>
      <c r="L1486"/>
      <c r="M1486"/>
      <c r="N1486"/>
      <c r="O1486"/>
      <c r="P1486" s="225"/>
      <c r="Q1486" s="225"/>
      <c r="R1486"/>
      <c r="S1486"/>
      <c r="T1486"/>
      <c r="U1486"/>
      <c r="V1486"/>
      <c r="W1486"/>
      <c r="X1486"/>
    </row>
    <row r="1487" spans="5:24" x14ac:dyDescent="0.3">
      <c r="E1487" s="173"/>
      <c r="F1487" s="173"/>
      <c r="I1487"/>
      <c r="J1487"/>
      <c r="K1487"/>
      <c r="L1487"/>
      <c r="M1487"/>
      <c r="N1487"/>
      <c r="O1487"/>
      <c r="P1487" s="225"/>
      <c r="Q1487" s="225"/>
      <c r="R1487"/>
      <c r="S1487"/>
      <c r="T1487"/>
      <c r="U1487"/>
      <c r="V1487"/>
      <c r="W1487"/>
      <c r="X1487"/>
    </row>
    <row r="1488" spans="5:24" x14ac:dyDescent="0.3">
      <c r="E1488" s="173"/>
      <c r="F1488" s="173"/>
      <c r="I1488"/>
      <c r="J1488"/>
      <c r="K1488"/>
      <c r="L1488"/>
      <c r="M1488"/>
      <c r="N1488"/>
      <c r="O1488"/>
      <c r="P1488" s="225"/>
      <c r="Q1488" s="225"/>
      <c r="R1488"/>
      <c r="S1488"/>
      <c r="T1488"/>
      <c r="U1488"/>
      <c r="V1488"/>
      <c r="W1488"/>
      <c r="X1488"/>
    </row>
    <row r="1489" spans="5:24" x14ac:dyDescent="0.3">
      <c r="E1489" s="173"/>
      <c r="F1489" s="173"/>
      <c r="I1489"/>
      <c r="J1489"/>
      <c r="K1489"/>
      <c r="L1489"/>
      <c r="M1489"/>
      <c r="N1489"/>
      <c r="O1489"/>
      <c r="P1489" s="225"/>
      <c r="Q1489" s="225"/>
      <c r="R1489"/>
      <c r="S1489"/>
      <c r="T1489"/>
      <c r="U1489"/>
      <c r="V1489"/>
      <c r="W1489"/>
      <c r="X1489"/>
    </row>
    <row r="1490" spans="5:24" x14ac:dyDescent="0.3">
      <c r="E1490" s="173"/>
      <c r="F1490" s="173"/>
      <c r="I1490"/>
      <c r="J1490"/>
      <c r="K1490"/>
      <c r="L1490"/>
      <c r="M1490"/>
      <c r="N1490"/>
      <c r="O1490"/>
      <c r="P1490" s="225"/>
      <c r="Q1490" s="225"/>
      <c r="R1490"/>
      <c r="S1490"/>
      <c r="T1490"/>
      <c r="U1490"/>
      <c r="V1490"/>
      <c r="W1490"/>
      <c r="X1490"/>
    </row>
    <row r="1491" spans="5:24" x14ac:dyDescent="0.3">
      <c r="E1491" s="173"/>
      <c r="F1491" s="173"/>
      <c r="I1491"/>
      <c r="J1491"/>
      <c r="K1491"/>
      <c r="L1491"/>
      <c r="M1491"/>
      <c r="N1491"/>
      <c r="O1491"/>
      <c r="P1491" s="225"/>
      <c r="Q1491" s="225"/>
      <c r="R1491"/>
      <c r="S1491"/>
      <c r="T1491"/>
      <c r="U1491"/>
      <c r="V1491"/>
      <c r="W1491"/>
      <c r="X1491"/>
    </row>
    <row r="1492" spans="5:24" x14ac:dyDescent="0.3">
      <c r="E1492" s="173"/>
      <c r="F1492" s="173"/>
      <c r="I1492"/>
      <c r="J1492"/>
      <c r="K1492"/>
      <c r="L1492"/>
      <c r="M1492"/>
      <c r="N1492"/>
      <c r="O1492"/>
      <c r="P1492" s="225"/>
      <c r="Q1492" s="225"/>
      <c r="R1492"/>
      <c r="S1492"/>
      <c r="T1492"/>
      <c r="U1492"/>
      <c r="V1492"/>
      <c r="W1492"/>
      <c r="X1492"/>
    </row>
    <row r="1493" spans="5:24" x14ac:dyDescent="0.3">
      <c r="E1493" s="173"/>
      <c r="F1493" s="173"/>
      <c r="I1493"/>
      <c r="J1493"/>
      <c r="K1493"/>
      <c r="L1493"/>
      <c r="M1493"/>
      <c r="N1493"/>
      <c r="O1493"/>
      <c r="P1493" s="225"/>
      <c r="Q1493" s="225"/>
      <c r="R1493"/>
      <c r="S1493"/>
      <c r="T1493"/>
      <c r="U1493"/>
      <c r="V1493"/>
      <c r="W1493"/>
      <c r="X1493"/>
    </row>
    <row r="1494" spans="5:24" x14ac:dyDescent="0.3">
      <c r="E1494" s="173"/>
      <c r="F1494" s="173"/>
      <c r="I1494"/>
      <c r="J1494"/>
      <c r="K1494"/>
      <c r="L1494"/>
      <c r="M1494"/>
      <c r="N1494"/>
      <c r="O1494"/>
      <c r="P1494" s="225"/>
      <c r="Q1494" s="225"/>
      <c r="R1494"/>
      <c r="S1494"/>
      <c r="T1494"/>
      <c r="U1494"/>
      <c r="V1494"/>
      <c r="W1494"/>
      <c r="X1494"/>
    </row>
    <row r="1495" spans="5:24" x14ac:dyDescent="0.3">
      <c r="E1495" s="173"/>
      <c r="F1495" s="173"/>
      <c r="I1495"/>
      <c r="J1495"/>
      <c r="K1495"/>
      <c r="L1495"/>
      <c r="M1495"/>
      <c r="N1495"/>
      <c r="O1495"/>
      <c r="P1495" s="225"/>
      <c r="Q1495" s="225"/>
      <c r="R1495"/>
      <c r="S1495"/>
      <c r="T1495"/>
      <c r="U1495"/>
      <c r="V1495"/>
      <c r="W1495"/>
      <c r="X1495"/>
    </row>
    <row r="1496" spans="5:24" x14ac:dyDescent="0.3">
      <c r="E1496" s="173"/>
      <c r="F1496" s="173"/>
      <c r="I1496"/>
      <c r="J1496"/>
      <c r="K1496"/>
      <c r="L1496"/>
      <c r="M1496"/>
      <c r="N1496"/>
      <c r="O1496"/>
      <c r="P1496" s="225"/>
      <c r="Q1496" s="225"/>
      <c r="R1496"/>
      <c r="S1496"/>
      <c r="T1496"/>
      <c r="U1496"/>
      <c r="V1496"/>
      <c r="W1496"/>
      <c r="X1496"/>
    </row>
    <row r="1497" spans="5:24" x14ac:dyDescent="0.3">
      <c r="E1497" s="173"/>
      <c r="F1497" s="173"/>
      <c r="I1497"/>
      <c r="J1497"/>
      <c r="K1497"/>
      <c r="L1497"/>
      <c r="M1497"/>
      <c r="N1497"/>
      <c r="O1497"/>
      <c r="P1497" s="225"/>
      <c r="Q1497" s="225"/>
      <c r="R1497"/>
      <c r="S1497"/>
      <c r="T1497"/>
      <c r="U1497"/>
      <c r="V1497"/>
      <c r="W1497"/>
      <c r="X1497"/>
    </row>
    <row r="1498" spans="5:24" x14ac:dyDescent="0.3">
      <c r="E1498" s="173"/>
      <c r="F1498" s="173"/>
      <c r="I1498"/>
      <c r="J1498"/>
      <c r="K1498"/>
      <c r="L1498"/>
      <c r="M1498"/>
      <c r="N1498"/>
      <c r="O1498"/>
      <c r="P1498" s="225"/>
      <c r="Q1498" s="225"/>
      <c r="R1498"/>
      <c r="S1498"/>
      <c r="T1498"/>
      <c r="U1498"/>
      <c r="V1498"/>
      <c r="W1498"/>
      <c r="X1498"/>
    </row>
    <row r="1499" spans="5:24" x14ac:dyDescent="0.3">
      <c r="E1499" s="173"/>
      <c r="F1499" s="173"/>
      <c r="I1499"/>
      <c r="J1499"/>
      <c r="K1499"/>
      <c r="L1499"/>
      <c r="M1499"/>
      <c r="N1499"/>
      <c r="O1499"/>
      <c r="P1499" s="225"/>
      <c r="Q1499" s="225"/>
      <c r="R1499"/>
      <c r="S1499"/>
      <c r="T1499"/>
      <c r="U1499"/>
      <c r="V1499"/>
      <c r="W1499"/>
      <c r="X1499"/>
    </row>
    <row r="1500" spans="5:24" x14ac:dyDescent="0.3">
      <c r="E1500" s="173"/>
      <c r="F1500" s="173"/>
      <c r="I1500"/>
      <c r="J1500"/>
      <c r="K1500"/>
      <c r="L1500"/>
      <c r="M1500"/>
      <c r="N1500"/>
      <c r="O1500"/>
      <c r="P1500" s="225"/>
      <c r="Q1500" s="225"/>
      <c r="R1500"/>
      <c r="S1500"/>
      <c r="T1500"/>
      <c r="U1500"/>
      <c r="V1500"/>
      <c r="W1500"/>
      <c r="X1500"/>
    </row>
    <row r="1501" spans="5:24" x14ac:dyDescent="0.3">
      <c r="E1501" s="173"/>
      <c r="F1501" s="173"/>
      <c r="I1501"/>
      <c r="J1501"/>
      <c r="K1501"/>
      <c r="L1501"/>
      <c r="M1501"/>
      <c r="N1501"/>
      <c r="O1501"/>
      <c r="P1501" s="225"/>
      <c r="Q1501" s="225"/>
      <c r="R1501"/>
      <c r="S1501"/>
      <c r="T1501"/>
      <c r="U1501"/>
      <c r="V1501"/>
      <c r="W1501"/>
      <c r="X1501"/>
    </row>
    <row r="1502" spans="5:24" x14ac:dyDescent="0.3">
      <c r="E1502" s="173"/>
      <c r="F1502" s="173"/>
      <c r="I1502"/>
      <c r="J1502"/>
      <c r="K1502"/>
      <c r="L1502"/>
      <c r="M1502"/>
      <c r="N1502"/>
      <c r="O1502"/>
      <c r="P1502" s="225"/>
      <c r="Q1502" s="225"/>
      <c r="R1502"/>
      <c r="S1502"/>
      <c r="T1502"/>
      <c r="U1502"/>
      <c r="V1502"/>
      <c r="W1502"/>
      <c r="X1502"/>
    </row>
    <row r="1503" spans="5:24" x14ac:dyDescent="0.3">
      <c r="E1503" s="173"/>
      <c r="F1503" s="173"/>
      <c r="I1503"/>
      <c r="J1503"/>
      <c r="K1503"/>
      <c r="L1503"/>
      <c r="M1503"/>
      <c r="N1503"/>
      <c r="O1503"/>
      <c r="P1503" s="225"/>
      <c r="Q1503" s="225"/>
      <c r="R1503"/>
      <c r="S1503"/>
      <c r="T1503"/>
      <c r="U1503"/>
      <c r="V1503"/>
      <c r="W1503"/>
      <c r="X1503"/>
    </row>
    <row r="1504" spans="5:24" x14ac:dyDescent="0.3">
      <c r="E1504" s="173"/>
      <c r="F1504" s="173"/>
      <c r="I1504"/>
      <c r="J1504"/>
      <c r="K1504"/>
      <c r="L1504"/>
      <c r="M1504"/>
      <c r="N1504"/>
      <c r="O1504"/>
      <c r="P1504" s="225"/>
      <c r="Q1504" s="225"/>
      <c r="R1504"/>
      <c r="S1504"/>
      <c r="T1504"/>
      <c r="U1504"/>
      <c r="V1504"/>
      <c r="W1504"/>
      <c r="X1504"/>
    </row>
    <row r="1505" spans="5:24" x14ac:dyDescent="0.3">
      <c r="E1505" s="173"/>
      <c r="F1505" s="173"/>
      <c r="I1505"/>
      <c r="J1505"/>
      <c r="K1505"/>
      <c r="L1505"/>
      <c r="M1505"/>
      <c r="N1505"/>
      <c r="O1505"/>
      <c r="P1505" s="225"/>
      <c r="Q1505" s="225"/>
      <c r="R1505"/>
      <c r="S1505"/>
      <c r="T1505"/>
      <c r="U1505"/>
      <c r="V1505"/>
      <c r="W1505"/>
      <c r="X1505"/>
    </row>
    <row r="1506" spans="5:24" x14ac:dyDescent="0.3">
      <c r="E1506" s="173"/>
      <c r="F1506" s="173"/>
      <c r="I1506"/>
      <c r="J1506"/>
      <c r="K1506"/>
      <c r="L1506"/>
      <c r="M1506"/>
      <c r="N1506"/>
      <c r="O1506"/>
      <c r="P1506" s="225"/>
      <c r="Q1506" s="225"/>
      <c r="R1506"/>
      <c r="S1506"/>
      <c r="T1506"/>
      <c r="U1506"/>
      <c r="V1506"/>
      <c r="W1506"/>
      <c r="X1506"/>
    </row>
    <row r="1507" spans="5:24" x14ac:dyDescent="0.3">
      <c r="E1507" s="173"/>
      <c r="F1507" s="173"/>
      <c r="I1507"/>
      <c r="J1507"/>
      <c r="K1507"/>
      <c r="L1507"/>
      <c r="M1507"/>
      <c r="N1507"/>
      <c r="O1507"/>
      <c r="P1507" s="225"/>
      <c r="Q1507" s="225"/>
      <c r="R1507"/>
      <c r="S1507"/>
      <c r="T1507"/>
      <c r="U1507"/>
      <c r="V1507"/>
      <c r="W1507"/>
      <c r="X1507"/>
    </row>
    <row r="1508" spans="5:24" x14ac:dyDescent="0.3">
      <c r="E1508" s="173"/>
      <c r="F1508" s="173"/>
      <c r="I1508"/>
      <c r="J1508"/>
      <c r="K1508"/>
      <c r="L1508"/>
      <c r="M1508"/>
      <c r="N1508"/>
      <c r="O1508"/>
      <c r="P1508" s="225"/>
      <c r="Q1508" s="225"/>
      <c r="R1508"/>
      <c r="S1508"/>
      <c r="T1508"/>
      <c r="U1508"/>
      <c r="V1508"/>
      <c r="W1508"/>
      <c r="X1508"/>
    </row>
    <row r="1509" spans="5:24" x14ac:dyDescent="0.3">
      <c r="E1509" s="173"/>
      <c r="F1509" s="173"/>
      <c r="I1509"/>
      <c r="J1509"/>
      <c r="K1509"/>
      <c r="L1509"/>
      <c r="M1509"/>
      <c r="N1509"/>
      <c r="O1509"/>
      <c r="P1509" s="225"/>
      <c r="Q1509" s="225"/>
      <c r="R1509"/>
      <c r="S1509"/>
      <c r="T1509"/>
      <c r="U1509"/>
      <c r="V1509"/>
      <c r="W1509"/>
      <c r="X1509"/>
    </row>
    <row r="1510" spans="5:24" x14ac:dyDescent="0.3">
      <c r="E1510" s="173"/>
      <c r="F1510" s="173"/>
      <c r="I1510"/>
      <c r="J1510"/>
      <c r="K1510"/>
      <c r="L1510"/>
      <c r="M1510"/>
      <c r="N1510"/>
      <c r="O1510"/>
      <c r="P1510" s="225"/>
      <c r="Q1510" s="225"/>
      <c r="R1510"/>
      <c r="S1510"/>
      <c r="T1510"/>
      <c r="U1510"/>
      <c r="V1510"/>
      <c r="W1510"/>
      <c r="X1510"/>
    </row>
    <row r="1511" spans="5:24" x14ac:dyDescent="0.3">
      <c r="E1511" s="173"/>
      <c r="F1511" s="173"/>
      <c r="I1511"/>
      <c r="J1511"/>
      <c r="K1511"/>
      <c r="L1511"/>
      <c r="M1511"/>
      <c r="N1511"/>
      <c r="O1511"/>
      <c r="P1511" s="225"/>
      <c r="Q1511" s="225"/>
      <c r="R1511"/>
      <c r="S1511"/>
      <c r="T1511"/>
      <c r="U1511"/>
      <c r="V1511"/>
      <c r="W1511"/>
      <c r="X1511"/>
    </row>
    <row r="1512" spans="5:24" x14ac:dyDescent="0.3">
      <c r="E1512" s="173"/>
      <c r="F1512" s="173"/>
      <c r="I1512"/>
      <c r="J1512"/>
      <c r="K1512"/>
      <c r="L1512"/>
      <c r="M1512"/>
      <c r="N1512"/>
      <c r="O1512"/>
      <c r="P1512" s="225"/>
      <c r="Q1512" s="225"/>
      <c r="R1512"/>
      <c r="S1512"/>
      <c r="T1512"/>
      <c r="U1512"/>
      <c r="V1512"/>
      <c r="W1512"/>
      <c r="X1512"/>
    </row>
    <row r="1513" spans="5:24" x14ac:dyDescent="0.3">
      <c r="E1513" s="173"/>
      <c r="F1513" s="173"/>
      <c r="I1513"/>
      <c r="J1513"/>
      <c r="K1513"/>
      <c r="L1513"/>
      <c r="M1513"/>
      <c r="N1513"/>
      <c r="O1513"/>
      <c r="P1513" s="225"/>
      <c r="Q1513" s="225"/>
      <c r="R1513"/>
      <c r="S1513"/>
      <c r="T1513"/>
      <c r="U1513"/>
      <c r="V1513"/>
      <c r="W1513"/>
      <c r="X1513"/>
    </row>
    <row r="1514" spans="5:24" x14ac:dyDescent="0.3">
      <c r="E1514" s="173"/>
      <c r="F1514" s="173"/>
      <c r="I1514"/>
      <c r="J1514"/>
      <c r="K1514"/>
      <c r="L1514"/>
      <c r="M1514"/>
      <c r="N1514"/>
      <c r="O1514"/>
      <c r="P1514" s="225"/>
      <c r="Q1514" s="225"/>
      <c r="R1514"/>
      <c r="S1514"/>
      <c r="T1514"/>
      <c r="U1514"/>
      <c r="V1514"/>
      <c r="W1514"/>
      <c r="X1514"/>
    </row>
    <row r="1515" spans="5:24" x14ac:dyDescent="0.3">
      <c r="E1515" s="173"/>
      <c r="F1515" s="173"/>
      <c r="I1515"/>
      <c r="J1515"/>
      <c r="K1515"/>
      <c r="L1515"/>
      <c r="M1515"/>
      <c r="N1515"/>
      <c r="O1515"/>
      <c r="P1515" s="225"/>
      <c r="Q1515" s="225"/>
      <c r="R1515"/>
      <c r="S1515"/>
      <c r="T1515"/>
      <c r="U1515"/>
      <c r="V1515"/>
      <c r="W1515"/>
      <c r="X1515"/>
    </row>
    <row r="1516" spans="5:24" x14ac:dyDescent="0.3">
      <c r="E1516" s="173"/>
      <c r="F1516" s="173"/>
      <c r="I1516"/>
      <c r="J1516"/>
      <c r="K1516"/>
      <c r="L1516"/>
      <c r="M1516"/>
      <c r="N1516"/>
      <c r="O1516"/>
      <c r="P1516" s="225"/>
      <c r="Q1516" s="225"/>
      <c r="R1516"/>
      <c r="S1516"/>
      <c r="T1516"/>
      <c r="U1516"/>
      <c r="V1516"/>
      <c r="W1516"/>
      <c r="X1516"/>
    </row>
    <row r="1517" spans="5:24" x14ac:dyDescent="0.3">
      <c r="E1517" s="173"/>
      <c r="F1517" s="173"/>
      <c r="I1517"/>
      <c r="J1517"/>
      <c r="K1517"/>
      <c r="L1517"/>
      <c r="M1517"/>
      <c r="N1517"/>
      <c r="O1517"/>
      <c r="P1517" s="225"/>
      <c r="Q1517" s="225"/>
      <c r="R1517"/>
      <c r="S1517"/>
      <c r="T1517"/>
      <c r="U1517"/>
      <c r="V1517"/>
      <c r="W1517"/>
      <c r="X1517"/>
    </row>
    <row r="1518" spans="5:24" x14ac:dyDescent="0.3">
      <c r="E1518" s="173"/>
      <c r="F1518" s="173"/>
      <c r="I1518"/>
      <c r="J1518"/>
      <c r="K1518"/>
      <c r="L1518"/>
      <c r="M1518"/>
      <c r="N1518"/>
      <c r="O1518"/>
      <c r="P1518" s="225"/>
      <c r="Q1518" s="225"/>
      <c r="R1518"/>
      <c r="S1518"/>
      <c r="T1518"/>
      <c r="U1518"/>
      <c r="V1518"/>
      <c r="W1518"/>
      <c r="X1518"/>
    </row>
    <row r="1519" spans="5:24" x14ac:dyDescent="0.3">
      <c r="E1519" s="173"/>
      <c r="F1519" s="173"/>
      <c r="I1519"/>
      <c r="J1519"/>
      <c r="K1519"/>
      <c r="L1519"/>
      <c r="M1519"/>
      <c r="N1519"/>
      <c r="O1519"/>
      <c r="P1519" s="225"/>
      <c r="Q1519" s="225"/>
      <c r="R1519"/>
      <c r="S1519"/>
      <c r="T1519"/>
      <c r="U1519"/>
      <c r="V1519"/>
      <c r="W1519"/>
      <c r="X1519"/>
    </row>
    <row r="1520" spans="5:24" x14ac:dyDescent="0.3">
      <c r="E1520" s="173"/>
      <c r="F1520" s="173"/>
      <c r="I1520"/>
      <c r="J1520"/>
      <c r="K1520"/>
      <c r="L1520"/>
      <c r="M1520"/>
      <c r="N1520"/>
      <c r="O1520"/>
      <c r="P1520" s="225"/>
      <c r="Q1520" s="225"/>
      <c r="R1520"/>
      <c r="S1520"/>
      <c r="T1520"/>
      <c r="U1520"/>
      <c r="V1520"/>
      <c r="W1520"/>
      <c r="X1520"/>
    </row>
    <row r="1521" spans="5:24" x14ac:dyDescent="0.3">
      <c r="E1521" s="173"/>
      <c r="F1521" s="173"/>
      <c r="I1521"/>
      <c r="J1521"/>
      <c r="K1521"/>
      <c r="L1521"/>
      <c r="M1521"/>
      <c r="N1521"/>
      <c r="O1521"/>
      <c r="P1521" s="225"/>
      <c r="Q1521" s="225"/>
      <c r="R1521"/>
      <c r="S1521"/>
      <c r="T1521"/>
      <c r="U1521"/>
      <c r="V1521"/>
      <c r="W1521"/>
      <c r="X1521"/>
    </row>
    <row r="1522" spans="5:24" x14ac:dyDescent="0.3">
      <c r="E1522" s="173"/>
      <c r="F1522" s="173"/>
      <c r="I1522"/>
      <c r="J1522"/>
      <c r="K1522"/>
      <c r="L1522"/>
      <c r="M1522"/>
      <c r="N1522"/>
      <c r="O1522"/>
      <c r="P1522" s="225"/>
      <c r="Q1522" s="225"/>
      <c r="R1522"/>
      <c r="S1522"/>
      <c r="T1522"/>
      <c r="U1522"/>
      <c r="V1522"/>
      <c r="W1522"/>
      <c r="X1522"/>
    </row>
    <row r="1523" spans="5:24" x14ac:dyDescent="0.3">
      <c r="E1523" s="173"/>
      <c r="F1523" s="173"/>
      <c r="I1523"/>
      <c r="J1523"/>
      <c r="K1523"/>
      <c r="L1523"/>
      <c r="M1523"/>
      <c r="N1523"/>
      <c r="O1523"/>
      <c r="P1523" s="225"/>
      <c r="Q1523" s="225"/>
      <c r="R1523"/>
      <c r="S1523"/>
      <c r="T1523"/>
      <c r="U1523"/>
      <c r="V1523"/>
      <c r="W1523"/>
      <c r="X1523"/>
    </row>
    <row r="1524" spans="5:24" x14ac:dyDescent="0.3">
      <c r="E1524" s="173"/>
      <c r="F1524" s="173"/>
      <c r="I1524"/>
      <c r="J1524"/>
      <c r="K1524"/>
      <c r="L1524"/>
      <c r="M1524"/>
      <c r="N1524"/>
      <c r="O1524"/>
      <c r="P1524" s="225"/>
      <c r="Q1524" s="225"/>
      <c r="R1524"/>
      <c r="S1524"/>
      <c r="T1524"/>
      <c r="U1524"/>
      <c r="V1524"/>
      <c r="W1524"/>
      <c r="X1524"/>
    </row>
    <row r="1525" spans="5:24" x14ac:dyDescent="0.3">
      <c r="E1525" s="173"/>
      <c r="F1525" s="173"/>
      <c r="I1525"/>
      <c r="J1525"/>
      <c r="K1525"/>
      <c r="L1525"/>
      <c r="M1525"/>
      <c r="N1525"/>
      <c r="O1525"/>
      <c r="P1525" s="225"/>
      <c r="Q1525" s="225"/>
      <c r="R1525"/>
      <c r="S1525"/>
      <c r="T1525"/>
      <c r="U1525"/>
      <c r="V1525"/>
      <c r="W1525"/>
      <c r="X1525"/>
    </row>
    <row r="1526" spans="5:24" x14ac:dyDescent="0.3">
      <c r="E1526" s="173"/>
      <c r="F1526" s="173"/>
      <c r="I1526"/>
      <c r="J1526"/>
      <c r="K1526"/>
      <c r="L1526"/>
      <c r="M1526"/>
      <c r="N1526"/>
      <c r="O1526"/>
      <c r="P1526" s="225"/>
      <c r="Q1526" s="225"/>
      <c r="R1526"/>
      <c r="S1526"/>
      <c r="T1526"/>
      <c r="U1526"/>
      <c r="V1526"/>
      <c r="W1526"/>
      <c r="X1526"/>
    </row>
    <row r="1527" spans="5:24" x14ac:dyDescent="0.3">
      <c r="E1527" s="173"/>
      <c r="F1527" s="173"/>
      <c r="I1527"/>
      <c r="J1527"/>
      <c r="K1527"/>
      <c r="L1527"/>
      <c r="M1527"/>
      <c r="N1527"/>
      <c r="O1527"/>
      <c r="P1527" s="225"/>
      <c r="Q1527" s="225"/>
      <c r="R1527"/>
      <c r="S1527"/>
      <c r="T1527"/>
      <c r="U1527"/>
      <c r="V1527"/>
      <c r="W1527"/>
      <c r="X1527"/>
    </row>
    <row r="1528" spans="5:24" x14ac:dyDescent="0.3">
      <c r="E1528" s="173"/>
      <c r="F1528" s="173"/>
      <c r="I1528"/>
      <c r="J1528"/>
      <c r="K1528"/>
      <c r="L1528"/>
      <c r="M1528"/>
      <c r="N1528"/>
      <c r="O1528"/>
      <c r="P1528" s="225"/>
      <c r="Q1528" s="225"/>
      <c r="R1528"/>
      <c r="S1528"/>
      <c r="T1528"/>
      <c r="U1528"/>
      <c r="V1528"/>
      <c r="W1528"/>
      <c r="X1528"/>
    </row>
    <row r="1529" spans="5:24" x14ac:dyDescent="0.3">
      <c r="E1529" s="173"/>
      <c r="F1529" s="173"/>
      <c r="I1529"/>
      <c r="J1529"/>
      <c r="K1529"/>
      <c r="L1529"/>
      <c r="M1529"/>
      <c r="N1529"/>
      <c r="O1529"/>
      <c r="P1529" s="225"/>
      <c r="Q1529" s="225"/>
      <c r="R1529"/>
      <c r="S1529"/>
      <c r="T1529"/>
      <c r="U1529"/>
      <c r="V1529"/>
      <c r="W1529"/>
      <c r="X1529"/>
    </row>
    <row r="1530" spans="5:24" x14ac:dyDescent="0.3">
      <c r="E1530" s="173"/>
      <c r="F1530" s="173"/>
      <c r="I1530"/>
      <c r="J1530"/>
      <c r="K1530"/>
      <c r="L1530"/>
      <c r="M1530"/>
      <c r="N1530"/>
      <c r="O1530"/>
      <c r="P1530" s="225"/>
      <c r="Q1530" s="225"/>
      <c r="R1530"/>
      <c r="S1530"/>
      <c r="T1530"/>
      <c r="U1530"/>
      <c r="V1530"/>
      <c r="W1530"/>
      <c r="X1530"/>
    </row>
    <row r="1531" spans="5:24" x14ac:dyDescent="0.3">
      <c r="E1531" s="173"/>
      <c r="F1531" s="173"/>
      <c r="I1531"/>
      <c r="J1531"/>
      <c r="K1531"/>
      <c r="L1531"/>
      <c r="M1531"/>
      <c r="N1531"/>
      <c r="O1531"/>
      <c r="P1531" s="225"/>
      <c r="Q1531" s="225"/>
      <c r="R1531"/>
      <c r="S1531"/>
      <c r="T1531"/>
      <c r="U1531"/>
      <c r="V1531"/>
      <c r="W1531"/>
      <c r="X1531"/>
    </row>
    <row r="1532" spans="5:24" x14ac:dyDescent="0.3">
      <c r="E1532" s="173"/>
      <c r="F1532" s="173"/>
      <c r="I1532"/>
      <c r="J1532"/>
      <c r="K1532"/>
      <c r="L1532"/>
      <c r="M1532"/>
      <c r="N1532"/>
      <c r="O1532"/>
      <c r="P1532" s="225"/>
      <c r="Q1532" s="225"/>
      <c r="R1532"/>
      <c r="S1532"/>
      <c r="T1532"/>
      <c r="U1532"/>
      <c r="V1532"/>
      <c r="W1532"/>
      <c r="X1532"/>
    </row>
    <row r="1533" spans="5:24" x14ac:dyDescent="0.3">
      <c r="E1533" s="173"/>
      <c r="F1533" s="173"/>
      <c r="I1533"/>
      <c r="J1533"/>
      <c r="K1533"/>
      <c r="L1533"/>
      <c r="M1533"/>
      <c r="N1533"/>
      <c r="O1533"/>
      <c r="P1533" s="225"/>
      <c r="Q1533" s="225"/>
      <c r="R1533"/>
      <c r="S1533"/>
      <c r="T1533"/>
      <c r="U1533"/>
      <c r="V1533"/>
      <c r="W1533"/>
      <c r="X1533"/>
    </row>
    <row r="1534" spans="5:24" x14ac:dyDescent="0.3">
      <c r="E1534" s="173"/>
      <c r="F1534" s="173"/>
      <c r="I1534"/>
      <c r="J1534"/>
      <c r="K1534"/>
      <c r="L1534"/>
      <c r="M1534"/>
      <c r="N1534"/>
      <c r="O1534"/>
      <c r="P1534" s="225"/>
      <c r="Q1534" s="225"/>
      <c r="R1534"/>
      <c r="S1534"/>
      <c r="T1534"/>
      <c r="U1534"/>
      <c r="V1534"/>
      <c r="W1534"/>
      <c r="X1534"/>
    </row>
    <row r="1535" spans="5:24" x14ac:dyDescent="0.3">
      <c r="E1535" s="173"/>
      <c r="F1535" s="173"/>
      <c r="I1535"/>
      <c r="J1535"/>
      <c r="K1535"/>
      <c r="L1535"/>
      <c r="M1535"/>
      <c r="N1535"/>
      <c r="O1535"/>
      <c r="P1535" s="225"/>
      <c r="Q1535" s="225"/>
      <c r="R1535"/>
      <c r="S1535"/>
      <c r="T1535"/>
      <c r="U1535"/>
      <c r="V1535"/>
      <c r="W1535"/>
      <c r="X1535"/>
    </row>
    <row r="1536" spans="5:24" x14ac:dyDescent="0.3">
      <c r="E1536" s="173"/>
      <c r="F1536" s="173"/>
      <c r="I1536"/>
      <c r="J1536"/>
      <c r="K1536"/>
      <c r="L1536"/>
      <c r="M1536"/>
      <c r="N1536"/>
      <c r="O1536"/>
      <c r="P1536" s="225"/>
      <c r="Q1536" s="225"/>
      <c r="R1536"/>
      <c r="S1536"/>
      <c r="T1536"/>
      <c r="U1536"/>
      <c r="V1536"/>
      <c r="W1536"/>
      <c r="X1536"/>
    </row>
    <row r="1537" spans="5:24" x14ac:dyDescent="0.3">
      <c r="E1537" s="173"/>
      <c r="F1537" s="173"/>
      <c r="I1537"/>
      <c r="J1537"/>
      <c r="K1537"/>
      <c r="L1537"/>
      <c r="M1537"/>
      <c r="N1537"/>
      <c r="O1537"/>
      <c r="P1537" s="225"/>
      <c r="Q1537" s="225"/>
      <c r="R1537"/>
      <c r="S1537"/>
      <c r="T1537"/>
      <c r="U1537"/>
      <c r="V1537"/>
      <c r="W1537"/>
      <c r="X1537"/>
    </row>
    <row r="1538" spans="5:24" x14ac:dyDescent="0.3">
      <c r="E1538" s="173"/>
      <c r="F1538" s="173"/>
      <c r="I1538"/>
      <c r="J1538"/>
      <c r="K1538"/>
      <c r="L1538"/>
      <c r="M1538"/>
      <c r="N1538"/>
      <c r="O1538"/>
      <c r="P1538" s="225"/>
      <c r="Q1538" s="225"/>
      <c r="R1538"/>
      <c r="S1538"/>
      <c r="T1538"/>
      <c r="U1538"/>
      <c r="V1538"/>
      <c r="W1538"/>
      <c r="X1538"/>
    </row>
    <row r="1539" spans="5:24" x14ac:dyDescent="0.3">
      <c r="E1539" s="173"/>
      <c r="F1539" s="173"/>
      <c r="I1539"/>
      <c r="J1539"/>
      <c r="K1539"/>
      <c r="L1539"/>
      <c r="M1539"/>
      <c r="N1539"/>
      <c r="O1539"/>
      <c r="P1539" s="225"/>
      <c r="Q1539" s="225"/>
      <c r="R1539"/>
      <c r="S1539"/>
      <c r="T1539"/>
      <c r="U1539"/>
      <c r="V1539"/>
      <c r="W1539"/>
      <c r="X1539"/>
    </row>
    <row r="1540" spans="5:24" x14ac:dyDescent="0.3">
      <c r="E1540" s="173"/>
      <c r="F1540" s="173"/>
      <c r="I1540"/>
      <c r="J1540"/>
      <c r="K1540"/>
      <c r="L1540"/>
      <c r="M1540"/>
      <c r="N1540"/>
      <c r="O1540"/>
      <c r="P1540" s="225"/>
      <c r="Q1540" s="225"/>
      <c r="R1540"/>
      <c r="S1540"/>
      <c r="T1540"/>
      <c r="U1540"/>
      <c r="V1540"/>
      <c r="W1540"/>
      <c r="X1540"/>
    </row>
    <row r="1541" spans="5:24" x14ac:dyDescent="0.3">
      <c r="E1541" s="173"/>
      <c r="F1541" s="173"/>
      <c r="I1541"/>
      <c r="J1541"/>
      <c r="K1541"/>
      <c r="L1541"/>
      <c r="M1541"/>
      <c r="N1541"/>
      <c r="O1541"/>
      <c r="P1541" s="225"/>
      <c r="Q1541" s="225"/>
      <c r="R1541"/>
      <c r="S1541"/>
      <c r="T1541"/>
      <c r="U1541"/>
      <c r="V1541"/>
      <c r="W1541"/>
      <c r="X1541"/>
    </row>
    <row r="1542" spans="5:24" x14ac:dyDescent="0.3">
      <c r="E1542" s="173"/>
      <c r="F1542" s="173"/>
      <c r="I1542"/>
      <c r="J1542"/>
      <c r="K1542"/>
      <c r="L1542"/>
      <c r="M1542"/>
      <c r="N1542"/>
      <c r="O1542"/>
      <c r="P1542" s="225"/>
      <c r="Q1542" s="225"/>
      <c r="R1542"/>
      <c r="S1542"/>
      <c r="T1542"/>
      <c r="U1542"/>
      <c r="V1542"/>
      <c r="W1542"/>
      <c r="X1542"/>
    </row>
    <row r="1543" spans="5:24" x14ac:dyDescent="0.3">
      <c r="E1543" s="173"/>
      <c r="F1543" s="173"/>
      <c r="I1543"/>
      <c r="J1543"/>
      <c r="K1543"/>
      <c r="L1543"/>
      <c r="M1543"/>
      <c r="N1543"/>
      <c r="O1543"/>
      <c r="P1543" s="225"/>
      <c r="Q1543" s="225"/>
      <c r="R1543"/>
      <c r="S1543"/>
      <c r="T1543"/>
      <c r="U1543"/>
      <c r="V1543"/>
      <c r="W1543"/>
      <c r="X1543"/>
    </row>
    <row r="1544" spans="5:24" x14ac:dyDescent="0.3">
      <c r="E1544" s="173"/>
      <c r="F1544" s="173"/>
      <c r="I1544"/>
      <c r="J1544"/>
      <c r="K1544"/>
      <c r="L1544"/>
      <c r="M1544"/>
      <c r="N1544"/>
      <c r="O1544"/>
      <c r="P1544" s="225"/>
      <c r="Q1544" s="225"/>
      <c r="R1544"/>
      <c r="S1544"/>
      <c r="T1544"/>
      <c r="U1544"/>
      <c r="V1544"/>
      <c r="W1544"/>
      <c r="X1544"/>
    </row>
    <row r="1545" spans="5:24" x14ac:dyDescent="0.3">
      <c r="E1545" s="173"/>
      <c r="F1545" s="173"/>
      <c r="I1545"/>
      <c r="J1545"/>
      <c r="K1545"/>
      <c r="L1545"/>
      <c r="M1545"/>
      <c r="N1545"/>
      <c r="O1545"/>
      <c r="P1545" s="225"/>
      <c r="Q1545" s="225"/>
      <c r="R1545"/>
      <c r="S1545"/>
      <c r="T1545"/>
      <c r="U1545"/>
      <c r="V1545"/>
      <c r="W1545"/>
      <c r="X1545"/>
    </row>
    <row r="1546" spans="5:24" x14ac:dyDescent="0.3">
      <c r="E1546" s="173"/>
      <c r="F1546" s="173"/>
      <c r="I1546"/>
      <c r="J1546"/>
      <c r="K1546"/>
      <c r="L1546"/>
      <c r="M1546"/>
      <c r="N1546"/>
      <c r="O1546"/>
      <c r="P1546" s="225"/>
      <c r="Q1546" s="225"/>
      <c r="R1546"/>
      <c r="S1546"/>
      <c r="T1546"/>
      <c r="U1546"/>
      <c r="V1546"/>
      <c r="W1546"/>
      <c r="X1546"/>
    </row>
    <row r="1547" spans="5:24" x14ac:dyDescent="0.3">
      <c r="E1547" s="173"/>
      <c r="F1547" s="173"/>
      <c r="I1547"/>
      <c r="J1547"/>
      <c r="K1547"/>
      <c r="L1547"/>
      <c r="M1547"/>
      <c r="N1547"/>
      <c r="O1547"/>
      <c r="P1547" s="225"/>
      <c r="Q1547" s="225"/>
      <c r="R1547"/>
      <c r="S1547"/>
      <c r="T1547"/>
      <c r="U1547"/>
      <c r="V1547"/>
      <c r="W1547"/>
      <c r="X1547"/>
    </row>
    <row r="1548" spans="5:24" x14ac:dyDescent="0.3">
      <c r="E1548" s="173"/>
      <c r="F1548" s="173"/>
      <c r="I1548"/>
      <c r="J1548"/>
      <c r="K1548"/>
      <c r="L1548"/>
      <c r="M1548"/>
      <c r="N1548"/>
      <c r="O1548"/>
      <c r="P1548" s="225"/>
      <c r="Q1548" s="225"/>
      <c r="R1548"/>
      <c r="S1548"/>
      <c r="T1548"/>
      <c r="U1548"/>
      <c r="V1548"/>
      <c r="W1548"/>
      <c r="X1548"/>
    </row>
    <row r="1549" spans="5:24" x14ac:dyDescent="0.3">
      <c r="E1549" s="173"/>
      <c r="F1549" s="173"/>
      <c r="I1549"/>
      <c r="J1549"/>
      <c r="K1549"/>
      <c r="L1549"/>
      <c r="M1549"/>
      <c r="N1549"/>
      <c r="O1549"/>
      <c r="P1549" s="225"/>
      <c r="Q1549" s="225"/>
      <c r="R1549"/>
      <c r="S1549"/>
      <c r="T1549"/>
      <c r="U1549"/>
      <c r="V1549"/>
      <c r="W1549"/>
      <c r="X1549"/>
    </row>
    <row r="1550" spans="5:24" x14ac:dyDescent="0.3">
      <c r="E1550" s="173"/>
      <c r="F1550" s="173"/>
      <c r="I1550"/>
      <c r="J1550"/>
      <c r="K1550"/>
      <c r="L1550"/>
      <c r="M1550"/>
      <c r="N1550"/>
      <c r="O1550"/>
      <c r="P1550" s="225"/>
      <c r="Q1550" s="225"/>
      <c r="R1550"/>
      <c r="S1550"/>
      <c r="T1550"/>
      <c r="U1550"/>
      <c r="V1550"/>
      <c r="W1550"/>
      <c r="X1550"/>
    </row>
    <row r="1551" spans="5:24" x14ac:dyDescent="0.3">
      <c r="E1551" s="173"/>
      <c r="F1551" s="173"/>
      <c r="I1551"/>
      <c r="J1551"/>
      <c r="K1551"/>
      <c r="L1551"/>
      <c r="M1551"/>
      <c r="N1551"/>
      <c r="O1551"/>
      <c r="P1551" s="225"/>
      <c r="Q1551" s="225"/>
      <c r="R1551"/>
      <c r="S1551"/>
      <c r="T1551"/>
      <c r="U1551"/>
      <c r="V1551"/>
      <c r="W1551"/>
      <c r="X1551"/>
    </row>
    <row r="1552" spans="5:24" x14ac:dyDescent="0.3">
      <c r="E1552" s="173"/>
      <c r="F1552" s="173"/>
      <c r="I1552"/>
      <c r="J1552"/>
      <c r="K1552"/>
      <c r="L1552"/>
      <c r="M1552"/>
      <c r="N1552"/>
      <c r="O1552"/>
      <c r="P1552" s="225"/>
      <c r="Q1552" s="225"/>
      <c r="R1552"/>
      <c r="S1552"/>
      <c r="T1552"/>
      <c r="U1552"/>
      <c r="V1552"/>
      <c r="W1552"/>
      <c r="X1552"/>
    </row>
    <row r="1553" spans="5:24" x14ac:dyDescent="0.3">
      <c r="E1553" s="173"/>
      <c r="F1553" s="173"/>
      <c r="I1553"/>
      <c r="J1553"/>
      <c r="K1553"/>
      <c r="L1553"/>
      <c r="M1553"/>
      <c r="N1553"/>
      <c r="O1553"/>
      <c r="P1553" s="225"/>
      <c r="Q1553" s="225"/>
      <c r="R1553"/>
      <c r="S1553"/>
      <c r="T1553"/>
      <c r="U1553"/>
      <c r="V1553"/>
      <c r="W1553"/>
      <c r="X1553"/>
    </row>
    <row r="1554" spans="5:24" x14ac:dyDescent="0.3">
      <c r="E1554" s="173"/>
      <c r="F1554" s="173"/>
      <c r="I1554"/>
      <c r="J1554"/>
      <c r="K1554"/>
      <c r="L1554"/>
      <c r="M1554"/>
      <c r="N1554"/>
      <c r="O1554"/>
      <c r="P1554" s="225"/>
      <c r="Q1554" s="225"/>
      <c r="R1554"/>
      <c r="S1554"/>
      <c r="T1554"/>
      <c r="U1554"/>
      <c r="V1554"/>
      <c r="W1554"/>
      <c r="X1554"/>
    </row>
    <row r="1555" spans="5:24" x14ac:dyDescent="0.3">
      <c r="E1555" s="173"/>
      <c r="F1555" s="173"/>
      <c r="I1555"/>
      <c r="J1555"/>
      <c r="K1555"/>
      <c r="L1555"/>
      <c r="M1555"/>
      <c r="N1555"/>
      <c r="O1555"/>
      <c r="P1555" s="225"/>
      <c r="Q1555" s="225"/>
      <c r="R1555"/>
      <c r="S1555"/>
      <c r="T1555"/>
      <c r="U1555"/>
      <c r="V1555"/>
      <c r="W1555"/>
      <c r="X1555"/>
    </row>
    <row r="1556" spans="5:24" x14ac:dyDescent="0.3">
      <c r="E1556" s="173"/>
      <c r="F1556" s="173"/>
      <c r="I1556"/>
      <c r="J1556"/>
      <c r="K1556"/>
      <c r="L1556"/>
      <c r="M1556"/>
      <c r="N1556"/>
      <c r="O1556"/>
      <c r="P1556" s="225"/>
      <c r="Q1556" s="225"/>
      <c r="R1556"/>
      <c r="S1556"/>
      <c r="T1556"/>
      <c r="U1556"/>
      <c r="V1556"/>
      <c r="W1556"/>
      <c r="X1556"/>
    </row>
    <row r="1557" spans="5:24" x14ac:dyDescent="0.3">
      <c r="E1557" s="173"/>
      <c r="F1557" s="173"/>
      <c r="I1557"/>
      <c r="J1557"/>
      <c r="K1557"/>
      <c r="L1557"/>
      <c r="M1557"/>
      <c r="N1557"/>
      <c r="O1557"/>
      <c r="P1557" s="225"/>
      <c r="Q1557" s="225"/>
      <c r="R1557"/>
      <c r="S1557"/>
      <c r="T1557"/>
      <c r="U1557"/>
      <c r="V1557"/>
      <c r="W1557"/>
      <c r="X1557"/>
    </row>
    <row r="1558" spans="5:24" x14ac:dyDescent="0.3">
      <c r="E1558" s="173"/>
      <c r="F1558" s="173"/>
      <c r="I1558"/>
      <c r="J1558"/>
      <c r="K1558"/>
      <c r="L1558"/>
      <c r="M1558"/>
      <c r="N1558"/>
      <c r="O1558"/>
      <c r="P1558" s="225"/>
      <c r="Q1558" s="225"/>
      <c r="R1558"/>
      <c r="S1558"/>
      <c r="T1558"/>
      <c r="U1558"/>
      <c r="V1558"/>
      <c r="W1558"/>
      <c r="X1558"/>
    </row>
    <row r="1559" spans="5:24" x14ac:dyDescent="0.3">
      <c r="E1559" s="173"/>
      <c r="F1559" s="173"/>
      <c r="I1559"/>
      <c r="J1559"/>
      <c r="K1559"/>
      <c r="L1559"/>
      <c r="M1559"/>
      <c r="N1559"/>
      <c r="O1559"/>
      <c r="P1559" s="225"/>
      <c r="Q1559" s="225"/>
      <c r="R1559"/>
      <c r="S1559"/>
      <c r="T1559"/>
      <c r="U1559"/>
      <c r="V1559"/>
      <c r="W1559"/>
      <c r="X1559"/>
    </row>
    <row r="1560" spans="5:24" x14ac:dyDescent="0.3">
      <c r="E1560" s="173"/>
      <c r="F1560" s="173"/>
      <c r="I1560"/>
      <c r="J1560"/>
      <c r="K1560"/>
      <c r="L1560"/>
      <c r="M1560"/>
      <c r="N1560"/>
      <c r="O1560"/>
      <c r="P1560" s="225"/>
      <c r="Q1560" s="225"/>
      <c r="R1560"/>
      <c r="S1560"/>
      <c r="T1560"/>
      <c r="U1560"/>
      <c r="V1560"/>
      <c r="W1560"/>
      <c r="X1560"/>
    </row>
    <row r="1561" spans="5:24" x14ac:dyDescent="0.3">
      <c r="E1561" s="173"/>
      <c r="F1561" s="173"/>
      <c r="I1561"/>
      <c r="J1561"/>
      <c r="K1561"/>
      <c r="L1561"/>
      <c r="M1561"/>
      <c r="N1561"/>
      <c r="O1561"/>
      <c r="P1561" s="225"/>
      <c r="Q1561" s="225"/>
      <c r="R1561"/>
      <c r="S1561"/>
      <c r="T1561"/>
      <c r="U1561"/>
      <c r="V1561"/>
      <c r="W1561"/>
      <c r="X1561"/>
    </row>
    <row r="1562" spans="5:24" x14ac:dyDescent="0.3">
      <c r="E1562" s="173"/>
      <c r="F1562" s="173"/>
      <c r="I1562"/>
      <c r="J1562"/>
      <c r="K1562"/>
      <c r="L1562"/>
      <c r="M1562"/>
      <c r="N1562"/>
      <c r="O1562"/>
      <c r="P1562" s="225"/>
      <c r="Q1562" s="225"/>
      <c r="R1562"/>
      <c r="S1562"/>
      <c r="T1562"/>
      <c r="U1562"/>
      <c r="V1562"/>
      <c r="W1562"/>
      <c r="X1562"/>
    </row>
    <row r="1563" spans="5:24" x14ac:dyDescent="0.3">
      <c r="E1563" s="173"/>
      <c r="F1563" s="173"/>
      <c r="I1563"/>
      <c r="J1563"/>
      <c r="K1563"/>
      <c r="L1563"/>
      <c r="M1563"/>
      <c r="N1563"/>
      <c r="O1563"/>
      <c r="P1563" s="225"/>
      <c r="Q1563" s="225"/>
      <c r="R1563"/>
      <c r="S1563"/>
      <c r="T1563"/>
      <c r="U1563"/>
      <c r="V1563"/>
      <c r="W1563"/>
      <c r="X1563"/>
    </row>
    <row r="1564" spans="5:24" x14ac:dyDescent="0.3">
      <c r="E1564" s="173"/>
      <c r="F1564" s="173"/>
      <c r="I1564"/>
      <c r="J1564"/>
      <c r="K1564"/>
      <c r="L1564"/>
      <c r="M1564"/>
      <c r="N1564"/>
      <c r="O1564"/>
      <c r="P1564" s="225"/>
      <c r="Q1564" s="225"/>
      <c r="R1564"/>
      <c r="S1564"/>
      <c r="T1564"/>
      <c r="U1564"/>
      <c r="V1564"/>
      <c r="W1564"/>
      <c r="X1564"/>
    </row>
    <row r="1565" spans="5:24" x14ac:dyDescent="0.3">
      <c r="E1565" s="173"/>
      <c r="F1565" s="173"/>
      <c r="I1565"/>
      <c r="J1565"/>
      <c r="K1565"/>
      <c r="L1565"/>
      <c r="M1565"/>
      <c r="N1565"/>
      <c r="O1565"/>
      <c r="P1565" s="225"/>
      <c r="Q1565" s="225"/>
      <c r="R1565"/>
      <c r="S1565"/>
      <c r="T1565"/>
      <c r="U1565"/>
      <c r="V1565"/>
      <c r="W1565"/>
      <c r="X1565"/>
    </row>
    <row r="1566" spans="5:24" x14ac:dyDescent="0.3">
      <c r="E1566" s="173"/>
      <c r="F1566" s="173"/>
      <c r="I1566"/>
      <c r="J1566"/>
      <c r="K1566"/>
      <c r="L1566"/>
      <c r="M1566"/>
      <c r="N1566"/>
      <c r="O1566"/>
      <c r="P1566" s="225"/>
      <c r="Q1566" s="225"/>
      <c r="R1566"/>
      <c r="S1566"/>
      <c r="T1566"/>
      <c r="U1566"/>
      <c r="V1566"/>
      <c r="W1566"/>
      <c r="X1566"/>
    </row>
    <row r="1567" spans="5:24" x14ac:dyDescent="0.3">
      <c r="E1567" s="173"/>
      <c r="F1567" s="173"/>
      <c r="I1567"/>
      <c r="J1567"/>
      <c r="K1567"/>
      <c r="L1567"/>
      <c r="M1567"/>
      <c r="N1567"/>
      <c r="O1567"/>
      <c r="P1567" s="225"/>
      <c r="Q1567" s="225"/>
      <c r="R1567"/>
      <c r="S1567"/>
      <c r="T1567"/>
      <c r="U1567"/>
      <c r="V1567"/>
      <c r="W1567"/>
      <c r="X1567"/>
    </row>
    <row r="1568" spans="5:24" x14ac:dyDescent="0.3">
      <c r="E1568" s="173"/>
      <c r="F1568" s="173"/>
      <c r="I1568"/>
      <c r="J1568"/>
      <c r="K1568"/>
      <c r="L1568"/>
      <c r="M1568"/>
      <c r="N1568"/>
      <c r="O1568"/>
      <c r="P1568" s="225"/>
      <c r="Q1568" s="225"/>
      <c r="R1568"/>
      <c r="S1568"/>
      <c r="T1568"/>
      <c r="U1568"/>
      <c r="V1568"/>
      <c r="W1568"/>
      <c r="X1568"/>
    </row>
    <row r="1569" spans="5:24" x14ac:dyDescent="0.3">
      <c r="E1569" s="173"/>
      <c r="F1569" s="173"/>
      <c r="I1569"/>
      <c r="J1569"/>
      <c r="K1569"/>
      <c r="L1569"/>
      <c r="M1569"/>
      <c r="N1569"/>
      <c r="O1569"/>
      <c r="P1569" s="225"/>
      <c r="Q1569" s="225"/>
      <c r="R1569"/>
      <c r="S1569"/>
      <c r="T1569"/>
      <c r="U1569"/>
      <c r="V1569"/>
      <c r="W1569"/>
      <c r="X1569"/>
    </row>
    <row r="1570" spans="5:24" x14ac:dyDescent="0.3">
      <c r="E1570" s="173"/>
      <c r="F1570" s="173"/>
      <c r="I1570"/>
      <c r="J1570"/>
      <c r="K1570"/>
      <c r="L1570"/>
      <c r="M1570"/>
      <c r="N1570"/>
      <c r="O1570"/>
      <c r="P1570" s="225"/>
      <c r="Q1570" s="225"/>
      <c r="R1570"/>
      <c r="S1570"/>
      <c r="T1570"/>
      <c r="U1570"/>
      <c r="V1570"/>
      <c r="W1570"/>
      <c r="X1570"/>
    </row>
    <row r="1571" spans="5:24" x14ac:dyDescent="0.3">
      <c r="E1571" s="173"/>
      <c r="F1571" s="173"/>
      <c r="I1571"/>
      <c r="J1571"/>
      <c r="K1571"/>
      <c r="L1571"/>
      <c r="M1571"/>
      <c r="N1571"/>
      <c r="O1571"/>
      <c r="P1571" s="225"/>
      <c r="Q1571" s="225"/>
      <c r="R1571"/>
      <c r="S1571"/>
      <c r="T1571"/>
      <c r="U1571"/>
      <c r="V1571"/>
      <c r="W1571"/>
      <c r="X1571"/>
    </row>
    <row r="1572" spans="5:24" x14ac:dyDescent="0.3">
      <c r="E1572" s="173"/>
      <c r="F1572" s="173"/>
      <c r="I1572"/>
      <c r="J1572"/>
      <c r="K1572"/>
      <c r="L1572"/>
      <c r="M1572"/>
      <c r="N1572"/>
      <c r="O1572"/>
      <c r="P1572" s="225"/>
      <c r="Q1572" s="225"/>
      <c r="R1572"/>
      <c r="S1572"/>
      <c r="T1572"/>
      <c r="U1572"/>
      <c r="V1572"/>
      <c r="W1572"/>
      <c r="X1572"/>
    </row>
    <row r="1573" spans="5:24" x14ac:dyDescent="0.3">
      <c r="E1573" s="173"/>
      <c r="F1573" s="173"/>
      <c r="I1573"/>
      <c r="J1573"/>
      <c r="K1573"/>
      <c r="L1573"/>
      <c r="M1573"/>
      <c r="N1573"/>
      <c r="O1573"/>
      <c r="P1573" s="225"/>
      <c r="Q1573" s="225"/>
      <c r="R1573"/>
      <c r="S1573"/>
      <c r="T1573"/>
      <c r="U1573"/>
      <c r="V1573"/>
      <c r="W1573"/>
      <c r="X1573"/>
    </row>
    <row r="1574" spans="5:24" x14ac:dyDescent="0.3">
      <c r="E1574" s="173"/>
      <c r="F1574" s="173"/>
      <c r="I1574"/>
      <c r="J1574"/>
      <c r="K1574"/>
      <c r="L1574"/>
      <c r="M1574"/>
      <c r="N1574"/>
      <c r="O1574"/>
      <c r="P1574" s="225"/>
      <c r="Q1574" s="225"/>
      <c r="R1574"/>
      <c r="S1574"/>
      <c r="T1574"/>
      <c r="U1574"/>
      <c r="V1574"/>
      <c r="W1574"/>
      <c r="X1574"/>
    </row>
    <row r="1575" spans="5:24" x14ac:dyDescent="0.3">
      <c r="E1575" s="173"/>
      <c r="F1575" s="173"/>
      <c r="I1575"/>
      <c r="J1575"/>
      <c r="K1575"/>
      <c r="L1575"/>
      <c r="M1575"/>
      <c r="N1575"/>
      <c r="O1575"/>
      <c r="P1575" s="225"/>
      <c r="Q1575" s="225"/>
      <c r="R1575"/>
      <c r="S1575"/>
      <c r="T1575"/>
      <c r="U1575"/>
      <c r="V1575"/>
      <c r="W1575"/>
      <c r="X1575"/>
    </row>
    <row r="1576" spans="5:24" x14ac:dyDescent="0.3">
      <c r="E1576" s="173"/>
      <c r="F1576" s="173"/>
      <c r="I1576"/>
      <c r="J1576"/>
      <c r="K1576"/>
      <c r="L1576"/>
      <c r="M1576"/>
      <c r="N1576"/>
      <c r="O1576"/>
      <c r="P1576" s="225"/>
      <c r="Q1576" s="225"/>
      <c r="R1576"/>
      <c r="S1576"/>
      <c r="T1576"/>
      <c r="U1576"/>
      <c r="V1576"/>
      <c r="W1576"/>
      <c r="X1576"/>
    </row>
    <row r="1577" spans="5:24" x14ac:dyDescent="0.3">
      <c r="E1577" s="173"/>
      <c r="F1577" s="173"/>
      <c r="I1577"/>
      <c r="J1577"/>
      <c r="K1577"/>
      <c r="L1577"/>
      <c r="M1577"/>
      <c r="N1577"/>
      <c r="O1577"/>
      <c r="P1577" s="225"/>
      <c r="Q1577" s="225"/>
      <c r="R1577"/>
      <c r="S1577"/>
      <c r="T1577"/>
      <c r="U1577"/>
      <c r="V1577"/>
      <c r="W1577"/>
      <c r="X1577"/>
    </row>
    <row r="1578" spans="5:24" x14ac:dyDescent="0.3">
      <c r="E1578" s="173"/>
      <c r="F1578" s="173"/>
      <c r="I1578"/>
      <c r="J1578"/>
      <c r="K1578"/>
      <c r="L1578"/>
      <c r="M1578"/>
      <c r="N1578"/>
      <c r="O1578"/>
      <c r="P1578" s="225"/>
      <c r="Q1578" s="225"/>
      <c r="R1578"/>
      <c r="S1578"/>
      <c r="T1578"/>
      <c r="U1578"/>
      <c r="V1578"/>
      <c r="W1578"/>
      <c r="X1578"/>
    </row>
    <row r="1579" spans="5:24" x14ac:dyDescent="0.3">
      <c r="E1579" s="173"/>
      <c r="F1579" s="173"/>
      <c r="I1579"/>
      <c r="J1579"/>
      <c r="K1579"/>
      <c r="L1579"/>
      <c r="M1579"/>
      <c r="N1579"/>
      <c r="O1579"/>
      <c r="P1579" s="225"/>
      <c r="Q1579" s="225"/>
      <c r="R1579"/>
      <c r="S1579"/>
      <c r="T1579"/>
      <c r="U1579"/>
      <c r="V1579"/>
      <c r="W1579"/>
      <c r="X1579"/>
    </row>
    <row r="1580" spans="5:24" x14ac:dyDescent="0.3">
      <c r="E1580" s="173"/>
      <c r="F1580" s="173"/>
      <c r="I1580"/>
      <c r="J1580"/>
      <c r="K1580"/>
      <c r="L1580"/>
      <c r="M1580"/>
      <c r="N1580"/>
      <c r="O1580"/>
      <c r="P1580" s="225"/>
      <c r="Q1580" s="225"/>
      <c r="R1580"/>
      <c r="S1580"/>
      <c r="T1580"/>
      <c r="U1580"/>
      <c r="V1580"/>
      <c r="W1580"/>
      <c r="X1580"/>
    </row>
    <row r="1581" spans="5:24" x14ac:dyDescent="0.3">
      <c r="E1581" s="173"/>
      <c r="F1581" s="173"/>
      <c r="I1581"/>
      <c r="J1581"/>
      <c r="K1581"/>
      <c r="L1581"/>
      <c r="M1581"/>
      <c r="N1581"/>
      <c r="O1581"/>
      <c r="P1581" s="225"/>
      <c r="Q1581" s="225"/>
      <c r="R1581"/>
      <c r="S1581"/>
      <c r="T1581"/>
      <c r="U1581"/>
      <c r="V1581"/>
      <c r="W1581"/>
      <c r="X1581"/>
    </row>
    <row r="1582" spans="5:24" x14ac:dyDescent="0.3">
      <c r="E1582" s="173"/>
      <c r="F1582" s="173"/>
      <c r="I1582"/>
      <c r="J1582"/>
      <c r="K1582"/>
      <c r="L1582"/>
      <c r="M1582"/>
      <c r="N1582"/>
      <c r="O1582"/>
      <c r="P1582" s="225"/>
      <c r="Q1582" s="225"/>
      <c r="R1582"/>
      <c r="S1582"/>
      <c r="T1582"/>
      <c r="U1582"/>
      <c r="V1582"/>
      <c r="W1582"/>
      <c r="X1582"/>
    </row>
    <row r="1583" spans="5:24" x14ac:dyDescent="0.3">
      <c r="E1583" s="173"/>
      <c r="F1583" s="173"/>
      <c r="I1583"/>
      <c r="J1583"/>
      <c r="K1583"/>
      <c r="L1583"/>
      <c r="M1583"/>
      <c r="N1583"/>
      <c r="O1583"/>
      <c r="P1583" s="225"/>
      <c r="Q1583" s="225"/>
      <c r="R1583"/>
      <c r="S1583"/>
      <c r="T1583"/>
      <c r="U1583"/>
      <c r="V1583"/>
      <c r="W1583"/>
      <c r="X1583"/>
    </row>
    <row r="1584" spans="5:24" x14ac:dyDescent="0.3">
      <c r="E1584" s="173"/>
      <c r="F1584" s="173"/>
      <c r="I1584"/>
      <c r="J1584"/>
      <c r="K1584"/>
      <c r="L1584"/>
      <c r="M1584"/>
      <c r="N1584"/>
      <c r="O1584"/>
      <c r="P1584" s="225"/>
      <c r="Q1584" s="225"/>
      <c r="R1584"/>
      <c r="S1584"/>
      <c r="T1584"/>
      <c r="U1584"/>
      <c r="V1584"/>
      <c r="W1584"/>
      <c r="X1584"/>
    </row>
    <row r="1585" spans="5:24" x14ac:dyDescent="0.3">
      <c r="E1585" s="173"/>
      <c r="F1585" s="173"/>
      <c r="I1585"/>
      <c r="J1585"/>
      <c r="K1585"/>
      <c r="L1585"/>
      <c r="M1585"/>
      <c r="N1585"/>
      <c r="O1585"/>
      <c r="P1585" s="225"/>
      <c r="Q1585" s="225"/>
      <c r="R1585"/>
      <c r="S1585"/>
      <c r="T1585"/>
      <c r="U1585"/>
      <c r="V1585"/>
      <c r="W1585"/>
      <c r="X1585"/>
    </row>
    <row r="1586" spans="5:24" x14ac:dyDescent="0.3">
      <c r="E1586" s="173"/>
      <c r="F1586" s="173"/>
      <c r="I1586"/>
      <c r="J1586"/>
      <c r="K1586"/>
      <c r="L1586"/>
      <c r="M1586"/>
      <c r="N1586"/>
      <c r="O1586"/>
      <c r="P1586" s="225"/>
      <c r="Q1586" s="225"/>
      <c r="R1586"/>
      <c r="S1586"/>
      <c r="T1586"/>
      <c r="U1586"/>
      <c r="V1586"/>
      <c r="W1586"/>
      <c r="X1586"/>
    </row>
    <row r="1587" spans="5:24" x14ac:dyDescent="0.3">
      <c r="E1587" s="173"/>
      <c r="F1587" s="173"/>
      <c r="I1587"/>
      <c r="J1587"/>
      <c r="K1587"/>
      <c r="L1587"/>
      <c r="M1587"/>
      <c r="N1587"/>
      <c r="O1587"/>
      <c r="P1587" s="225"/>
      <c r="Q1587" s="225"/>
      <c r="R1587"/>
      <c r="S1587"/>
      <c r="T1587"/>
      <c r="U1587"/>
      <c r="V1587"/>
      <c r="W1587"/>
      <c r="X1587"/>
    </row>
    <row r="1588" spans="5:24" x14ac:dyDescent="0.3">
      <c r="E1588" s="173"/>
      <c r="F1588" s="173"/>
      <c r="I1588"/>
      <c r="J1588"/>
      <c r="K1588"/>
      <c r="L1588"/>
      <c r="M1588"/>
      <c r="N1588"/>
      <c r="O1588"/>
      <c r="P1588" s="225"/>
      <c r="Q1588" s="225"/>
      <c r="R1588"/>
      <c r="S1588"/>
      <c r="T1588"/>
      <c r="U1588"/>
      <c r="V1588"/>
      <c r="W1588"/>
      <c r="X1588"/>
    </row>
    <row r="1589" spans="5:24" x14ac:dyDescent="0.3">
      <c r="E1589" s="173"/>
      <c r="F1589" s="173"/>
      <c r="I1589"/>
      <c r="J1589"/>
      <c r="K1589"/>
      <c r="L1589"/>
      <c r="M1589"/>
      <c r="N1589"/>
      <c r="O1589"/>
      <c r="P1589" s="225"/>
      <c r="Q1589" s="225"/>
      <c r="R1589"/>
      <c r="S1589"/>
      <c r="T1589"/>
      <c r="U1589"/>
      <c r="V1589"/>
      <c r="W1589"/>
      <c r="X1589"/>
    </row>
    <row r="1590" spans="5:24" x14ac:dyDescent="0.3">
      <c r="E1590" s="173"/>
      <c r="F1590" s="173"/>
      <c r="I1590"/>
      <c r="J1590"/>
      <c r="K1590"/>
      <c r="L1590"/>
      <c r="M1590"/>
      <c r="N1590"/>
      <c r="O1590"/>
      <c r="P1590" s="225"/>
      <c r="Q1590" s="225"/>
      <c r="R1590"/>
      <c r="S1590"/>
      <c r="T1590"/>
      <c r="U1590"/>
      <c r="V1590"/>
      <c r="W1590"/>
      <c r="X1590"/>
    </row>
    <row r="1591" spans="5:24" x14ac:dyDescent="0.3">
      <c r="E1591" s="173"/>
      <c r="F1591" s="173"/>
      <c r="I1591"/>
      <c r="J1591"/>
      <c r="K1591"/>
      <c r="L1591"/>
      <c r="M1591"/>
      <c r="N1591"/>
      <c r="O1591"/>
      <c r="P1591" s="225"/>
      <c r="Q1591" s="225"/>
      <c r="R1591"/>
      <c r="S1591"/>
      <c r="T1591"/>
      <c r="U1591"/>
      <c r="V1591"/>
      <c r="W1591"/>
      <c r="X1591"/>
    </row>
    <row r="1592" spans="5:24" x14ac:dyDescent="0.3">
      <c r="E1592" s="173"/>
      <c r="F1592" s="173"/>
      <c r="I1592"/>
      <c r="J1592"/>
      <c r="K1592"/>
      <c r="L1592"/>
      <c r="M1592"/>
      <c r="N1592"/>
      <c r="O1592"/>
      <c r="P1592" s="225"/>
      <c r="Q1592" s="225"/>
      <c r="R1592"/>
      <c r="S1592"/>
      <c r="T1592"/>
      <c r="U1592"/>
      <c r="V1592"/>
      <c r="W1592"/>
      <c r="X1592"/>
    </row>
    <row r="1593" spans="5:24" x14ac:dyDescent="0.3">
      <c r="E1593" s="173"/>
      <c r="F1593" s="173"/>
      <c r="I1593"/>
      <c r="J1593"/>
      <c r="K1593"/>
      <c r="L1593"/>
      <c r="M1593"/>
      <c r="N1593"/>
      <c r="O1593"/>
      <c r="P1593" s="225"/>
      <c r="Q1593" s="225"/>
      <c r="R1593"/>
      <c r="S1593"/>
      <c r="T1593"/>
      <c r="U1593"/>
      <c r="V1593"/>
      <c r="W1593"/>
      <c r="X1593"/>
    </row>
    <row r="1594" spans="5:24" x14ac:dyDescent="0.3">
      <c r="E1594" s="173"/>
      <c r="F1594" s="173"/>
      <c r="I1594"/>
      <c r="J1594"/>
      <c r="K1594"/>
      <c r="L1594"/>
      <c r="M1594"/>
      <c r="N1594"/>
      <c r="O1594"/>
      <c r="P1594" s="225"/>
      <c r="Q1594" s="225"/>
      <c r="R1594"/>
      <c r="S1594"/>
      <c r="T1594"/>
      <c r="U1594"/>
      <c r="V1594"/>
      <c r="W1594"/>
      <c r="X1594"/>
    </row>
    <row r="1595" spans="5:24" x14ac:dyDescent="0.3">
      <c r="E1595" s="173"/>
      <c r="F1595" s="173"/>
      <c r="I1595"/>
      <c r="J1595"/>
      <c r="K1595"/>
      <c r="L1595"/>
      <c r="M1595"/>
      <c r="N1595"/>
      <c r="O1595"/>
      <c r="P1595" s="225"/>
      <c r="Q1595" s="225"/>
      <c r="R1595"/>
      <c r="S1595"/>
      <c r="T1595"/>
      <c r="U1595"/>
      <c r="V1595"/>
      <c r="W1595"/>
      <c r="X1595"/>
    </row>
    <row r="1596" spans="5:24" x14ac:dyDescent="0.3">
      <c r="E1596" s="173"/>
      <c r="F1596" s="173"/>
      <c r="I1596"/>
      <c r="J1596"/>
      <c r="K1596"/>
      <c r="L1596"/>
      <c r="M1596"/>
      <c r="N1596"/>
      <c r="O1596"/>
      <c r="P1596" s="225"/>
      <c r="Q1596" s="225"/>
      <c r="R1596"/>
      <c r="S1596"/>
      <c r="T1596"/>
      <c r="U1596"/>
      <c r="V1596"/>
      <c r="W1596"/>
      <c r="X1596"/>
    </row>
    <row r="1597" spans="5:24" x14ac:dyDescent="0.3">
      <c r="E1597" s="173"/>
      <c r="F1597" s="173"/>
      <c r="I1597"/>
      <c r="J1597"/>
      <c r="K1597"/>
      <c r="L1597"/>
      <c r="M1597"/>
      <c r="N1597"/>
      <c r="O1597"/>
      <c r="P1597" s="225"/>
      <c r="Q1597" s="225"/>
      <c r="R1597"/>
      <c r="S1597"/>
      <c r="T1597"/>
      <c r="U1597"/>
      <c r="V1597"/>
      <c r="W1597"/>
      <c r="X1597"/>
    </row>
    <row r="1598" spans="5:24" x14ac:dyDescent="0.3">
      <c r="E1598" s="173"/>
      <c r="F1598" s="173"/>
      <c r="I1598"/>
      <c r="J1598"/>
      <c r="K1598"/>
      <c r="L1598"/>
      <c r="M1598"/>
      <c r="N1598"/>
      <c r="O1598"/>
      <c r="P1598" s="225"/>
      <c r="Q1598" s="225"/>
      <c r="R1598"/>
      <c r="S1598"/>
      <c r="T1598"/>
      <c r="U1598"/>
      <c r="V1598"/>
      <c r="W1598"/>
      <c r="X1598"/>
    </row>
    <row r="1599" spans="5:24" x14ac:dyDescent="0.3">
      <c r="E1599" s="173"/>
      <c r="F1599" s="173"/>
      <c r="I1599"/>
      <c r="J1599"/>
      <c r="K1599"/>
      <c r="L1599"/>
      <c r="M1599"/>
      <c r="N1599"/>
      <c r="O1599"/>
      <c r="P1599" s="225"/>
      <c r="Q1599" s="225"/>
      <c r="R1599"/>
      <c r="S1599"/>
      <c r="T1599"/>
      <c r="U1599"/>
      <c r="V1599"/>
      <c r="W1599"/>
      <c r="X1599"/>
    </row>
    <row r="1600" spans="5:24" x14ac:dyDescent="0.3">
      <c r="E1600" s="173"/>
      <c r="F1600" s="173"/>
      <c r="I1600"/>
      <c r="J1600"/>
      <c r="K1600"/>
      <c r="L1600"/>
      <c r="M1600"/>
      <c r="N1600"/>
      <c r="O1600"/>
      <c r="P1600" s="225"/>
      <c r="Q1600" s="225"/>
      <c r="R1600"/>
      <c r="S1600"/>
      <c r="T1600"/>
      <c r="U1600"/>
      <c r="V1600"/>
      <c r="W1600"/>
      <c r="X1600"/>
    </row>
    <row r="1601" spans="5:24" x14ac:dyDescent="0.3">
      <c r="E1601" s="173"/>
      <c r="F1601" s="173"/>
      <c r="I1601"/>
      <c r="J1601"/>
      <c r="K1601"/>
      <c r="L1601"/>
      <c r="M1601"/>
      <c r="N1601"/>
      <c r="O1601"/>
      <c r="P1601" s="225"/>
      <c r="Q1601" s="225"/>
      <c r="R1601"/>
      <c r="S1601"/>
      <c r="T1601"/>
      <c r="U1601"/>
      <c r="V1601"/>
      <c r="W1601"/>
      <c r="X1601"/>
    </row>
    <row r="1602" spans="5:24" x14ac:dyDescent="0.3">
      <c r="E1602" s="173"/>
      <c r="F1602" s="173"/>
      <c r="I1602"/>
      <c r="J1602"/>
      <c r="K1602"/>
      <c r="L1602"/>
      <c r="M1602"/>
      <c r="N1602"/>
      <c r="O1602"/>
      <c r="P1602" s="225"/>
      <c r="Q1602" s="225"/>
      <c r="R1602"/>
      <c r="S1602"/>
      <c r="T1602"/>
      <c r="U1602"/>
      <c r="V1602"/>
      <c r="W1602"/>
      <c r="X1602"/>
    </row>
    <row r="1603" spans="5:24" x14ac:dyDescent="0.3">
      <c r="E1603" s="173"/>
      <c r="F1603" s="173"/>
      <c r="I1603"/>
      <c r="J1603"/>
      <c r="K1603"/>
      <c r="L1603"/>
      <c r="M1603"/>
      <c r="N1603"/>
      <c r="O1603"/>
      <c r="P1603" s="225"/>
      <c r="Q1603" s="225"/>
      <c r="R1603"/>
      <c r="S1603"/>
      <c r="T1603"/>
      <c r="U1603"/>
      <c r="V1603"/>
      <c r="W1603"/>
      <c r="X1603"/>
    </row>
    <row r="1604" spans="5:24" x14ac:dyDescent="0.3">
      <c r="E1604" s="173"/>
      <c r="F1604" s="173"/>
      <c r="I1604"/>
      <c r="J1604"/>
      <c r="K1604"/>
      <c r="L1604"/>
      <c r="M1604"/>
      <c r="N1604"/>
      <c r="O1604"/>
      <c r="P1604" s="225"/>
      <c r="Q1604" s="225"/>
      <c r="R1604"/>
      <c r="S1604"/>
      <c r="T1604"/>
      <c r="U1604"/>
      <c r="V1604"/>
      <c r="W1604"/>
      <c r="X1604"/>
    </row>
    <row r="1605" spans="5:24" x14ac:dyDescent="0.3">
      <c r="E1605" s="173"/>
      <c r="F1605" s="173"/>
      <c r="I1605"/>
      <c r="J1605"/>
      <c r="K1605"/>
      <c r="L1605"/>
      <c r="M1605"/>
      <c r="N1605"/>
      <c r="O1605"/>
      <c r="P1605" s="225"/>
      <c r="Q1605" s="225"/>
      <c r="R1605"/>
      <c r="S1605"/>
      <c r="T1605"/>
      <c r="U1605"/>
      <c r="V1605"/>
      <c r="W1605"/>
      <c r="X1605"/>
    </row>
    <row r="1606" spans="5:24" x14ac:dyDescent="0.3">
      <c r="E1606" s="173"/>
      <c r="F1606" s="173"/>
      <c r="I1606"/>
      <c r="J1606"/>
      <c r="K1606"/>
      <c r="L1606"/>
      <c r="M1606"/>
      <c r="N1606"/>
      <c r="O1606"/>
      <c r="P1606" s="225"/>
      <c r="Q1606" s="225"/>
      <c r="R1606"/>
      <c r="S1606"/>
      <c r="T1606"/>
      <c r="U1606"/>
      <c r="V1606"/>
      <c r="W1606"/>
      <c r="X1606"/>
    </row>
    <row r="1607" spans="5:24" x14ac:dyDescent="0.3">
      <c r="E1607" s="173"/>
      <c r="F1607" s="173"/>
      <c r="I1607"/>
      <c r="J1607"/>
      <c r="K1607"/>
      <c r="L1607"/>
      <c r="M1607"/>
      <c r="N1607"/>
      <c r="O1607"/>
      <c r="P1607" s="225"/>
      <c r="Q1607" s="225"/>
      <c r="R1607"/>
      <c r="S1607"/>
      <c r="T1607"/>
      <c r="U1607"/>
      <c r="V1607"/>
      <c r="W1607"/>
      <c r="X1607"/>
    </row>
    <row r="1608" spans="5:24" x14ac:dyDescent="0.3">
      <c r="E1608" s="173"/>
      <c r="F1608" s="173"/>
      <c r="I1608"/>
      <c r="J1608"/>
      <c r="K1608"/>
      <c r="L1608"/>
      <c r="M1608"/>
      <c r="N1608"/>
      <c r="O1608"/>
      <c r="P1608" s="225"/>
      <c r="Q1608" s="225"/>
      <c r="R1608"/>
      <c r="S1608"/>
      <c r="T1608"/>
      <c r="U1608"/>
      <c r="V1608"/>
      <c r="W1608"/>
      <c r="X1608"/>
    </row>
    <row r="1609" spans="5:24" x14ac:dyDescent="0.3">
      <c r="E1609" s="173"/>
      <c r="F1609" s="173"/>
      <c r="I1609"/>
      <c r="J1609"/>
      <c r="K1609"/>
      <c r="L1609"/>
      <c r="M1609"/>
      <c r="N1609"/>
      <c r="O1609"/>
      <c r="P1609" s="225"/>
      <c r="Q1609" s="225"/>
      <c r="R1609"/>
      <c r="S1609"/>
      <c r="T1609"/>
      <c r="U1609"/>
      <c r="V1609"/>
      <c r="W1609"/>
      <c r="X1609"/>
    </row>
    <row r="1610" spans="5:24" x14ac:dyDescent="0.3">
      <c r="E1610" s="173"/>
      <c r="F1610" s="173"/>
      <c r="I1610"/>
      <c r="J1610"/>
      <c r="K1610"/>
      <c r="L1610"/>
      <c r="M1610"/>
      <c r="N1610"/>
      <c r="O1610"/>
      <c r="P1610" s="225"/>
      <c r="Q1610" s="225"/>
      <c r="R1610"/>
      <c r="S1610"/>
      <c r="T1610"/>
      <c r="U1610"/>
      <c r="V1610"/>
      <c r="W1610"/>
      <c r="X1610"/>
    </row>
    <row r="1611" spans="5:24" x14ac:dyDescent="0.3">
      <c r="E1611" s="173"/>
      <c r="F1611" s="173"/>
      <c r="I1611"/>
      <c r="J1611"/>
      <c r="K1611"/>
      <c r="L1611"/>
      <c r="M1611"/>
      <c r="N1611"/>
      <c r="O1611"/>
      <c r="P1611" s="225"/>
      <c r="Q1611" s="225"/>
      <c r="R1611"/>
      <c r="S1611"/>
      <c r="T1611"/>
      <c r="U1611"/>
      <c r="V1611"/>
      <c r="W1611"/>
      <c r="X1611"/>
    </row>
    <row r="1612" spans="5:24" x14ac:dyDescent="0.3">
      <c r="E1612" s="173"/>
      <c r="F1612" s="173"/>
      <c r="I1612"/>
      <c r="J1612"/>
      <c r="K1612"/>
      <c r="L1612"/>
      <c r="M1612"/>
      <c r="N1612"/>
      <c r="O1612"/>
      <c r="P1612" s="225"/>
      <c r="Q1612" s="225"/>
      <c r="R1612"/>
      <c r="S1612"/>
      <c r="T1612"/>
      <c r="U1612"/>
      <c r="V1612"/>
      <c r="W1612"/>
      <c r="X1612"/>
    </row>
    <row r="1613" spans="5:24" x14ac:dyDescent="0.3">
      <c r="E1613" s="173"/>
      <c r="F1613" s="173"/>
      <c r="I1613"/>
      <c r="J1613"/>
      <c r="K1613"/>
      <c r="L1613"/>
      <c r="M1613"/>
      <c r="N1613"/>
      <c r="O1613"/>
      <c r="P1613" s="225"/>
      <c r="Q1613" s="225"/>
      <c r="R1613"/>
      <c r="S1613"/>
      <c r="T1613"/>
      <c r="U1613"/>
      <c r="V1613"/>
      <c r="W1613"/>
      <c r="X1613"/>
    </row>
    <row r="1614" spans="5:24" x14ac:dyDescent="0.3">
      <c r="E1614" s="173"/>
      <c r="F1614" s="173"/>
      <c r="I1614"/>
      <c r="J1614"/>
      <c r="K1614"/>
      <c r="L1614"/>
      <c r="M1614"/>
      <c r="N1614"/>
      <c r="O1614"/>
      <c r="P1614" s="225"/>
      <c r="Q1614" s="225"/>
      <c r="R1614"/>
      <c r="S1614"/>
      <c r="T1614"/>
      <c r="U1614"/>
      <c r="V1614"/>
      <c r="W1614"/>
      <c r="X1614"/>
    </row>
    <row r="1615" spans="5:24" x14ac:dyDescent="0.3">
      <c r="E1615" s="173"/>
      <c r="F1615" s="173"/>
      <c r="I1615"/>
      <c r="J1615"/>
      <c r="K1615"/>
      <c r="L1615"/>
      <c r="M1615"/>
      <c r="N1615"/>
      <c r="O1615"/>
      <c r="P1615" s="225"/>
      <c r="Q1615" s="225"/>
      <c r="R1615"/>
      <c r="S1615"/>
      <c r="T1615"/>
      <c r="U1615"/>
      <c r="V1615"/>
      <c r="W1615"/>
      <c r="X1615"/>
    </row>
    <row r="1616" spans="5:24" x14ac:dyDescent="0.3">
      <c r="E1616" s="173"/>
      <c r="F1616" s="173"/>
      <c r="I1616"/>
      <c r="J1616"/>
      <c r="K1616"/>
      <c r="L1616"/>
      <c r="M1616"/>
      <c r="N1616"/>
      <c r="O1616"/>
      <c r="P1616" s="225"/>
      <c r="Q1616" s="225"/>
      <c r="R1616"/>
      <c r="S1616"/>
      <c r="T1616"/>
      <c r="U1616"/>
      <c r="V1616"/>
      <c r="W1616"/>
      <c r="X1616"/>
    </row>
    <row r="1617" spans="5:24" x14ac:dyDescent="0.3">
      <c r="E1617" s="173"/>
      <c r="F1617" s="173"/>
      <c r="I1617"/>
      <c r="J1617"/>
      <c r="K1617"/>
      <c r="L1617"/>
      <c r="M1617"/>
      <c r="N1617"/>
      <c r="O1617"/>
      <c r="P1617" s="225"/>
      <c r="Q1617" s="225"/>
      <c r="R1617"/>
      <c r="S1617"/>
      <c r="T1617"/>
      <c r="U1617"/>
      <c r="V1617"/>
      <c r="W1617"/>
      <c r="X1617"/>
    </row>
    <row r="1618" spans="5:24" x14ac:dyDescent="0.3">
      <c r="E1618" s="173"/>
      <c r="F1618" s="173"/>
      <c r="I1618"/>
      <c r="J1618"/>
      <c r="K1618"/>
      <c r="L1618"/>
      <c r="M1618"/>
      <c r="N1618"/>
      <c r="O1618"/>
      <c r="P1618" s="225"/>
      <c r="Q1618" s="225"/>
      <c r="R1618"/>
      <c r="S1618"/>
      <c r="T1618"/>
      <c r="U1618"/>
      <c r="V1618"/>
      <c r="W1618"/>
      <c r="X1618"/>
    </row>
    <row r="1619" spans="5:24" x14ac:dyDescent="0.3">
      <c r="E1619" s="173"/>
      <c r="F1619" s="173"/>
      <c r="I1619"/>
      <c r="J1619"/>
      <c r="K1619"/>
      <c r="L1619"/>
      <c r="M1619"/>
      <c r="N1619"/>
      <c r="O1619"/>
      <c r="P1619" s="225"/>
      <c r="Q1619" s="225"/>
      <c r="R1619"/>
      <c r="S1619"/>
      <c r="T1619"/>
      <c r="U1619"/>
      <c r="V1619"/>
      <c r="W1619"/>
      <c r="X1619"/>
    </row>
    <row r="1620" spans="5:24" x14ac:dyDescent="0.3">
      <c r="E1620" s="173"/>
      <c r="F1620" s="173"/>
      <c r="I1620"/>
      <c r="J1620"/>
      <c r="K1620"/>
      <c r="L1620"/>
      <c r="M1620"/>
      <c r="N1620"/>
      <c r="O1620"/>
      <c r="P1620" s="225"/>
      <c r="Q1620" s="225"/>
      <c r="R1620"/>
      <c r="S1620"/>
      <c r="T1620"/>
      <c r="U1620"/>
      <c r="V1620"/>
      <c r="W1620"/>
      <c r="X1620"/>
    </row>
    <row r="1621" spans="5:24" x14ac:dyDescent="0.3">
      <c r="E1621" s="173"/>
      <c r="F1621" s="173"/>
      <c r="I1621"/>
      <c r="J1621"/>
      <c r="K1621"/>
      <c r="L1621"/>
      <c r="M1621"/>
      <c r="N1621"/>
      <c r="O1621"/>
      <c r="P1621" s="225"/>
      <c r="Q1621" s="225"/>
      <c r="R1621"/>
      <c r="S1621"/>
      <c r="T1621"/>
      <c r="U1621"/>
      <c r="V1621"/>
      <c r="W1621"/>
      <c r="X1621"/>
    </row>
    <row r="1622" spans="5:24" x14ac:dyDescent="0.3">
      <c r="E1622" s="173"/>
      <c r="F1622" s="173"/>
      <c r="I1622"/>
      <c r="J1622"/>
      <c r="K1622"/>
      <c r="L1622"/>
      <c r="M1622"/>
      <c r="N1622"/>
      <c r="O1622"/>
      <c r="P1622" s="225"/>
      <c r="Q1622" s="225"/>
      <c r="R1622"/>
      <c r="S1622"/>
      <c r="T1622"/>
      <c r="U1622"/>
      <c r="V1622"/>
      <c r="W1622"/>
      <c r="X1622"/>
    </row>
    <row r="1623" spans="5:24" x14ac:dyDescent="0.3">
      <c r="E1623" s="173"/>
      <c r="F1623" s="173"/>
      <c r="I1623"/>
      <c r="J1623"/>
      <c r="K1623"/>
      <c r="L1623"/>
      <c r="M1623"/>
      <c r="N1623"/>
      <c r="O1623"/>
      <c r="P1623" s="225"/>
      <c r="Q1623" s="225"/>
      <c r="R1623"/>
      <c r="S1623"/>
      <c r="T1623"/>
      <c r="U1623"/>
      <c r="V1623"/>
      <c r="W1623"/>
      <c r="X1623"/>
    </row>
    <row r="1624" spans="5:24" x14ac:dyDescent="0.3">
      <c r="E1624" s="173"/>
      <c r="F1624" s="173"/>
      <c r="I1624"/>
      <c r="J1624"/>
      <c r="K1624"/>
      <c r="L1624"/>
      <c r="M1624"/>
      <c r="N1624"/>
      <c r="O1624"/>
      <c r="P1624" s="225"/>
      <c r="Q1624" s="225"/>
      <c r="R1624"/>
      <c r="S1624"/>
      <c r="T1624"/>
      <c r="U1624"/>
      <c r="V1624"/>
      <c r="W1624"/>
      <c r="X1624"/>
    </row>
    <row r="1625" spans="5:24" x14ac:dyDescent="0.3">
      <c r="E1625" s="173"/>
      <c r="F1625" s="173"/>
      <c r="I1625"/>
      <c r="J1625"/>
      <c r="K1625"/>
      <c r="L1625"/>
      <c r="M1625"/>
      <c r="N1625"/>
      <c r="O1625"/>
      <c r="P1625" s="225"/>
      <c r="Q1625" s="225"/>
      <c r="R1625"/>
      <c r="S1625"/>
      <c r="T1625"/>
      <c r="U1625"/>
      <c r="V1625"/>
      <c r="W1625"/>
      <c r="X1625"/>
    </row>
    <row r="1626" spans="5:24" x14ac:dyDescent="0.3">
      <c r="E1626" s="173"/>
      <c r="F1626" s="173"/>
      <c r="I1626"/>
      <c r="J1626"/>
      <c r="K1626"/>
      <c r="L1626"/>
      <c r="M1626"/>
      <c r="N1626"/>
      <c r="O1626"/>
      <c r="P1626" s="225"/>
      <c r="Q1626" s="225"/>
      <c r="R1626"/>
      <c r="S1626"/>
      <c r="T1626"/>
      <c r="U1626"/>
      <c r="V1626"/>
      <c r="W1626"/>
      <c r="X1626"/>
    </row>
    <row r="1627" spans="5:24" x14ac:dyDescent="0.3">
      <c r="E1627" s="173"/>
      <c r="F1627" s="173"/>
      <c r="I1627"/>
      <c r="J1627"/>
      <c r="K1627"/>
      <c r="L1627"/>
      <c r="M1627"/>
      <c r="N1627"/>
      <c r="O1627"/>
      <c r="P1627" s="225"/>
      <c r="Q1627" s="225"/>
      <c r="R1627"/>
      <c r="S1627"/>
      <c r="T1627"/>
      <c r="U1627"/>
      <c r="V1627"/>
      <c r="W1627"/>
      <c r="X1627"/>
    </row>
    <row r="1628" spans="5:24" x14ac:dyDescent="0.3">
      <c r="E1628" s="173"/>
      <c r="F1628" s="173"/>
      <c r="I1628"/>
      <c r="J1628"/>
      <c r="K1628"/>
      <c r="L1628"/>
      <c r="M1628"/>
      <c r="N1628"/>
      <c r="O1628"/>
      <c r="P1628" s="225"/>
      <c r="Q1628" s="225"/>
      <c r="R1628"/>
      <c r="S1628"/>
      <c r="T1628"/>
      <c r="U1628"/>
      <c r="V1628"/>
      <c r="W1628"/>
      <c r="X1628"/>
    </row>
    <row r="1629" spans="5:24" x14ac:dyDescent="0.3">
      <c r="E1629" s="173"/>
      <c r="F1629" s="173"/>
      <c r="I1629"/>
      <c r="J1629"/>
      <c r="K1629"/>
      <c r="L1629"/>
      <c r="M1629"/>
      <c r="N1629"/>
      <c r="O1629"/>
      <c r="P1629" s="225"/>
      <c r="Q1629" s="225"/>
      <c r="R1629"/>
      <c r="S1629"/>
      <c r="T1629"/>
      <c r="U1629"/>
      <c r="V1629"/>
      <c r="W1629"/>
      <c r="X1629"/>
    </row>
    <row r="1630" spans="5:24" x14ac:dyDescent="0.3">
      <c r="E1630" s="173"/>
      <c r="F1630" s="173"/>
      <c r="I1630"/>
      <c r="J1630"/>
      <c r="K1630"/>
      <c r="L1630"/>
      <c r="M1630"/>
      <c r="N1630"/>
      <c r="O1630"/>
      <c r="P1630" s="225"/>
      <c r="Q1630" s="225"/>
      <c r="R1630"/>
      <c r="S1630"/>
      <c r="T1630"/>
      <c r="U1630"/>
      <c r="V1630"/>
      <c r="W1630"/>
      <c r="X1630"/>
    </row>
    <row r="1631" spans="5:24" x14ac:dyDescent="0.3">
      <c r="E1631" s="173"/>
      <c r="F1631" s="173"/>
      <c r="I1631"/>
      <c r="J1631"/>
      <c r="K1631"/>
      <c r="L1631"/>
      <c r="M1631"/>
      <c r="N1631"/>
      <c r="O1631"/>
      <c r="P1631" s="225"/>
      <c r="Q1631" s="225"/>
      <c r="R1631"/>
      <c r="S1631"/>
      <c r="T1631"/>
      <c r="U1631"/>
      <c r="V1631"/>
      <c r="W1631"/>
      <c r="X1631"/>
    </row>
    <row r="1632" spans="5:24" x14ac:dyDescent="0.3">
      <c r="E1632" s="173"/>
      <c r="F1632" s="173"/>
      <c r="I1632"/>
      <c r="J1632"/>
      <c r="K1632"/>
      <c r="L1632"/>
      <c r="M1632"/>
      <c r="N1632"/>
      <c r="O1632"/>
      <c r="P1632" s="225"/>
      <c r="Q1632" s="225"/>
      <c r="R1632"/>
      <c r="S1632"/>
      <c r="T1632"/>
      <c r="U1632"/>
      <c r="V1632"/>
      <c r="W1632"/>
      <c r="X1632"/>
    </row>
    <row r="1633" spans="5:24" x14ac:dyDescent="0.3">
      <c r="E1633" s="173"/>
      <c r="F1633" s="173"/>
      <c r="I1633"/>
      <c r="J1633"/>
      <c r="K1633"/>
      <c r="L1633"/>
      <c r="M1633"/>
      <c r="N1633"/>
      <c r="O1633"/>
      <c r="P1633" s="225"/>
      <c r="Q1633" s="225"/>
      <c r="R1633"/>
      <c r="S1633"/>
      <c r="T1633"/>
      <c r="U1633"/>
      <c r="V1633"/>
      <c r="W1633"/>
      <c r="X1633"/>
    </row>
    <row r="1634" spans="5:24" x14ac:dyDescent="0.3">
      <c r="E1634" s="173"/>
      <c r="F1634" s="173"/>
      <c r="I1634"/>
      <c r="J1634"/>
      <c r="K1634"/>
      <c r="L1634"/>
      <c r="M1634"/>
      <c r="N1634"/>
      <c r="O1634"/>
      <c r="P1634" s="225"/>
      <c r="Q1634" s="225"/>
      <c r="R1634"/>
      <c r="S1634"/>
      <c r="T1634"/>
      <c r="U1634"/>
      <c r="V1634"/>
      <c r="W1634"/>
      <c r="X1634"/>
    </row>
    <row r="1635" spans="5:24" x14ac:dyDescent="0.3">
      <c r="E1635" s="173"/>
      <c r="F1635" s="173"/>
      <c r="I1635"/>
      <c r="J1635"/>
      <c r="K1635"/>
      <c r="L1635"/>
      <c r="M1635"/>
      <c r="N1635"/>
      <c r="O1635"/>
      <c r="P1635" s="225"/>
      <c r="Q1635" s="225"/>
      <c r="R1635"/>
      <c r="S1635"/>
      <c r="T1635"/>
      <c r="U1635"/>
      <c r="V1635"/>
      <c r="W1635"/>
      <c r="X1635"/>
    </row>
    <row r="1636" spans="5:24" x14ac:dyDescent="0.3">
      <c r="E1636" s="173"/>
      <c r="F1636" s="173"/>
      <c r="I1636"/>
      <c r="J1636"/>
      <c r="K1636"/>
      <c r="L1636"/>
      <c r="M1636"/>
      <c r="N1636"/>
      <c r="O1636"/>
      <c r="P1636" s="225"/>
      <c r="Q1636" s="225"/>
      <c r="R1636"/>
      <c r="S1636"/>
      <c r="T1636"/>
      <c r="U1636"/>
      <c r="V1636"/>
      <c r="W1636"/>
      <c r="X1636"/>
    </row>
    <row r="1637" spans="5:24" x14ac:dyDescent="0.3">
      <c r="E1637" s="173"/>
      <c r="F1637" s="173"/>
      <c r="I1637"/>
      <c r="J1637"/>
      <c r="K1637"/>
      <c r="L1637"/>
      <c r="M1637"/>
      <c r="N1637"/>
      <c r="O1637"/>
      <c r="P1637" s="225"/>
      <c r="Q1637" s="225"/>
      <c r="R1637"/>
      <c r="S1637"/>
      <c r="T1637"/>
      <c r="U1637"/>
      <c r="V1637"/>
      <c r="W1637"/>
      <c r="X1637"/>
    </row>
    <row r="1638" spans="5:24" x14ac:dyDescent="0.3">
      <c r="E1638" s="173"/>
      <c r="F1638" s="173"/>
      <c r="I1638"/>
      <c r="J1638"/>
      <c r="K1638"/>
      <c r="L1638"/>
      <c r="M1638"/>
      <c r="N1638"/>
      <c r="O1638"/>
      <c r="P1638" s="225"/>
      <c r="Q1638" s="225"/>
      <c r="R1638"/>
      <c r="S1638"/>
      <c r="T1638"/>
      <c r="U1638"/>
      <c r="V1638"/>
      <c r="W1638"/>
      <c r="X1638"/>
    </row>
    <row r="1639" spans="5:24" x14ac:dyDescent="0.3">
      <c r="E1639" s="173"/>
      <c r="F1639" s="173"/>
      <c r="I1639"/>
      <c r="J1639"/>
      <c r="K1639"/>
      <c r="L1639"/>
      <c r="M1639"/>
      <c r="N1639"/>
      <c r="O1639"/>
      <c r="P1639" s="225"/>
      <c r="Q1639" s="225"/>
      <c r="R1639"/>
      <c r="S1639"/>
      <c r="T1639"/>
      <c r="U1639"/>
      <c r="V1639"/>
      <c r="W1639"/>
      <c r="X1639"/>
    </row>
    <row r="1640" spans="5:24" x14ac:dyDescent="0.3">
      <c r="E1640" s="173"/>
      <c r="F1640" s="173"/>
      <c r="I1640"/>
      <c r="J1640"/>
      <c r="K1640"/>
      <c r="L1640"/>
      <c r="M1640"/>
      <c r="N1640"/>
      <c r="O1640"/>
      <c r="P1640" s="225"/>
      <c r="Q1640" s="225"/>
      <c r="R1640"/>
      <c r="S1640"/>
      <c r="T1640"/>
      <c r="U1640"/>
      <c r="V1640"/>
      <c r="W1640"/>
      <c r="X1640"/>
    </row>
    <row r="1641" spans="5:24" x14ac:dyDescent="0.3">
      <c r="E1641" s="173"/>
      <c r="F1641" s="173"/>
      <c r="I1641"/>
      <c r="J1641"/>
      <c r="K1641"/>
      <c r="L1641"/>
      <c r="M1641"/>
      <c r="N1641"/>
      <c r="O1641"/>
      <c r="P1641" s="225"/>
      <c r="Q1641" s="225"/>
      <c r="R1641"/>
      <c r="S1641"/>
      <c r="T1641"/>
      <c r="U1641"/>
      <c r="V1641"/>
      <c r="W1641"/>
      <c r="X1641"/>
    </row>
    <row r="1642" spans="5:24" x14ac:dyDescent="0.3">
      <c r="E1642" s="173"/>
      <c r="F1642" s="173"/>
      <c r="I1642"/>
      <c r="J1642"/>
      <c r="K1642"/>
      <c r="L1642"/>
      <c r="M1642"/>
      <c r="N1642"/>
      <c r="O1642"/>
      <c r="P1642" s="225"/>
      <c r="Q1642" s="225"/>
      <c r="R1642"/>
      <c r="S1642"/>
      <c r="T1642"/>
      <c r="U1642"/>
      <c r="V1642"/>
      <c r="W1642"/>
      <c r="X1642"/>
    </row>
    <row r="1643" spans="5:24" x14ac:dyDescent="0.3">
      <c r="E1643" s="173"/>
      <c r="F1643" s="173"/>
      <c r="I1643"/>
      <c r="J1643"/>
      <c r="K1643"/>
      <c r="L1643"/>
      <c r="M1643"/>
      <c r="N1643"/>
      <c r="O1643"/>
      <c r="P1643" s="225"/>
      <c r="Q1643" s="225"/>
      <c r="R1643"/>
      <c r="S1643"/>
      <c r="T1643"/>
      <c r="U1643"/>
      <c r="V1643"/>
      <c r="W1643"/>
      <c r="X1643"/>
    </row>
    <row r="1644" spans="5:24" x14ac:dyDescent="0.3">
      <c r="E1644" s="173"/>
      <c r="F1644" s="173"/>
      <c r="I1644"/>
      <c r="J1644"/>
      <c r="K1644"/>
      <c r="L1644"/>
      <c r="M1644"/>
      <c r="N1644"/>
      <c r="O1644"/>
      <c r="P1644" s="225"/>
      <c r="Q1644" s="225"/>
      <c r="R1644"/>
      <c r="S1644"/>
      <c r="T1644"/>
      <c r="U1644"/>
      <c r="V1644"/>
      <c r="W1644"/>
      <c r="X1644"/>
    </row>
    <row r="1645" spans="5:24" x14ac:dyDescent="0.3">
      <c r="E1645" s="173"/>
      <c r="F1645" s="173"/>
      <c r="I1645"/>
      <c r="J1645"/>
      <c r="K1645"/>
      <c r="L1645"/>
      <c r="M1645"/>
      <c r="N1645"/>
      <c r="O1645"/>
      <c r="P1645" s="225"/>
      <c r="Q1645" s="225"/>
      <c r="R1645"/>
      <c r="S1645"/>
      <c r="T1645"/>
      <c r="U1645"/>
      <c r="V1645"/>
      <c r="W1645"/>
      <c r="X1645"/>
    </row>
    <row r="1646" spans="5:24" x14ac:dyDescent="0.3">
      <c r="E1646" s="173"/>
      <c r="F1646" s="173"/>
      <c r="I1646"/>
      <c r="J1646"/>
      <c r="K1646"/>
      <c r="L1646"/>
      <c r="M1646"/>
      <c r="N1646"/>
      <c r="O1646"/>
      <c r="P1646" s="225"/>
      <c r="Q1646" s="225"/>
      <c r="R1646"/>
      <c r="S1646"/>
      <c r="T1646"/>
      <c r="U1646"/>
      <c r="V1646"/>
      <c r="W1646"/>
      <c r="X1646"/>
    </row>
    <row r="1647" spans="5:24" x14ac:dyDescent="0.3">
      <c r="E1647" s="173"/>
      <c r="F1647" s="173"/>
      <c r="I1647"/>
      <c r="J1647"/>
      <c r="K1647"/>
      <c r="L1647"/>
      <c r="M1647"/>
      <c r="N1647"/>
      <c r="O1647"/>
      <c r="P1647" s="225"/>
      <c r="Q1647" s="225"/>
      <c r="R1647"/>
      <c r="S1647"/>
      <c r="T1647"/>
      <c r="U1647"/>
      <c r="V1647"/>
      <c r="W1647"/>
      <c r="X1647"/>
    </row>
    <row r="1648" spans="5:24" x14ac:dyDescent="0.3">
      <c r="E1648" s="173"/>
      <c r="F1648" s="173"/>
      <c r="I1648"/>
      <c r="J1648"/>
      <c r="K1648"/>
      <c r="L1648"/>
      <c r="M1648"/>
      <c r="N1648"/>
      <c r="O1648"/>
      <c r="P1648" s="225"/>
      <c r="Q1648" s="225"/>
      <c r="R1648"/>
      <c r="S1648"/>
      <c r="T1648"/>
      <c r="U1648"/>
      <c r="V1648"/>
      <c r="W1648"/>
      <c r="X1648"/>
    </row>
    <row r="1649" spans="5:24" x14ac:dyDescent="0.3">
      <c r="E1649" s="173"/>
      <c r="F1649" s="173"/>
      <c r="I1649"/>
      <c r="J1649"/>
      <c r="K1649"/>
      <c r="L1649"/>
      <c r="M1649"/>
      <c r="N1649"/>
      <c r="O1649"/>
      <c r="P1649" s="225"/>
      <c r="Q1649" s="225"/>
      <c r="R1649"/>
      <c r="S1649"/>
      <c r="T1649"/>
      <c r="U1649"/>
      <c r="V1649"/>
      <c r="W1649"/>
      <c r="X1649"/>
    </row>
    <row r="1650" spans="5:24" x14ac:dyDescent="0.3">
      <c r="E1650" s="173"/>
      <c r="F1650" s="173"/>
      <c r="I1650"/>
      <c r="J1650"/>
      <c r="K1650"/>
      <c r="L1650"/>
      <c r="M1650"/>
      <c r="N1650"/>
      <c r="O1650"/>
      <c r="P1650" s="225"/>
      <c r="Q1650" s="225"/>
      <c r="R1650"/>
      <c r="S1650"/>
      <c r="T1650"/>
      <c r="U1650"/>
      <c r="V1650"/>
      <c r="W1650"/>
      <c r="X1650"/>
    </row>
    <row r="1651" spans="5:24" x14ac:dyDescent="0.3">
      <c r="E1651" s="173"/>
      <c r="F1651" s="173"/>
      <c r="I1651"/>
      <c r="J1651"/>
      <c r="K1651"/>
      <c r="L1651"/>
      <c r="M1651"/>
      <c r="N1651"/>
      <c r="O1651"/>
      <c r="P1651" s="225"/>
      <c r="Q1651" s="225"/>
      <c r="R1651"/>
      <c r="S1651"/>
      <c r="T1651"/>
      <c r="U1651"/>
      <c r="V1651"/>
      <c r="W1651"/>
      <c r="X1651"/>
    </row>
    <row r="1652" spans="5:24" x14ac:dyDescent="0.3">
      <c r="E1652" s="173"/>
      <c r="F1652" s="173"/>
      <c r="I1652"/>
      <c r="J1652"/>
      <c r="K1652"/>
      <c r="L1652"/>
      <c r="M1652"/>
      <c r="N1652"/>
      <c r="O1652"/>
      <c r="P1652" s="225"/>
      <c r="Q1652" s="225"/>
      <c r="R1652"/>
      <c r="S1652"/>
      <c r="T1652"/>
      <c r="U1652"/>
      <c r="V1652"/>
      <c r="W1652"/>
      <c r="X1652"/>
    </row>
    <row r="1653" spans="5:24" x14ac:dyDescent="0.3">
      <c r="E1653" s="173"/>
      <c r="F1653" s="173"/>
      <c r="I1653"/>
      <c r="J1653"/>
      <c r="K1653"/>
      <c r="L1653"/>
      <c r="M1653"/>
      <c r="N1653"/>
      <c r="O1653"/>
      <c r="P1653" s="225"/>
      <c r="Q1653" s="225"/>
      <c r="R1653"/>
      <c r="S1653"/>
      <c r="T1653"/>
      <c r="U1653"/>
      <c r="V1653"/>
      <c r="W1653"/>
      <c r="X1653"/>
    </row>
    <row r="1654" spans="5:24" x14ac:dyDescent="0.3">
      <c r="E1654" s="173"/>
      <c r="F1654" s="173"/>
      <c r="I1654"/>
      <c r="J1654"/>
      <c r="K1654"/>
      <c r="L1654"/>
      <c r="M1654"/>
      <c r="N1654"/>
      <c r="O1654"/>
      <c r="P1654" s="225"/>
      <c r="Q1654" s="225"/>
      <c r="R1654"/>
      <c r="S1654"/>
      <c r="T1654"/>
      <c r="U1654"/>
      <c r="V1654"/>
      <c r="W1654"/>
      <c r="X1654"/>
    </row>
    <row r="1655" spans="5:24" x14ac:dyDescent="0.3">
      <c r="E1655" s="173"/>
      <c r="F1655" s="173"/>
      <c r="I1655"/>
      <c r="J1655"/>
      <c r="K1655"/>
      <c r="L1655"/>
      <c r="M1655"/>
      <c r="N1655"/>
      <c r="O1655"/>
      <c r="P1655" s="225"/>
      <c r="Q1655" s="225"/>
      <c r="R1655"/>
      <c r="S1655"/>
      <c r="T1655"/>
      <c r="U1655"/>
      <c r="V1655"/>
      <c r="W1655"/>
      <c r="X1655"/>
    </row>
    <row r="1656" spans="5:24" x14ac:dyDescent="0.3">
      <c r="E1656" s="173"/>
      <c r="F1656" s="173"/>
      <c r="I1656"/>
      <c r="J1656"/>
      <c r="K1656"/>
      <c r="L1656"/>
      <c r="M1656"/>
      <c r="N1656"/>
      <c r="O1656"/>
      <c r="P1656" s="225"/>
      <c r="Q1656" s="225"/>
      <c r="R1656"/>
      <c r="S1656"/>
      <c r="T1656"/>
      <c r="U1656"/>
      <c r="V1656"/>
      <c r="W1656"/>
      <c r="X1656"/>
    </row>
    <row r="1657" spans="5:24" x14ac:dyDescent="0.3">
      <c r="E1657" s="173"/>
      <c r="F1657" s="173"/>
      <c r="I1657"/>
      <c r="J1657"/>
      <c r="K1657"/>
      <c r="L1657"/>
      <c r="M1657"/>
      <c r="N1657"/>
      <c r="O1657"/>
      <c r="P1657" s="225"/>
      <c r="Q1657" s="225"/>
      <c r="R1657"/>
      <c r="S1657"/>
      <c r="T1657"/>
      <c r="U1657"/>
      <c r="V1657"/>
      <c r="W1657"/>
      <c r="X1657"/>
    </row>
    <row r="1658" spans="5:24" x14ac:dyDescent="0.3">
      <c r="E1658" s="173"/>
      <c r="F1658" s="173"/>
      <c r="I1658"/>
      <c r="J1658"/>
      <c r="K1658"/>
      <c r="L1658"/>
      <c r="M1658"/>
      <c r="N1658"/>
      <c r="O1658"/>
      <c r="P1658" s="225"/>
      <c r="Q1658" s="225"/>
      <c r="R1658"/>
      <c r="S1658"/>
      <c r="T1658"/>
      <c r="U1658"/>
      <c r="V1658"/>
      <c r="W1658"/>
      <c r="X1658"/>
    </row>
    <row r="1659" spans="5:24" x14ac:dyDescent="0.3">
      <c r="E1659" s="173"/>
      <c r="F1659" s="173"/>
      <c r="I1659"/>
      <c r="J1659"/>
      <c r="K1659"/>
      <c r="L1659"/>
      <c r="M1659"/>
      <c r="N1659"/>
      <c r="O1659"/>
      <c r="P1659" s="225"/>
      <c r="Q1659" s="225"/>
      <c r="R1659"/>
      <c r="S1659"/>
      <c r="T1659"/>
      <c r="U1659"/>
      <c r="V1659"/>
      <c r="W1659"/>
      <c r="X1659"/>
    </row>
    <row r="1660" spans="5:24" x14ac:dyDescent="0.3">
      <c r="E1660" s="173"/>
      <c r="F1660" s="173"/>
      <c r="I1660"/>
      <c r="J1660"/>
      <c r="K1660"/>
      <c r="L1660"/>
      <c r="M1660"/>
      <c r="N1660"/>
      <c r="O1660"/>
      <c r="P1660" s="225"/>
      <c r="Q1660" s="225"/>
      <c r="R1660"/>
      <c r="S1660"/>
      <c r="T1660"/>
      <c r="U1660"/>
      <c r="V1660"/>
      <c r="W1660"/>
      <c r="X1660"/>
    </row>
    <row r="1661" spans="5:24" x14ac:dyDescent="0.3">
      <c r="E1661" s="173"/>
      <c r="F1661" s="173"/>
      <c r="I1661"/>
      <c r="J1661"/>
      <c r="K1661"/>
      <c r="L1661"/>
      <c r="M1661"/>
      <c r="N1661"/>
      <c r="O1661"/>
      <c r="P1661" s="225"/>
      <c r="Q1661" s="225"/>
      <c r="R1661"/>
      <c r="S1661"/>
      <c r="T1661"/>
      <c r="U1661"/>
      <c r="V1661"/>
      <c r="W1661"/>
      <c r="X1661"/>
    </row>
    <row r="1662" spans="5:24" x14ac:dyDescent="0.3">
      <c r="E1662" s="173"/>
      <c r="F1662" s="173"/>
      <c r="I1662"/>
      <c r="J1662"/>
      <c r="K1662"/>
      <c r="L1662"/>
      <c r="M1662"/>
      <c r="N1662"/>
      <c r="O1662"/>
      <c r="P1662" s="225"/>
      <c r="Q1662" s="225"/>
      <c r="R1662"/>
      <c r="S1662"/>
      <c r="T1662"/>
      <c r="U1662"/>
      <c r="V1662"/>
      <c r="W1662"/>
      <c r="X1662"/>
    </row>
    <row r="1663" spans="5:24" x14ac:dyDescent="0.3">
      <c r="E1663" s="173"/>
      <c r="F1663" s="173"/>
      <c r="I1663"/>
      <c r="J1663"/>
      <c r="K1663"/>
      <c r="L1663"/>
      <c r="M1663"/>
      <c r="N1663"/>
      <c r="O1663"/>
      <c r="P1663" s="225"/>
      <c r="Q1663" s="225"/>
      <c r="R1663"/>
      <c r="S1663"/>
      <c r="T1663"/>
      <c r="U1663"/>
      <c r="V1663"/>
      <c r="W1663"/>
      <c r="X1663"/>
    </row>
    <row r="1664" spans="5:24" x14ac:dyDescent="0.3">
      <c r="E1664" s="173"/>
      <c r="F1664" s="173"/>
      <c r="I1664"/>
      <c r="J1664"/>
      <c r="K1664"/>
      <c r="L1664"/>
      <c r="M1664"/>
      <c r="N1664"/>
      <c r="O1664"/>
      <c r="P1664" s="225"/>
      <c r="Q1664" s="225"/>
      <c r="R1664"/>
      <c r="S1664"/>
      <c r="T1664"/>
      <c r="U1664"/>
      <c r="V1664"/>
      <c r="W1664"/>
      <c r="X1664"/>
    </row>
    <row r="1665" spans="5:24" x14ac:dyDescent="0.3">
      <c r="E1665" s="173"/>
      <c r="F1665" s="173"/>
      <c r="I1665"/>
      <c r="J1665"/>
      <c r="K1665"/>
      <c r="L1665"/>
      <c r="M1665"/>
      <c r="N1665"/>
      <c r="O1665"/>
      <c r="P1665" s="225"/>
      <c r="Q1665" s="225"/>
      <c r="R1665"/>
      <c r="S1665"/>
      <c r="T1665"/>
      <c r="U1665"/>
      <c r="V1665"/>
      <c r="W1665"/>
      <c r="X1665"/>
    </row>
    <row r="1666" spans="5:24" x14ac:dyDescent="0.3">
      <c r="E1666" s="173"/>
      <c r="F1666" s="173"/>
      <c r="I1666"/>
      <c r="J1666"/>
      <c r="K1666"/>
      <c r="L1666"/>
      <c r="M1666"/>
      <c r="N1666"/>
      <c r="O1666"/>
      <c r="P1666" s="225"/>
      <c r="Q1666" s="225"/>
      <c r="R1666"/>
      <c r="S1666"/>
      <c r="T1666"/>
      <c r="U1666"/>
      <c r="V1666"/>
      <c r="W1666"/>
      <c r="X1666"/>
    </row>
    <row r="1667" spans="5:24" x14ac:dyDescent="0.3">
      <c r="E1667" s="173"/>
      <c r="F1667" s="173"/>
      <c r="I1667"/>
      <c r="J1667"/>
      <c r="K1667"/>
      <c r="L1667"/>
      <c r="M1667"/>
      <c r="N1667"/>
      <c r="O1667"/>
      <c r="P1667" s="225"/>
      <c r="Q1667" s="225"/>
      <c r="R1667"/>
      <c r="S1667"/>
      <c r="T1667"/>
      <c r="U1667"/>
      <c r="V1667"/>
      <c r="W1667"/>
      <c r="X1667"/>
    </row>
    <row r="1668" spans="5:24" x14ac:dyDescent="0.3">
      <c r="E1668" s="173"/>
      <c r="F1668" s="173"/>
      <c r="I1668"/>
      <c r="J1668"/>
      <c r="K1668"/>
      <c r="L1668"/>
      <c r="M1668"/>
      <c r="N1668"/>
      <c r="O1668"/>
      <c r="P1668" s="225"/>
      <c r="Q1668" s="225"/>
      <c r="R1668"/>
      <c r="S1668"/>
      <c r="T1668"/>
      <c r="U1668"/>
      <c r="V1668"/>
      <c r="W1668"/>
      <c r="X1668"/>
    </row>
    <row r="1669" spans="5:24" x14ac:dyDescent="0.3">
      <c r="E1669" s="173"/>
      <c r="F1669" s="173"/>
      <c r="I1669"/>
      <c r="J1669"/>
      <c r="K1669"/>
      <c r="L1669"/>
      <c r="M1669"/>
      <c r="N1669"/>
      <c r="O1669"/>
      <c r="P1669" s="225"/>
      <c r="Q1669" s="225"/>
      <c r="R1669"/>
      <c r="S1669"/>
      <c r="T1669"/>
      <c r="U1669"/>
      <c r="V1669"/>
      <c r="W1669"/>
      <c r="X1669"/>
    </row>
    <row r="1670" spans="5:24" x14ac:dyDescent="0.3">
      <c r="E1670" s="173"/>
      <c r="F1670" s="173"/>
      <c r="I1670"/>
      <c r="J1670"/>
      <c r="K1670"/>
      <c r="L1670"/>
      <c r="M1670"/>
      <c r="N1670"/>
      <c r="O1670"/>
      <c r="P1670" s="225"/>
      <c r="Q1670" s="225"/>
      <c r="R1670"/>
      <c r="S1670"/>
      <c r="T1670"/>
      <c r="U1670"/>
      <c r="V1670"/>
      <c r="W1670"/>
      <c r="X1670"/>
    </row>
    <row r="1671" spans="5:24" x14ac:dyDescent="0.3">
      <c r="E1671" s="173"/>
      <c r="F1671" s="173"/>
      <c r="I1671"/>
      <c r="J1671"/>
      <c r="K1671"/>
      <c r="L1671"/>
      <c r="M1671"/>
      <c r="N1671"/>
      <c r="O1671"/>
      <c r="P1671" s="225"/>
      <c r="Q1671" s="225"/>
      <c r="R1671"/>
      <c r="S1671"/>
      <c r="T1671"/>
      <c r="U1671"/>
      <c r="V1671"/>
      <c r="W1671"/>
      <c r="X1671"/>
    </row>
    <row r="1672" spans="5:24" x14ac:dyDescent="0.3">
      <c r="E1672" s="173"/>
      <c r="F1672" s="173"/>
      <c r="I1672"/>
      <c r="J1672"/>
      <c r="K1672"/>
      <c r="L1672"/>
      <c r="M1672"/>
      <c r="N1672"/>
      <c r="O1672"/>
      <c r="P1672" s="225"/>
      <c r="Q1672" s="225"/>
      <c r="R1672"/>
      <c r="S1672"/>
      <c r="T1672"/>
      <c r="U1672"/>
      <c r="V1672"/>
      <c r="W1672"/>
      <c r="X1672"/>
    </row>
    <row r="1673" spans="5:24" x14ac:dyDescent="0.3">
      <c r="E1673" s="173"/>
      <c r="F1673" s="173"/>
      <c r="I1673"/>
      <c r="J1673"/>
      <c r="K1673"/>
      <c r="L1673"/>
      <c r="M1673"/>
      <c r="N1673"/>
      <c r="O1673"/>
      <c r="P1673" s="225"/>
      <c r="Q1673" s="225"/>
      <c r="R1673"/>
      <c r="S1673"/>
      <c r="T1673"/>
      <c r="U1673"/>
      <c r="V1673"/>
      <c r="W1673"/>
      <c r="X1673"/>
    </row>
    <row r="1674" spans="5:24" x14ac:dyDescent="0.3">
      <c r="E1674" s="173"/>
      <c r="F1674" s="173"/>
      <c r="I1674"/>
      <c r="J1674"/>
      <c r="K1674"/>
      <c r="L1674"/>
      <c r="M1674"/>
      <c r="N1674"/>
      <c r="O1674"/>
      <c r="P1674" s="225"/>
      <c r="Q1674" s="225"/>
      <c r="R1674"/>
      <c r="S1674"/>
      <c r="T1674"/>
      <c r="U1674"/>
      <c r="V1674"/>
      <c r="W1674"/>
      <c r="X1674"/>
    </row>
    <row r="1675" spans="5:24" x14ac:dyDescent="0.3">
      <c r="E1675" s="173"/>
      <c r="F1675" s="173"/>
      <c r="I1675"/>
      <c r="J1675"/>
      <c r="K1675"/>
      <c r="L1675"/>
      <c r="M1675"/>
      <c r="N1675"/>
      <c r="O1675"/>
      <c r="P1675" s="225"/>
      <c r="Q1675" s="225"/>
      <c r="R1675"/>
      <c r="S1675"/>
      <c r="T1675"/>
      <c r="U1675"/>
      <c r="V1675"/>
      <c r="W1675"/>
      <c r="X1675"/>
    </row>
    <row r="1676" spans="5:24" x14ac:dyDescent="0.3">
      <c r="E1676" s="173"/>
      <c r="F1676" s="173"/>
      <c r="I1676"/>
      <c r="J1676"/>
      <c r="K1676"/>
      <c r="L1676"/>
      <c r="M1676"/>
      <c r="N1676"/>
      <c r="O1676"/>
      <c r="P1676" s="225"/>
      <c r="Q1676" s="225"/>
      <c r="R1676"/>
      <c r="S1676"/>
      <c r="T1676"/>
      <c r="U1676"/>
      <c r="V1676"/>
      <c r="W1676"/>
      <c r="X1676"/>
    </row>
    <row r="1677" spans="5:24" x14ac:dyDescent="0.3">
      <c r="E1677" s="173"/>
      <c r="F1677" s="173"/>
      <c r="I1677"/>
      <c r="J1677"/>
      <c r="K1677"/>
      <c r="L1677"/>
      <c r="M1677"/>
      <c r="N1677"/>
      <c r="O1677"/>
      <c r="P1677" s="225"/>
      <c r="Q1677" s="225"/>
      <c r="R1677"/>
      <c r="S1677"/>
      <c r="T1677"/>
      <c r="U1677"/>
      <c r="V1677"/>
      <c r="W1677"/>
      <c r="X1677"/>
    </row>
    <row r="1678" spans="5:24" x14ac:dyDescent="0.3">
      <c r="E1678" s="173"/>
      <c r="F1678" s="173"/>
      <c r="I1678"/>
      <c r="J1678"/>
      <c r="K1678"/>
      <c r="L1678"/>
      <c r="M1678"/>
      <c r="N1678"/>
      <c r="O1678"/>
      <c r="P1678" s="225"/>
      <c r="Q1678" s="225"/>
      <c r="R1678"/>
      <c r="S1678"/>
      <c r="T1678"/>
      <c r="U1678"/>
      <c r="V1678"/>
      <c r="W1678"/>
      <c r="X1678"/>
    </row>
    <row r="1679" spans="5:24" x14ac:dyDescent="0.3">
      <c r="E1679" s="173"/>
      <c r="F1679" s="173"/>
      <c r="I1679"/>
      <c r="J1679"/>
      <c r="K1679"/>
      <c r="L1679"/>
      <c r="M1679"/>
      <c r="N1679"/>
      <c r="O1679"/>
      <c r="P1679" s="225"/>
      <c r="Q1679" s="225"/>
      <c r="R1679"/>
      <c r="S1679"/>
      <c r="T1679"/>
      <c r="U1679"/>
      <c r="V1679"/>
      <c r="W1679"/>
      <c r="X1679"/>
    </row>
    <row r="1680" spans="5:24" x14ac:dyDescent="0.3">
      <c r="E1680" s="173"/>
      <c r="F1680" s="173"/>
      <c r="I1680"/>
      <c r="J1680"/>
      <c r="K1680"/>
      <c r="L1680"/>
      <c r="M1680"/>
      <c r="N1680"/>
      <c r="O1680"/>
      <c r="P1680" s="225"/>
      <c r="Q1680" s="225"/>
      <c r="R1680"/>
      <c r="S1680"/>
      <c r="T1680"/>
      <c r="U1680"/>
      <c r="V1680"/>
      <c r="W1680"/>
      <c r="X1680"/>
    </row>
    <row r="1681" spans="5:24" x14ac:dyDescent="0.3">
      <c r="E1681" s="173"/>
      <c r="F1681" s="173"/>
      <c r="I1681"/>
      <c r="J1681"/>
      <c r="K1681"/>
      <c r="L1681"/>
      <c r="M1681"/>
      <c r="N1681"/>
      <c r="O1681"/>
      <c r="P1681" s="225"/>
      <c r="Q1681" s="225"/>
      <c r="R1681"/>
      <c r="S1681"/>
      <c r="T1681"/>
      <c r="U1681"/>
      <c r="V1681"/>
      <c r="W1681"/>
      <c r="X1681"/>
    </row>
    <row r="1682" spans="5:24" x14ac:dyDescent="0.3">
      <c r="E1682" s="173"/>
      <c r="F1682" s="173"/>
      <c r="I1682"/>
      <c r="J1682"/>
      <c r="K1682"/>
      <c r="L1682"/>
      <c r="M1682"/>
      <c r="N1682"/>
      <c r="O1682"/>
      <c r="P1682" s="225"/>
      <c r="Q1682" s="225"/>
      <c r="R1682"/>
      <c r="S1682"/>
      <c r="T1682"/>
      <c r="U1682"/>
      <c r="V1682"/>
      <c r="W1682"/>
      <c r="X1682"/>
    </row>
    <row r="1683" spans="5:24" x14ac:dyDescent="0.3">
      <c r="E1683" s="173"/>
      <c r="F1683" s="173"/>
      <c r="I1683"/>
      <c r="J1683"/>
      <c r="K1683"/>
      <c r="L1683"/>
      <c r="M1683"/>
      <c r="N1683"/>
      <c r="O1683"/>
      <c r="P1683" s="225"/>
      <c r="Q1683" s="225"/>
      <c r="R1683"/>
      <c r="S1683"/>
      <c r="T1683"/>
      <c r="U1683"/>
      <c r="V1683"/>
      <c r="W1683"/>
      <c r="X1683"/>
    </row>
    <row r="1684" spans="5:24" x14ac:dyDescent="0.3">
      <c r="E1684" s="173"/>
      <c r="F1684" s="173"/>
      <c r="I1684"/>
      <c r="J1684"/>
      <c r="K1684"/>
      <c r="L1684"/>
      <c r="M1684"/>
      <c r="N1684"/>
      <c r="O1684"/>
      <c r="P1684" s="225"/>
      <c r="Q1684" s="225"/>
      <c r="R1684"/>
      <c r="S1684"/>
      <c r="T1684"/>
      <c r="U1684"/>
      <c r="V1684"/>
      <c r="W1684"/>
      <c r="X1684"/>
    </row>
    <row r="1685" spans="5:24" x14ac:dyDescent="0.3">
      <c r="E1685" s="173"/>
      <c r="F1685" s="173"/>
      <c r="I1685"/>
      <c r="J1685"/>
      <c r="K1685"/>
      <c r="L1685"/>
      <c r="M1685"/>
      <c r="N1685"/>
      <c r="O1685"/>
      <c r="P1685" s="225"/>
      <c r="Q1685" s="225"/>
      <c r="R1685"/>
      <c r="S1685"/>
      <c r="T1685"/>
      <c r="U1685"/>
      <c r="V1685"/>
      <c r="W1685"/>
      <c r="X1685"/>
    </row>
    <row r="1686" spans="5:24" x14ac:dyDescent="0.3">
      <c r="E1686" s="173"/>
      <c r="F1686" s="173"/>
      <c r="I1686"/>
      <c r="J1686"/>
      <c r="K1686"/>
      <c r="L1686"/>
      <c r="M1686"/>
      <c r="N1686"/>
      <c r="O1686"/>
      <c r="P1686" s="225"/>
      <c r="Q1686" s="225"/>
      <c r="R1686"/>
      <c r="S1686"/>
      <c r="T1686"/>
      <c r="U1686"/>
      <c r="V1686"/>
      <c r="W1686"/>
      <c r="X1686"/>
    </row>
    <row r="1687" spans="5:24" x14ac:dyDescent="0.3">
      <c r="E1687" s="173"/>
      <c r="F1687" s="173"/>
      <c r="I1687"/>
      <c r="J1687"/>
      <c r="K1687"/>
      <c r="L1687"/>
      <c r="M1687"/>
      <c r="N1687"/>
      <c r="O1687"/>
      <c r="P1687" s="225"/>
      <c r="Q1687" s="225"/>
      <c r="R1687"/>
      <c r="S1687"/>
      <c r="T1687"/>
      <c r="U1687"/>
      <c r="V1687"/>
      <c r="W1687"/>
      <c r="X1687"/>
    </row>
    <row r="1688" spans="5:24" x14ac:dyDescent="0.3">
      <c r="E1688" s="173"/>
      <c r="F1688" s="173"/>
      <c r="I1688"/>
      <c r="J1688"/>
      <c r="K1688"/>
      <c r="L1688"/>
      <c r="M1688"/>
      <c r="N1688"/>
      <c r="O1688"/>
      <c r="P1688" s="225"/>
      <c r="Q1688" s="225"/>
      <c r="R1688"/>
      <c r="S1688"/>
      <c r="T1688"/>
      <c r="U1688"/>
      <c r="V1688"/>
      <c r="W1688"/>
      <c r="X1688"/>
    </row>
    <row r="1689" spans="5:24" x14ac:dyDescent="0.3">
      <c r="E1689" s="173"/>
      <c r="F1689" s="173"/>
      <c r="I1689"/>
      <c r="J1689"/>
      <c r="K1689"/>
      <c r="L1689"/>
      <c r="M1689"/>
      <c r="N1689"/>
      <c r="O1689"/>
      <c r="P1689" s="225"/>
      <c r="Q1689" s="225"/>
      <c r="R1689"/>
      <c r="S1689"/>
      <c r="T1689"/>
      <c r="U1689"/>
      <c r="V1689"/>
      <c r="W1689"/>
      <c r="X1689"/>
    </row>
    <row r="1690" spans="5:24" x14ac:dyDescent="0.3">
      <c r="E1690" s="173"/>
      <c r="F1690" s="173"/>
      <c r="I1690"/>
      <c r="J1690"/>
      <c r="K1690"/>
      <c r="L1690"/>
      <c r="M1690"/>
      <c r="N1690"/>
      <c r="O1690"/>
      <c r="P1690" s="225"/>
      <c r="Q1690" s="225"/>
      <c r="R1690"/>
      <c r="S1690"/>
      <c r="T1690"/>
      <c r="U1690"/>
      <c r="V1690"/>
      <c r="W1690"/>
      <c r="X1690"/>
    </row>
    <row r="1691" spans="5:24" x14ac:dyDescent="0.3">
      <c r="E1691" s="173"/>
      <c r="F1691" s="173"/>
      <c r="I1691"/>
      <c r="J1691"/>
      <c r="K1691"/>
      <c r="L1691"/>
      <c r="M1691"/>
      <c r="N1691"/>
      <c r="O1691"/>
      <c r="P1691" s="225"/>
      <c r="Q1691" s="225"/>
      <c r="R1691"/>
      <c r="S1691"/>
      <c r="T1691"/>
      <c r="U1691"/>
      <c r="V1691"/>
      <c r="W1691"/>
      <c r="X1691"/>
    </row>
    <row r="1692" spans="5:24" x14ac:dyDescent="0.3">
      <c r="E1692" s="173"/>
      <c r="F1692" s="173"/>
      <c r="I1692"/>
      <c r="J1692"/>
      <c r="K1692"/>
      <c r="L1692"/>
      <c r="M1692"/>
      <c r="N1692"/>
      <c r="O1692"/>
      <c r="P1692" s="225"/>
      <c r="Q1692" s="225"/>
      <c r="R1692"/>
      <c r="S1692"/>
      <c r="T1692"/>
      <c r="U1692"/>
      <c r="V1692"/>
      <c r="W1692"/>
      <c r="X1692"/>
    </row>
    <row r="1693" spans="5:24" x14ac:dyDescent="0.3">
      <c r="E1693" s="173"/>
      <c r="F1693" s="173"/>
      <c r="I1693"/>
      <c r="J1693"/>
      <c r="K1693"/>
      <c r="L1693"/>
      <c r="M1693"/>
      <c r="N1693"/>
      <c r="O1693"/>
      <c r="P1693" s="225"/>
      <c r="Q1693" s="225"/>
      <c r="R1693"/>
      <c r="S1693"/>
      <c r="T1693"/>
      <c r="U1693"/>
      <c r="V1693"/>
      <c r="W1693"/>
      <c r="X1693"/>
    </row>
    <row r="1694" spans="5:24" x14ac:dyDescent="0.3">
      <c r="E1694" s="173"/>
      <c r="F1694" s="173"/>
      <c r="I1694"/>
      <c r="J1694"/>
      <c r="K1694"/>
      <c r="L1694"/>
      <c r="M1694"/>
      <c r="N1694"/>
      <c r="O1694"/>
      <c r="P1694" s="225"/>
      <c r="Q1694" s="225"/>
      <c r="R1694"/>
      <c r="S1694"/>
      <c r="T1694"/>
      <c r="U1694"/>
      <c r="V1694"/>
      <c r="W1694"/>
      <c r="X1694"/>
    </row>
    <row r="1695" spans="5:24" x14ac:dyDescent="0.3">
      <c r="E1695" s="173"/>
      <c r="F1695" s="173"/>
      <c r="I1695"/>
      <c r="J1695"/>
      <c r="K1695"/>
      <c r="L1695"/>
      <c r="M1695"/>
      <c r="N1695"/>
      <c r="O1695"/>
      <c r="P1695" s="225"/>
      <c r="Q1695" s="225"/>
      <c r="R1695"/>
      <c r="S1695"/>
      <c r="T1695"/>
      <c r="U1695"/>
      <c r="V1695"/>
      <c r="W1695"/>
      <c r="X1695"/>
    </row>
    <row r="1696" spans="5:24" x14ac:dyDescent="0.3">
      <c r="E1696" s="173"/>
      <c r="F1696" s="173"/>
      <c r="I1696"/>
      <c r="J1696"/>
      <c r="K1696"/>
      <c r="L1696"/>
      <c r="M1696"/>
      <c r="N1696"/>
      <c r="O1696"/>
      <c r="P1696" s="225"/>
      <c r="Q1696" s="225"/>
      <c r="R1696"/>
      <c r="S1696"/>
      <c r="T1696"/>
      <c r="U1696"/>
      <c r="V1696"/>
      <c r="W1696"/>
      <c r="X1696"/>
    </row>
    <row r="1697" spans="5:24" x14ac:dyDescent="0.3">
      <c r="E1697" s="173"/>
      <c r="F1697" s="173"/>
      <c r="I1697"/>
      <c r="J1697"/>
      <c r="K1697"/>
      <c r="L1697"/>
      <c r="M1697"/>
      <c r="N1697"/>
      <c r="O1697"/>
      <c r="P1697" s="225"/>
      <c r="Q1697" s="225"/>
      <c r="R1697"/>
      <c r="S1697"/>
      <c r="T1697"/>
      <c r="U1697"/>
      <c r="V1697"/>
      <c r="W1697"/>
      <c r="X1697"/>
    </row>
    <row r="1698" spans="5:24" x14ac:dyDescent="0.3">
      <c r="E1698" s="173"/>
      <c r="F1698" s="173"/>
      <c r="I1698"/>
      <c r="J1698"/>
      <c r="K1698"/>
      <c r="L1698"/>
      <c r="M1698"/>
      <c r="N1698"/>
      <c r="O1698"/>
      <c r="P1698" s="225"/>
      <c r="Q1698" s="225"/>
      <c r="R1698"/>
      <c r="S1698"/>
      <c r="T1698"/>
      <c r="U1698"/>
      <c r="V1698"/>
      <c r="W1698"/>
      <c r="X1698"/>
    </row>
    <row r="1699" spans="5:24" x14ac:dyDescent="0.3">
      <c r="E1699" s="173"/>
      <c r="F1699" s="173"/>
      <c r="I1699"/>
      <c r="J1699"/>
      <c r="K1699"/>
      <c r="L1699"/>
      <c r="M1699"/>
      <c r="N1699"/>
      <c r="O1699"/>
      <c r="P1699" s="225"/>
      <c r="Q1699" s="225"/>
      <c r="R1699"/>
      <c r="S1699"/>
      <c r="T1699"/>
      <c r="U1699"/>
      <c r="V1699"/>
      <c r="W1699"/>
      <c r="X1699"/>
    </row>
    <row r="1700" spans="5:24" x14ac:dyDescent="0.3">
      <c r="E1700" s="173"/>
      <c r="F1700" s="173"/>
      <c r="I1700"/>
      <c r="J1700"/>
      <c r="K1700"/>
      <c r="L1700"/>
      <c r="M1700"/>
      <c r="N1700"/>
      <c r="O1700"/>
      <c r="P1700" s="225"/>
      <c r="Q1700" s="225"/>
      <c r="R1700"/>
      <c r="S1700"/>
      <c r="T1700"/>
      <c r="U1700"/>
      <c r="V1700"/>
      <c r="W1700"/>
      <c r="X1700"/>
    </row>
    <row r="1701" spans="5:24" x14ac:dyDescent="0.3">
      <c r="E1701" s="173"/>
      <c r="F1701" s="173"/>
      <c r="I1701"/>
      <c r="J1701"/>
      <c r="K1701"/>
      <c r="L1701"/>
      <c r="M1701"/>
      <c r="N1701"/>
      <c r="O1701"/>
      <c r="P1701" s="225"/>
      <c r="Q1701" s="225"/>
      <c r="R1701"/>
      <c r="S1701"/>
      <c r="T1701"/>
      <c r="U1701"/>
      <c r="V1701"/>
      <c r="W1701"/>
      <c r="X1701"/>
    </row>
    <row r="1702" spans="5:24" x14ac:dyDescent="0.3">
      <c r="E1702" s="173"/>
      <c r="F1702" s="173"/>
      <c r="I1702"/>
      <c r="J1702"/>
      <c r="K1702"/>
      <c r="L1702"/>
      <c r="M1702"/>
      <c r="N1702"/>
      <c r="O1702"/>
      <c r="P1702" s="225"/>
      <c r="Q1702" s="225"/>
      <c r="R1702"/>
      <c r="S1702"/>
      <c r="T1702"/>
      <c r="U1702"/>
      <c r="V1702"/>
      <c r="W1702"/>
      <c r="X1702"/>
    </row>
    <row r="1703" spans="5:24" x14ac:dyDescent="0.3">
      <c r="E1703" s="173"/>
      <c r="F1703" s="173"/>
      <c r="I1703"/>
      <c r="J1703"/>
      <c r="K1703"/>
      <c r="L1703"/>
      <c r="M1703"/>
      <c r="N1703"/>
      <c r="O1703"/>
      <c r="P1703" s="225"/>
      <c r="Q1703" s="225"/>
      <c r="R1703"/>
      <c r="S1703"/>
      <c r="T1703"/>
      <c r="U1703"/>
      <c r="V1703"/>
      <c r="W1703"/>
      <c r="X1703"/>
    </row>
    <row r="1704" spans="5:24" x14ac:dyDescent="0.3">
      <c r="E1704" s="173"/>
      <c r="F1704" s="173"/>
      <c r="I1704"/>
      <c r="J1704"/>
      <c r="K1704"/>
      <c r="L1704"/>
      <c r="M1704"/>
      <c r="N1704"/>
      <c r="O1704"/>
      <c r="P1704" s="225"/>
      <c r="Q1704" s="225"/>
      <c r="R1704"/>
      <c r="S1704"/>
      <c r="T1704"/>
      <c r="U1704"/>
      <c r="V1704"/>
      <c r="W1704"/>
      <c r="X1704"/>
    </row>
    <row r="1705" spans="5:24" x14ac:dyDescent="0.3">
      <c r="E1705" s="173"/>
      <c r="F1705" s="173"/>
      <c r="I1705"/>
      <c r="J1705"/>
      <c r="K1705"/>
      <c r="L1705"/>
      <c r="M1705"/>
      <c r="N1705"/>
      <c r="O1705"/>
      <c r="P1705" s="225"/>
      <c r="Q1705" s="225"/>
      <c r="R1705"/>
      <c r="S1705"/>
      <c r="T1705"/>
      <c r="U1705"/>
      <c r="V1705"/>
      <c r="W1705"/>
      <c r="X1705"/>
    </row>
    <row r="1706" spans="5:24" x14ac:dyDescent="0.3">
      <c r="E1706" s="173"/>
      <c r="F1706" s="173"/>
      <c r="I1706"/>
      <c r="J1706"/>
      <c r="K1706"/>
      <c r="L1706"/>
      <c r="M1706"/>
      <c r="N1706"/>
      <c r="O1706"/>
      <c r="P1706" s="225"/>
      <c r="Q1706" s="225"/>
      <c r="R1706"/>
      <c r="S1706"/>
      <c r="T1706"/>
      <c r="U1706"/>
      <c r="V1706"/>
      <c r="W1706"/>
      <c r="X1706"/>
    </row>
    <row r="1707" spans="5:24" x14ac:dyDescent="0.3">
      <c r="E1707" s="173"/>
      <c r="F1707" s="173"/>
      <c r="I1707"/>
      <c r="J1707"/>
      <c r="K1707"/>
      <c r="L1707"/>
      <c r="M1707"/>
      <c r="N1707"/>
      <c r="O1707"/>
      <c r="P1707" s="225"/>
      <c r="Q1707" s="225"/>
      <c r="R1707"/>
      <c r="S1707"/>
      <c r="T1707"/>
      <c r="U1707"/>
      <c r="V1707"/>
      <c r="W1707"/>
      <c r="X1707"/>
    </row>
    <row r="1708" spans="5:24" x14ac:dyDescent="0.3">
      <c r="E1708" s="173"/>
      <c r="F1708" s="173"/>
      <c r="I1708"/>
      <c r="J1708"/>
      <c r="K1708"/>
      <c r="L1708"/>
      <c r="M1708"/>
      <c r="N1708"/>
      <c r="O1708"/>
      <c r="P1708" s="225"/>
      <c r="Q1708" s="225"/>
      <c r="R1708"/>
      <c r="S1708"/>
      <c r="T1708"/>
      <c r="U1708"/>
      <c r="V1708"/>
      <c r="W1708"/>
      <c r="X1708"/>
    </row>
    <row r="1709" spans="5:24" x14ac:dyDescent="0.3">
      <c r="E1709" s="173"/>
      <c r="F1709" s="173"/>
      <c r="I1709"/>
      <c r="J1709"/>
      <c r="K1709"/>
      <c r="L1709"/>
      <c r="M1709"/>
      <c r="N1709"/>
      <c r="O1709"/>
      <c r="P1709" s="225"/>
      <c r="Q1709" s="225"/>
      <c r="R1709"/>
      <c r="S1709"/>
      <c r="T1709"/>
      <c r="U1709"/>
      <c r="V1709"/>
      <c r="W1709"/>
      <c r="X1709"/>
    </row>
    <row r="1710" spans="5:24" x14ac:dyDescent="0.3">
      <c r="E1710" s="173"/>
      <c r="F1710" s="173"/>
      <c r="I1710"/>
      <c r="J1710"/>
      <c r="K1710"/>
      <c r="L1710"/>
      <c r="M1710"/>
      <c r="N1710"/>
      <c r="O1710"/>
      <c r="P1710" s="225"/>
      <c r="Q1710" s="225"/>
      <c r="R1710"/>
      <c r="S1710"/>
      <c r="T1710"/>
      <c r="U1710"/>
      <c r="V1710"/>
      <c r="W1710"/>
      <c r="X1710"/>
    </row>
    <row r="1711" spans="5:24" x14ac:dyDescent="0.3">
      <c r="E1711" s="173"/>
      <c r="F1711" s="173"/>
      <c r="I1711"/>
      <c r="J1711"/>
      <c r="K1711"/>
      <c r="L1711"/>
      <c r="M1711"/>
      <c r="N1711"/>
      <c r="O1711"/>
      <c r="P1711" s="225"/>
      <c r="Q1711" s="225"/>
      <c r="R1711"/>
      <c r="S1711"/>
      <c r="T1711"/>
      <c r="U1711"/>
      <c r="V1711"/>
      <c r="W1711"/>
      <c r="X1711"/>
    </row>
    <row r="1712" spans="5:24" x14ac:dyDescent="0.3">
      <c r="E1712" s="173"/>
      <c r="F1712" s="173"/>
      <c r="I1712"/>
      <c r="J1712"/>
      <c r="K1712"/>
      <c r="L1712"/>
      <c r="M1712"/>
      <c r="N1712"/>
      <c r="O1712"/>
      <c r="P1712" s="225"/>
      <c r="Q1712" s="225"/>
      <c r="R1712"/>
      <c r="S1712"/>
      <c r="T1712"/>
      <c r="U1712"/>
      <c r="V1712"/>
      <c r="W1712"/>
      <c r="X1712"/>
    </row>
    <row r="1713" spans="5:24" x14ac:dyDescent="0.3">
      <c r="E1713" s="173"/>
      <c r="F1713" s="173"/>
      <c r="I1713"/>
      <c r="J1713"/>
      <c r="K1713"/>
      <c r="L1713"/>
      <c r="M1713"/>
      <c r="N1713"/>
      <c r="O1713"/>
      <c r="P1713" s="225"/>
      <c r="Q1713" s="225"/>
      <c r="R1713"/>
      <c r="S1713"/>
      <c r="T1713"/>
      <c r="U1713"/>
      <c r="V1713"/>
      <c r="W1713"/>
      <c r="X1713"/>
    </row>
    <row r="1714" spans="5:24" x14ac:dyDescent="0.3">
      <c r="E1714" s="173"/>
      <c r="F1714" s="173"/>
      <c r="I1714"/>
      <c r="J1714"/>
      <c r="K1714"/>
      <c r="L1714"/>
      <c r="M1714"/>
      <c r="N1714"/>
      <c r="O1714"/>
      <c r="P1714" s="225"/>
      <c r="Q1714" s="225"/>
      <c r="R1714"/>
      <c r="S1714"/>
      <c r="T1714"/>
      <c r="U1714"/>
      <c r="V1714"/>
      <c r="W1714"/>
      <c r="X1714"/>
    </row>
    <row r="1715" spans="5:24" x14ac:dyDescent="0.3">
      <c r="E1715" s="173"/>
      <c r="F1715" s="173"/>
      <c r="I1715"/>
      <c r="J1715"/>
      <c r="K1715"/>
      <c r="L1715"/>
      <c r="M1715"/>
      <c r="N1715"/>
      <c r="O1715"/>
      <c r="P1715" s="225"/>
      <c r="Q1715" s="225"/>
      <c r="R1715"/>
      <c r="S1715"/>
      <c r="T1715"/>
      <c r="U1715"/>
      <c r="V1715"/>
      <c r="W1715"/>
      <c r="X1715"/>
    </row>
    <row r="1716" spans="5:24" x14ac:dyDescent="0.3">
      <c r="E1716" s="173"/>
      <c r="F1716" s="173"/>
      <c r="I1716"/>
      <c r="J1716"/>
      <c r="K1716"/>
      <c r="L1716"/>
      <c r="M1716"/>
      <c r="N1716"/>
      <c r="O1716"/>
      <c r="P1716" s="225"/>
      <c r="Q1716" s="225"/>
      <c r="R1716"/>
      <c r="S1716"/>
      <c r="T1716"/>
      <c r="U1716"/>
      <c r="V1716"/>
      <c r="W1716"/>
      <c r="X1716"/>
    </row>
    <row r="1717" spans="5:24" x14ac:dyDescent="0.3">
      <c r="E1717" s="173"/>
      <c r="F1717" s="173"/>
      <c r="I1717"/>
      <c r="J1717"/>
      <c r="K1717"/>
      <c r="L1717"/>
      <c r="M1717"/>
      <c r="N1717"/>
      <c r="O1717"/>
      <c r="P1717" s="225"/>
      <c r="Q1717" s="225"/>
      <c r="R1717"/>
      <c r="S1717"/>
      <c r="T1717"/>
      <c r="U1717"/>
      <c r="V1717"/>
      <c r="W1717"/>
      <c r="X1717"/>
    </row>
    <row r="1718" spans="5:24" x14ac:dyDescent="0.3">
      <c r="E1718" s="173"/>
      <c r="F1718" s="173"/>
      <c r="I1718"/>
      <c r="J1718"/>
      <c r="K1718"/>
      <c r="L1718"/>
      <c r="M1718"/>
      <c r="N1718"/>
      <c r="O1718"/>
      <c r="P1718" s="225"/>
      <c r="Q1718" s="225"/>
      <c r="R1718"/>
      <c r="S1718"/>
      <c r="T1718"/>
      <c r="U1718"/>
      <c r="V1718"/>
      <c r="W1718"/>
      <c r="X1718"/>
    </row>
    <row r="1719" spans="5:24" x14ac:dyDescent="0.3">
      <c r="E1719" s="173"/>
      <c r="F1719" s="173"/>
      <c r="I1719"/>
      <c r="J1719"/>
      <c r="K1719"/>
      <c r="L1719"/>
      <c r="M1719"/>
      <c r="N1719"/>
      <c r="O1719"/>
      <c r="P1719" s="225"/>
      <c r="Q1719" s="225"/>
      <c r="R1719"/>
      <c r="S1719"/>
      <c r="T1719"/>
      <c r="U1719"/>
      <c r="V1719"/>
      <c r="W1719"/>
      <c r="X1719"/>
    </row>
    <row r="1720" spans="5:24" x14ac:dyDescent="0.3">
      <c r="E1720" s="173"/>
      <c r="F1720" s="173"/>
      <c r="I1720"/>
      <c r="J1720"/>
      <c r="K1720"/>
      <c r="L1720"/>
      <c r="M1720"/>
      <c r="N1720"/>
      <c r="O1720"/>
      <c r="P1720" s="225"/>
      <c r="Q1720" s="225"/>
      <c r="R1720"/>
      <c r="S1720"/>
      <c r="T1720"/>
      <c r="U1720"/>
      <c r="V1720"/>
      <c r="W1720"/>
      <c r="X1720"/>
    </row>
    <row r="1721" spans="5:24" x14ac:dyDescent="0.3">
      <c r="E1721" s="173"/>
      <c r="F1721" s="173"/>
      <c r="I1721"/>
      <c r="J1721"/>
      <c r="K1721"/>
      <c r="L1721"/>
      <c r="M1721"/>
      <c r="N1721"/>
      <c r="O1721"/>
      <c r="P1721" s="225"/>
      <c r="Q1721" s="225"/>
      <c r="R1721"/>
      <c r="S1721"/>
      <c r="T1721"/>
      <c r="U1721"/>
      <c r="V1721"/>
      <c r="W1721"/>
      <c r="X1721"/>
    </row>
    <row r="1722" spans="5:24" x14ac:dyDescent="0.3">
      <c r="E1722" s="173"/>
      <c r="F1722" s="173"/>
      <c r="I1722"/>
      <c r="J1722"/>
      <c r="K1722"/>
      <c r="L1722"/>
      <c r="M1722"/>
      <c r="N1722"/>
      <c r="O1722"/>
      <c r="P1722" s="225"/>
      <c r="Q1722" s="225"/>
      <c r="R1722"/>
      <c r="S1722"/>
      <c r="T1722"/>
      <c r="U1722"/>
      <c r="V1722"/>
      <c r="W1722"/>
      <c r="X1722"/>
    </row>
    <row r="1723" spans="5:24" x14ac:dyDescent="0.3">
      <c r="E1723" s="173"/>
      <c r="F1723" s="173"/>
      <c r="I1723"/>
      <c r="J1723"/>
      <c r="K1723"/>
      <c r="L1723"/>
      <c r="M1723"/>
      <c r="N1723"/>
      <c r="O1723"/>
      <c r="P1723" s="225"/>
      <c r="Q1723" s="225"/>
      <c r="R1723"/>
      <c r="S1723"/>
      <c r="T1723"/>
      <c r="U1723"/>
      <c r="V1723"/>
      <c r="W1723"/>
      <c r="X1723"/>
    </row>
    <row r="1724" spans="5:24" x14ac:dyDescent="0.3">
      <c r="E1724" s="173"/>
      <c r="F1724" s="173"/>
      <c r="I1724"/>
      <c r="J1724"/>
      <c r="K1724"/>
      <c r="L1724"/>
      <c r="M1724"/>
      <c r="N1724"/>
      <c r="O1724"/>
      <c r="P1724" s="225"/>
      <c r="Q1724" s="225"/>
      <c r="R1724"/>
      <c r="S1724"/>
      <c r="T1724"/>
      <c r="U1724"/>
      <c r="V1724"/>
      <c r="W1724"/>
      <c r="X1724"/>
    </row>
    <row r="1725" spans="5:24" x14ac:dyDescent="0.3">
      <c r="E1725" s="173"/>
      <c r="F1725" s="173"/>
      <c r="I1725"/>
      <c r="J1725"/>
      <c r="K1725"/>
      <c r="L1725"/>
      <c r="M1725"/>
      <c r="N1725"/>
      <c r="O1725"/>
      <c r="P1725" s="225"/>
      <c r="Q1725" s="225"/>
      <c r="R1725"/>
      <c r="S1725"/>
      <c r="T1725"/>
      <c r="U1725"/>
      <c r="V1725"/>
      <c r="W1725"/>
      <c r="X1725"/>
    </row>
    <row r="1726" spans="5:24" x14ac:dyDescent="0.3">
      <c r="E1726" s="173"/>
      <c r="F1726" s="173"/>
      <c r="I1726"/>
      <c r="J1726"/>
      <c r="K1726"/>
      <c r="L1726"/>
      <c r="M1726"/>
      <c r="N1726"/>
      <c r="O1726"/>
      <c r="P1726" s="225"/>
      <c r="Q1726" s="225"/>
      <c r="R1726"/>
      <c r="S1726"/>
      <c r="T1726"/>
      <c r="U1726"/>
      <c r="V1726"/>
      <c r="W1726"/>
      <c r="X1726"/>
    </row>
    <row r="1727" spans="5:24" x14ac:dyDescent="0.3">
      <c r="E1727" s="173"/>
      <c r="F1727" s="173"/>
      <c r="I1727"/>
      <c r="J1727"/>
      <c r="K1727"/>
      <c r="L1727"/>
      <c r="M1727"/>
      <c r="N1727"/>
      <c r="O1727"/>
      <c r="P1727" s="225"/>
      <c r="Q1727" s="225"/>
      <c r="R1727"/>
      <c r="S1727"/>
      <c r="T1727"/>
      <c r="U1727"/>
      <c r="V1727"/>
      <c r="W1727"/>
      <c r="X1727"/>
    </row>
    <row r="1728" spans="5:24" x14ac:dyDescent="0.3">
      <c r="E1728" s="173"/>
      <c r="F1728" s="173"/>
      <c r="I1728"/>
      <c r="J1728"/>
      <c r="K1728"/>
      <c r="L1728"/>
      <c r="M1728"/>
      <c r="N1728"/>
      <c r="O1728"/>
      <c r="P1728" s="225"/>
      <c r="Q1728" s="225"/>
      <c r="R1728"/>
      <c r="S1728"/>
      <c r="T1728"/>
      <c r="U1728"/>
      <c r="V1728"/>
      <c r="W1728"/>
      <c r="X1728"/>
    </row>
    <row r="1729" spans="5:24" x14ac:dyDescent="0.3">
      <c r="E1729" s="173"/>
      <c r="F1729" s="173"/>
      <c r="I1729"/>
      <c r="J1729"/>
      <c r="K1729"/>
      <c r="L1729"/>
      <c r="M1729"/>
      <c r="N1729"/>
      <c r="O1729"/>
      <c r="P1729" s="225"/>
      <c r="Q1729" s="225"/>
      <c r="R1729"/>
      <c r="S1729"/>
      <c r="T1729"/>
      <c r="U1729"/>
      <c r="V1729"/>
      <c r="W1729"/>
      <c r="X1729"/>
    </row>
    <row r="1730" spans="5:24" x14ac:dyDescent="0.3">
      <c r="E1730" s="173"/>
      <c r="F1730" s="173"/>
      <c r="I1730"/>
      <c r="J1730"/>
      <c r="K1730"/>
      <c r="L1730"/>
      <c r="M1730"/>
      <c r="N1730"/>
      <c r="O1730"/>
      <c r="P1730" s="225"/>
      <c r="Q1730" s="225"/>
      <c r="R1730"/>
      <c r="S1730"/>
      <c r="T1730"/>
      <c r="U1730"/>
      <c r="V1730"/>
      <c r="W1730"/>
      <c r="X1730"/>
    </row>
    <row r="1731" spans="5:24" x14ac:dyDescent="0.3">
      <c r="E1731" s="173"/>
      <c r="F1731" s="173"/>
      <c r="I1731"/>
      <c r="J1731"/>
      <c r="K1731"/>
      <c r="L1731"/>
      <c r="M1731"/>
      <c r="N1731"/>
      <c r="O1731"/>
      <c r="P1731" s="225"/>
      <c r="Q1731" s="225"/>
      <c r="R1731"/>
      <c r="S1731"/>
      <c r="T1731"/>
      <c r="U1731"/>
      <c r="V1731"/>
      <c r="W1731"/>
      <c r="X1731"/>
    </row>
    <row r="1732" spans="5:24" x14ac:dyDescent="0.3">
      <c r="E1732" s="173"/>
      <c r="F1732" s="173"/>
      <c r="I1732"/>
      <c r="J1732"/>
      <c r="K1732"/>
      <c r="L1732"/>
      <c r="M1732"/>
      <c r="N1732"/>
      <c r="O1732"/>
      <c r="P1732" s="225"/>
      <c r="Q1732" s="225"/>
      <c r="R1732"/>
      <c r="S1732"/>
      <c r="T1732"/>
      <c r="U1732"/>
      <c r="V1732"/>
      <c r="W1732"/>
      <c r="X1732"/>
    </row>
    <row r="1733" spans="5:24" x14ac:dyDescent="0.3">
      <c r="E1733" s="173"/>
      <c r="F1733" s="173"/>
      <c r="I1733"/>
      <c r="J1733"/>
      <c r="K1733"/>
      <c r="L1733"/>
      <c r="M1733"/>
      <c r="N1733"/>
      <c r="O1733"/>
      <c r="P1733" s="225"/>
      <c r="Q1733" s="225"/>
      <c r="R1733"/>
      <c r="S1733"/>
      <c r="T1733"/>
      <c r="U1733"/>
      <c r="V1733"/>
      <c r="W1733"/>
      <c r="X1733"/>
    </row>
    <row r="1734" spans="5:24" x14ac:dyDescent="0.3">
      <c r="E1734" s="173"/>
      <c r="F1734" s="173"/>
      <c r="I1734"/>
      <c r="J1734"/>
      <c r="K1734"/>
      <c r="L1734"/>
      <c r="M1734"/>
      <c r="N1734"/>
      <c r="O1734"/>
      <c r="P1734" s="225"/>
      <c r="Q1734" s="225"/>
      <c r="R1734"/>
      <c r="S1734"/>
      <c r="T1734"/>
      <c r="U1734"/>
      <c r="V1734"/>
      <c r="W1734"/>
      <c r="X1734"/>
    </row>
    <row r="1735" spans="5:24" x14ac:dyDescent="0.3">
      <c r="E1735" s="173"/>
      <c r="F1735" s="173"/>
      <c r="I1735"/>
      <c r="J1735"/>
      <c r="K1735"/>
      <c r="L1735"/>
      <c r="M1735"/>
      <c r="N1735"/>
      <c r="O1735"/>
      <c r="P1735" s="225"/>
      <c r="Q1735" s="225"/>
      <c r="R1735"/>
      <c r="S1735"/>
      <c r="T1735"/>
      <c r="U1735"/>
      <c r="V1735"/>
      <c r="W1735"/>
      <c r="X1735"/>
    </row>
    <row r="1736" spans="5:24" x14ac:dyDescent="0.3">
      <c r="E1736" s="173"/>
      <c r="F1736" s="173"/>
      <c r="I1736"/>
      <c r="J1736"/>
      <c r="K1736"/>
      <c r="L1736"/>
      <c r="M1736"/>
      <c r="N1736"/>
      <c r="O1736"/>
      <c r="P1736" s="225"/>
      <c r="Q1736" s="225"/>
      <c r="R1736"/>
      <c r="S1736"/>
      <c r="T1736"/>
      <c r="U1736"/>
      <c r="V1736"/>
      <c r="W1736"/>
      <c r="X1736"/>
    </row>
    <row r="1737" spans="5:24" x14ac:dyDescent="0.3">
      <c r="E1737" s="173"/>
      <c r="F1737" s="173"/>
      <c r="I1737"/>
      <c r="J1737"/>
      <c r="K1737"/>
      <c r="L1737"/>
      <c r="M1737"/>
      <c r="N1737"/>
      <c r="O1737"/>
      <c r="P1737" s="225"/>
      <c r="Q1737" s="225"/>
      <c r="R1737"/>
      <c r="S1737"/>
      <c r="T1737"/>
      <c r="U1737"/>
      <c r="V1737"/>
      <c r="W1737"/>
      <c r="X1737"/>
    </row>
    <row r="1738" spans="5:24" x14ac:dyDescent="0.3">
      <c r="E1738" s="173"/>
      <c r="F1738" s="173"/>
      <c r="I1738"/>
      <c r="J1738"/>
      <c r="K1738"/>
      <c r="L1738"/>
      <c r="M1738"/>
      <c r="N1738"/>
      <c r="O1738"/>
      <c r="P1738" s="225"/>
      <c r="Q1738" s="225"/>
      <c r="R1738"/>
      <c r="S1738"/>
      <c r="T1738"/>
      <c r="U1738"/>
      <c r="V1738"/>
      <c r="W1738"/>
      <c r="X1738"/>
    </row>
    <row r="1739" spans="5:24" x14ac:dyDescent="0.3">
      <c r="E1739" s="173"/>
      <c r="F1739" s="173"/>
      <c r="I1739"/>
      <c r="J1739"/>
      <c r="K1739"/>
      <c r="L1739"/>
      <c r="M1739"/>
      <c r="N1739"/>
      <c r="O1739"/>
      <c r="P1739" s="225"/>
      <c r="Q1739" s="225"/>
      <c r="R1739"/>
      <c r="S1739"/>
      <c r="T1739"/>
      <c r="U1739"/>
      <c r="V1739"/>
      <c r="W1739"/>
      <c r="X1739"/>
    </row>
    <row r="1740" spans="5:24" x14ac:dyDescent="0.3">
      <c r="E1740" s="173"/>
      <c r="F1740" s="173"/>
      <c r="I1740"/>
      <c r="J1740"/>
      <c r="K1740"/>
      <c r="L1740"/>
      <c r="M1740"/>
      <c r="N1740"/>
      <c r="O1740"/>
      <c r="P1740" s="225"/>
      <c r="Q1740" s="225"/>
      <c r="R1740"/>
      <c r="S1740"/>
      <c r="T1740"/>
      <c r="U1740"/>
      <c r="V1740"/>
      <c r="W1740"/>
      <c r="X1740"/>
    </row>
    <row r="1741" spans="5:24" x14ac:dyDescent="0.3">
      <c r="E1741" s="173"/>
      <c r="F1741" s="173"/>
      <c r="I1741"/>
      <c r="J1741"/>
      <c r="K1741"/>
      <c r="L1741"/>
      <c r="M1741"/>
      <c r="N1741"/>
      <c r="O1741"/>
      <c r="P1741" s="225"/>
      <c r="Q1741" s="225"/>
      <c r="R1741"/>
      <c r="S1741"/>
      <c r="T1741"/>
      <c r="U1741"/>
      <c r="V1741"/>
      <c r="W1741"/>
      <c r="X1741"/>
    </row>
    <row r="1742" spans="5:24" x14ac:dyDescent="0.3">
      <c r="E1742" s="173"/>
      <c r="F1742" s="173"/>
      <c r="I1742"/>
      <c r="J1742"/>
      <c r="K1742"/>
      <c r="L1742"/>
      <c r="M1742"/>
      <c r="N1742"/>
      <c r="O1742"/>
      <c r="P1742" s="225"/>
      <c r="Q1742" s="225"/>
      <c r="R1742"/>
      <c r="S1742"/>
      <c r="T1742"/>
      <c r="U1742"/>
      <c r="V1742"/>
      <c r="W1742"/>
      <c r="X1742"/>
    </row>
    <row r="1743" spans="5:24" x14ac:dyDescent="0.3">
      <c r="E1743" s="173"/>
      <c r="F1743" s="173"/>
      <c r="I1743"/>
      <c r="J1743"/>
      <c r="K1743"/>
      <c r="L1743"/>
      <c r="M1743"/>
      <c r="N1743"/>
      <c r="O1743"/>
      <c r="P1743" s="225"/>
      <c r="Q1743" s="225"/>
      <c r="R1743"/>
      <c r="S1743"/>
      <c r="T1743"/>
      <c r="U1743"/>
      <c r="V1743"/>
      <c r="W1743"/>
      <c r="X1743"/>
    </row>
    <row r="1744" spans="5:24" x14ac:dyDescent="0.3">
      <c r="E1744" s="173"/>
      <c r="F1744" s="173"/>
      <c r="I1744"/>
      <c r="J1744"/>
      <c r="K1744"/>
      <c r="L1744"/>
      <c r="M1744"/>
      <c r="N1744"/>
      <c r="O1744"/>
      <c r="P1744" s="225"/>
      <c r="Q1744" s="225"/>
      <c r="R1744"/>
      <c r="S1744"/>
      <c r="T1744"/>
      <c r="U1744"/>
      <c r="V1744"/>
      <c r="W1744"/>
      <c r="X1744"/>
    </row>
    <row r="1745" spans="5:24" x14ac:dyDescent="0.3">
      <c r="E1745" s="173"/>
      <c r="F1745" s="173"/>
      <c r="I1745"/>
      <c r="J1745"/>
      <c r="K1745"/>
      <c r="L1745"/>
      <c r="M1745"/>
      <c r="N1745"/>
      <c r="O1745"/>
      <c r="P1745" s="225"/>
      <c r="Q1745" s="225"/>
      <c r="R1745"/>
      <c r="S1745"/>
      <c r="T1745"/>
      <c r="U1745"/>
      <c r="V1745"/>
      <c r="W1745"/>
      <c r="X1745"/>
    </row>
    <row r="1746" spans="5:24" x14ac:dyDescent="0.3">
      <c r="E1746" s="173"/>
      <c r="F1746" s="173"/>
      <c r="I1746"/>
      <c r="J1746"/>
      <c r="K1746"/>
      <c r="L1746"/>
      <c r="M1746"/>
      <c r="N1746"/>
      <c r="O1746"/>
      <c r="P1746" s="225"/>
      <c r="Q1746" s="225"/>
      <c r="R1746"/>
      <c r="S1746"/>
      <c r="T1746"/>
      <c r="U1746"/>
      <c r="V1746"/>
      <c r="W1746"/>
      <c r="X1746"/>
    </row>
    <row r="1747" spans="5:24" x14ac:dyDescent="0.3">
      <c r="E1747" s="173"/>
      <c r="F1747" s="173"/>
      <c r="I1747"/>
      <c r="J1747"/>
      <c r="K1747"/>
      <c r="L1747"/>
      <c r="M1747"/>
      <c r="N1747"/>
      <c r="O1747"/>
      <c r="P1747" s="225"/>
      <c r="Q1747" s="225"/>
      <c r="R1747"/>
      <c r="S1747"/>
      <c r="T1747"/>
      <c r="U1747"/>
      <c r="V1747"/>
      <c r="W1747"/>
      <c r="X1747"/>
    </row>
    <row r="1748" spans="5:24" x14ac:dyDescent="0.3">
      <c r="E1748" s="173"/>
      <c r="F1748" s="173"/>
      <c r="I1748"/>
      <c r="J1748"/>
      <c r="K1748"/>
      <c r="L1748"/>
      <c r="M1748"/>
      <c r="N1748"/>
      <c r="O1748"/>
      <c r="P1748" s="225"/>
      <c r="Q1748" s="225"/>
      <c r="R1748"/>
      <c r="S1748"/>
      <c r="T1748"/>
      <c r="U1748"/>
      <c r="V1748"/>
      <c r="W1748"/>
      <c r="X1748"/>
    </row>
    <row r="1749" spans="5:24" x14ac:dyDescent="0.3">
      <c r="E1749" s="173"/>
      <c r="F1749" s="173"/>
      <c r="I1749"/>
      <c r="J1749"/>
      <c r="K1749"/>
      <c r="L1749"/>
      <c r="M1749"/>
      <c r="N1749"/>
      <c r="O1749"/>
      <c r="P1749" s="225"/>
      <c r="Q1749" s="225"/>
      <c r="R1749"/>
      <c r="S1749"/>
      <c r="T1749"/>
      <c r="U1749"/>
      <c r="V1749"/>
      <c r="W1749"/>
      <c r="X1749"/>
    </row>
    <row r="1750" spans="5:24" x14ac:dyDescent="0.3">
      <c r="E1750" s="173"/>
      <c r="F1750" s="173"/>
      <c r="I1750"/>
      <c r="J1750"/>
      <c r="K1750"/>
      <c r="L1750"/>
      <c r="M1750"/>
      <c r="N1750"/>
      <c r="O1750"/>
      <c r="P1750" s="225"/>
      <c r="Q1750" s="225"/>
      <c r="R1750"/>
      <c r="S1750"/>
      <c r="T1750"/>
      <c r="U1750"/>
      <c r="V1750"/>
      <c r="W1750"/>
      <c r="X1750"/>
    </row>
    <row r="1751" spans="5:24" x14ac:dyDescent="0.3">
      <c r="E1751" s="173"/>
      <c r="F1751" s="173"/>
      <c r="I1751"/>
      <c r="J1751"/>
      <c r="K1751"/>
      <c r="L1751"/>
      <c r="M1751"/>
      <c r="N1751"/>
      <c r="O1751"/>
      <c r="P1751" s="225"/>
      <c r="Q1751" s="225"/>
      <c r="R1751"/>
      <c r="S1751"/>
      <c r="T1751"/>
      <c r="U1751"/>
      <c r="V1751"/>
      <c r="W1751"/>
      <c r="X1751"/>
    </row>
    <row r="1752" spans="5:24" x14ac:dyDescent="0.3">
      <c r="E1752" s="173"/>
      <c r="F1752" s="173"/>
      <c r="I1752"/>
      <c r="J1752"/>
      <c r="K1752"/>
      <c r="L1752"/>
      <c r="M1752"/>
      <c r="N1752"/>
      <c r="O1752"/>
      <c r="P1752" s="225"/>
      <c r="Q1752" s="225"/>
      <c r="R1752"/>
      <c r="S1752"/>
      <c r="T1752"/>
      <c r="U1752"/>
      <c r="V1752"/>
      <c r="W1752"/>
      <c r="X1752"/>
    </row>
    <row r="1753" spans="5:24" x14ac:dyDescent="0.3">
      <c r="E1753" s="173"/>
      <c r="F1753" s="173"/>
      <c r="I1753"/>
      <c r="J1753"/>
      <c r="K1753"/>
      <c r="L1753"/>
      <c r="M1753"/>
      <c r="N1753"/>
      <c r="O1753"/>
      <c r="P1753" s="225"/>
      <c r="Q1753" s="225"/>
      <c r="R1753"/>
      <c r="S1753"/>
      <c r="T1753"/>
      <c r="U1753"/>
      <c r="V1753"/>
      <c r="W1753"/>
      <c r="X1753"/>
    </row>
    <row r="1754" spans="5:24" x14ac:dyDescent="0.3">
      <c r="E1754" s="173"/>
      <c r="F1754" s="173"/>
      <c r="I1754"/>
      <c r="J1754"/>
      <c r="K1754"/>
      <c r="L1754"/>
      <c r="M1754"/>
      <c r="N1754"/>
      <c r="O1754"/>
      <c r="P1754" s="225"/>
      <c r="Q1754" s="225"/>
      <c r="R1754"/>
      <c r="S1754"/>
      <c r="T1754"/>
      <c r="U1754"/>
      <c r="V1754"/>
      <c r="W1754"/>
      <c r="X1754"/>
    </row>
    <row r="1755" spans="5:24" x14ac:dyDescent="0.3">
      <c r="E1755" s="173"/>
      <c r="F1755" s="173"/>
      <c r="I1755"/>
      <c r="J1755"/>
      <c r="K1755"/>
      <c r="L1755"/>
      <c r="M1755"/>
      <c r="N1755"/>
      <c r="O1755"/>
      <c r="P1755" s="225"/>
      <c r="Q1755" s="225"/>
      <c r="R1755"/>
      <c r="S1755"/>
      <c r="T1755"/>
      <c r="U1755"/>
      <c r="V1755"/>
      <c r="W1755"/>
      <c r="X1755"/>
    </row>
    <row r="1756" spans="5:24" x14ac:dyDescent="0.3">
      <c r="E1756" s="173"/>
      <c r="F1756" s="173"/>
      <c r="I1756"/>
      <c r="J1756"/>
      <c r="K1756"/>
      <c r="L1756"/>
      <c r="M1756"/>
      <c r="N1756"/>
      <c r="O1756"/>
      <c r="P1756" s="225"/>
      <c r="Q1756" s="225"/>
      <c r="R1756"/>
      <c r="S1756"/>
      <c r="T1756"/>
      <c r="U1756"/>
      <c r="V1756"/>
      <c r="W1756"/>
      <c r="X1756"/>
    </row>
    <row r="1757" spans="5:24" x14ac:dyDescent="0.3">
      <c r="E1757" s="173"/>
      <c r="F1757" s="173"/>
      <c r="I1757"/>
      <c r="J1757"/>
      <c r="K1757"/>
      <c r="L1757"/>
      <c r="M1757"/>
      <c r="N1757"/>
      <c r="O1757"/>
      <c r="P1757" s="225"/>
      <c r="Q1757" s="225"/>
      <c r="R1757"/>
      <c r="S1757"/>
      <c r="T1757"/>
      <c r="U1757"/>
      <c r="V1757"/>
      <c r="W1757"/>
      <c r="X1757"/>
    </row>
    <row r="1758" spans="5:24" x14ac:dyDescent="0.3">
      <c r="E1758" s="173"/>
      <c r="F1758" s="173"/>
      <c r="I1758"/>
      <c r="J1758"/>
      <c r="K1758"/>
      <c r="L1758"/>
      <c r="M1758"/>
      <c r="N1758"/>
      <c r="O1758"/>
      <c r="P1758" s="225"/>
      <c r="Q1758" s="225"/>
      <c r="R1758"/>
      <c r="S1758"/>
      <c r="T1758"/>
      <c r="U1758"/>
      <c r="V1758"/>
      <c r="W1758"/>
      <c r="X1758"/>
    </row>
    <row r="1759" spans="5:24" x14ac:dyDescent="0.3">
      <c r="E1759" s="173"/>
      <c r="F1759" s="173"/>
      <c r="I1759"/>
      <c r="J1759"/>
      <c r="K1759"/>
      <c r="L1759"/>
      <c r="M1759"/>
      <c r="N1759"/>
      <c r="O1759"/>
      <c r="P1759" s="225"/>
      <c r="Q1759" s="225"/>
      <c r="R1759"/>
      <c r="S1759"/>
      <c r="T1759"/>
      <c r="U1759"/>
      <c r="V1759"/>
      <c r="W1759"/>
      <c r="X1759"/>
    </row>
    <row r="1760" spans="5:24" x14ac:dyDescent="0.3">
      <c r="E1760" s="173"/>
      <c r="F1760" s="173"/>
      <c r="I1760"/>
      <c r="J1760"/>
      <c r="K1760"/>
      <c r="L1760"/>
      <c r="M1760"/>
      <c r="N1760"/>
      <c r="O1760"/>
      <c r="P1760" s="225"/>
      <c r="Q1760" s="225"/>
      <c r="R1760"/>
      <c r="S1760"/>
      <c r="T1760"/>
      <c r="U1760"/>
      <c r="V1760"/>
      <c r="W1760"/>
      <c r="X1760"/>
    </row>
    <row r="1761" spans="5:24" x14ac:dyDescent="0.3">
      <c r="E1761" s="173"/>
      <c r="F1761" s="173"/>
      <c r="I1761"/>
      <c r="J1761"/>
      <c r="K1761"/>
      <c r="L1761"/>
      <c r="M1761"/>
      <c r="N1761"/>
      <c r="O1761"/>
      <c r="P1761" s="225"/>
      <c r="Q1761" s="225"/>
      <c r="R1761"/>
      <c r="S1761"/>
      <c r="T1761"/>
      <c r="U1761"/>
      <c r="V1761"/>
      <c r="W1761"/>
      <c r="X1761"/>
    </row>
    <row r="1762" spans="5:24" x14ac:dyDescent="0.3">
      <c r="E1762" s="173"/>
      <c r="F1762" s="173"/>
      <c r="I1762"/>
      <c r="J1762"/>
      <c r="K1762"/>
      <c r="L1762"/>
      <c r="M1762"/>
      <c r="N1762"/>
      <c r="O1762"/>
      <c r="P1762" s="225"/>
      <c r="Q1762" s="225"/>
      <c r="R1762"/>
      <c r="S1762"/>
      <c r="T1762"/>
      <c r="U1762"/>
      <c r="V1762"/>
      <c r="W1762"/>
      <c r="X1762"/>
    </row>
    <row r="1763" spans="5:24" x14ac:dyDescent="0.3">
      <c r="E1763" s="173"/>
      <c r="F1763" s="173"/>
      <c r="I1763"/>
      <c r="J1763"/>
      <c r="K1763"/>
      <c r="L1763"/>
      <c r="M1763"/>
      <c r="N1763"/>
      <c r="O1763"/>
      <c r="P1763" s="225"/>
      <c r="Q1763" s="225"/>
      <c r="R1763"/>
      <c r="S1763"/>
      <c r="T1763"/>
      <c r="U1763"/>
      <c r="V1763"/>
      <c r="W1763"/>
      <c r="X1763"/>
    </row>
    <row r="1764" spans="5:24" x14ac:dyDescent="0.3">
      <c r="E1764" s="173"/>
      <c r="F1764" s="173"/>
      <c r="I1764"/>
      <c r="J1764"/>
      <c r="K1764"/>
      <c r="L1764"/>
      <c r="M1764"/>
      <c r="N1764"/>
      <c r="O1764"/>
      <c r="P1764" s="225"/>
      <c r="Q1764" s="225"/>
      <c r="R1764"/>
      <c r="S1764"/>
      <c r="T1764"/>
      <c r="U1764"/>
      <c r="V1764"/>
      <c r="W1764"/>
      <c r="X1764"/>
    </row>
    <row r="1765" spans="5:24" x14ac:dyDescent="0.3">
      <c r="E1765" s="173"/>
      <c r="F1765" s="173"/>
      <c r="I1765"/>
      <c r="J1765"/>
      <c r="K1765"/>
      <c r="L1765"/>
      <c r="M1765"/>
      <c r="N1765"/>
      <c r="O1765"/>
      <c r="P1765" s="225"/>
      <c r="Q1765" s="225"/>
      <c r="R1765"/>
      <c r="S1765"/>
      <c r="T1765"/>
      <c r="U1765"/>
      <c r="V1765"/>
      <c r="W1765"/>
      <c r="X1765"/>
    </row>
    <row r="1766" spans="5:24" x14ac:dyDescent="0.3">
      <c r="E1766" s="173"/>
      <c r="F1766" s="173"/>
      <c r="I1766"/>
      <c r="J1766"/>
      <c r="K1766"/>
      <c r="L1766"/>
      <c r="M1766"/>
      <c r="N1766"/>
      <c r="O1766"/>
      <c r="P1766" s="225"/>
      <c r="Q1766" s="225"/>
      <c r="R1766"/>
      <c r="S1766"/>
      <c r="T1766"/>
      <c r="U1766"/>
      <c r="V1766"/>
      <c r="W1766"/>
      <c r="X1766"/>
    </row>
    <row r="1767" spans="5:24" x14ac:dyDescent="0.3">
      <c r="E1767" s="173"/>
      <c r="F1767" s="173"/>
      <c r="I1767"/>
      <c r="J1767"/>
      <c r="K1767"/>
      <c r="L1767"/>
      <c r="M1767"/>
      <c r="N1767"/>
      <c r="O1767"/>
      <c r="P1767" s="225"/>
      <c r="Q1767" s="225"/>
      <c r="R1767"/>
      <c r="S1767"/>
      <c r="T1767"/>
      <c r="U1767"/>
      <c r="V1767"/>
      <c r="W1767"/>
      <c r="X1767"/>
    </row>
    <row r="1768" spans="5:24" x14ac:dyDescent="0.3">
      <c r="E1768" s="173"/>
      <c r="F1768" s="173"/>
      <c r="I1768"/>
      <c r="J1768"/>
      <c r="K1768"/>
      <c r="L1768"/>
      <c r="M1768"/>
      <c r="N1768"/>
      <c r="O1768"/>
      <c r="P1768" s="225"/>
      <c r="Q1768" s="225"/>
      <c r="R1768"/>
      <c r="S1768"/>
      <c r="T1768"/>
      <c r="U1768"/>
      <c r="V1768"/>
      <c r="W1768"/>
      <c r="X1768"/>
    </row>
    <row r="1769" spans="5:24" x14ac:dyDescent="0.3">
      <c r="E1769" s="173"/>
      <c r="F1769" s="173"/>
      <c r="I1769"/>
      <c r="J1769"/>
      <c r="K1769"/>
      <c r="L1769"/>
      <c r="M1769"/>
      <c r="N1769"/>
      <c r="O1769"/>
      <c r="P1769" s="225"/>
      <c r="Q1769" s="225"/>
      <c r="R1769"/>
      <c r="S1769"/>
      <c r="T1769"/>
      <c r="U1769"/>
      <c r="V1769"/>
      <c r="W1769"/>
      <c r="X1769"/>
    </row>
    <row r="1770" spans="5:24" x14ac:dyDescent="0.3">
      <c r="E1770" s="173"/>
      <c r="F1770" s="173"/>
      <c r="I1770"/>
      <c r="J1770"/>
      <c r="K1770"/>
      <c r="L1770"/>
      <c r="M1770"/>
      <c r="N1770"/>
      <c r="O1770"/>
      <c r="P1770" s="225"/>
      <c r="Q1770" s="225"/>
      <c r="R1770"/>
      <c r="S1770"/>
      <c r="T1770"/>
      <c r="U1770"/>
      <c r="V1770"/>
      <c r="W1770"/>
      <c r="X1770"/>
    </row>
    <row r="1771" spans="5:24" x14ac:dyDescent="0.3">
      <c r="E1771" s="173"/>
      <c r="F1771" s="173"/>
      <c r="I1771"/>
      <c r="J1771"/>
      <c r="K1771"/>
      <c r="L1771"/>
      <c r="M1771"/>
      <c r="N1771"/>
      <c r="O1771"/>
      <c r="P1771" s="225"/>
      <c r="Q1771" s="225"/>
      <c r="R1771"/>
      <c r="S1771"/>
      <c r="T1771"/>
      <c r="U1771"/>
      <c r="V1771"/>
      <c r="W1771"/>
      <c r="X1771"/>
    </row>
    <row r="1772" spans="5:24" x14ac:dyDescent="0.3">
      <c r="E1772" s="173"/>
      <c r="F1772" s="173"/>
      <c r="I1772"/>
      <c r="J1772"/>
      <c r="K1772"/>
      <c r="L1772"/>
      <c r="M1772"/>
      <c r="N1772"/>
      <c r="O1772"/>
      <c r="P1772" s="225"/>
      <c r="Q1772" s="225"/>
      <c r="R1772"/>
      <c r="S1772"/>
      <c r="T1772"/>
      <c r="U1772"/>
      <c r="V1772"/>
      <c r="W1772"/>
      <c r="X1772"/>
    </row>
    <row r="1773" spans="5:24" x14ac:dyDescent="0.3">
      <c r="E1773" s="173"/>
      <c r="F1773" s="173"/>
      <c r="I1773"/>
      <c r="J1773"/>
      <c r="K1773"/>
      <c r="L1773"/>
      <c r="M1773"/>
      <c r="N1773"/>
      <c r="O1773"/>
      <c r="P1773" s="225"/>
      <c r="Q1773" s="225"/>
      <c r="R1773"/>
      <c r="S1773"/>
      <c r="T1773"/>
      <c r="U1773"/>
      <c r="V1773"/>
      <c r="W1773"/>
      <c r="X1773"/>
    </row>
    <row r="1774" spans="5:24" x14ac:dyDescent="0.3">
      <c r="E1774" s="173"/>
      <c r="F1774" s="173"/>
      <c r="I1774"/>
      <c r="J1774"/>
      <c r="K1774"/>
      <c r="L1774"/>
      <c r="M1774"/>
      <c r="N1774"/>
      <c r="O1774"/>
      <c r="P1774" s="225"/>
      <c r="Q1774" s="225"/>
      <c r="R1774"/>
      <c r="S1774"/>
      <c r="T1774"/>
      <c r="U1774"/>
      <c r="V1774"/>
      <c r="W1774"/>
      <c r="X1774"/>
    </row>
    <row r="1775" spans="5:24" x14ac:dyDescent="0.3">
      <c r="E1775" s="173"/>
      <c r="F1775" s="173"/>
      <c r="I1775"/>
      <c r="J1775"/>
      <c r="K1775"/>
      <c r="L1775"/>
      <c r="M1775"/>
      <c r="N1775"/>
      <c r="O1775"/>
      <c r="P1775" s="225"/>
      <c r="Q1775" s="225"/>
      <c r="R1775"/>
      <c r="S1775"/>
      <c r="T1775"/>
      <c r="U1775"/>
      <c r="V1775"/>
      <c r="W1775"/>
      <c r="X1775"/>
    </row>
    <row r="1776" spans="5:24" x14ac:dyDescent="0.3">
      <c r="E1776" s="173"/>
      <c r="F1776" s="173"/>
      <c r="I1776"/>
      <c r="J1776"/>
      <c r="K1776"/>
      <c r="L1776"/>
      <c r="M1776"/>
      <c r="N1776"/>
      <c r="O1776"/>
      <c r="P1776" s="225"/>
      <c r="Q1776" s="225"/>
      <c r="R1776"/>
      <c r="S1776"/>
      <c r="T1776"/>
      <c r="U1776"/>
      <c r="V1776"/>
      <c r="W1776"/>
      <c r="X1776"/>
    </row>
    <row r="1777" spans="5:24" x14ac:dyDescent="0.3">
      <c r="E1777" s="173"/>
      <c r="F1777" s="173"/>
      <c r="I1777"/>
      <c r="J1777"/>
      <c r="K1777"/>
      <c r="L1777"/>
      <c r="M1777"/>
      <c r="N1777"/>
      <c r="O1777"/>
      <c r="P1777" s="225"/>
      <c r="Q1777" s="225"/>
      <c r="R1777"/>
      <c r="S1777"/>
      <c r="T1777"/>
      <c r="U1777"/>
      <c r="V1777"/>
      <c r="W1777"/>
      <c r="X1777"/>
    </row>
    <row r="1778" spans="5:24" x14ac:dyDescent="0.3">
      <c r="E1778" s="173"/>
      <c r="F1778" s="173"/>
      <c r="I1778"/>
      <c r="J1778"/>
      <c r="K1778"/>
      <c r="L1778"/>
      <c r="M1778"/>
      <c r="N1778"/>
      <c r="O1778"/>
      <c r="P1778" s="225"/>
      <c r="Q1778" s="225"/>
      <c r="R1778"/>
      <c r="S1778"/>
      <c r="T1778"/>
      <c r="U1778"/>
      <c r="V1778"/>
      <c r="W1778"/>
      <c r="X1778"/>
    </row>
    <row r="1779" spans="5:24" x14ac:dyDescent="0.3">
      <c r="E1779" s="173"/>
      <c r="F1779" s="173"/>
      <c r="I1779"/>
      <c r="J1779"/>
      <c r="K1779"/>
      <c r="L1779"/>
      <c r="M1779"/>
      <c r="N1779"/>
      <c r="O1779"/>
      <c r="P1779" s="225"/>
      <c r="Q1779" s="225"/>
      <c r="R1779"/>
      <c r="S1779"/>
      <c r="T1779"/>
      <c r="U1779"/>
      <c r="V1779"/>
      <c r="W1779"/>
      <c r="X1779"/>
    </row>
    <row r="1780" spans="5:24" x14ac:dyDescent="0.3">
      <c r="E1780" s="173"/>
      <c r="F1780" s="173"/>
      <c r="I1780"/>
      <c r="J1780"/>
      <c r="K1780"/>
      <c r="L1780"/>
      <c r="M1780"/>
      <c r="N1780"/>
      <c r="O1780"/>
      <c r="P1780" s="225"/>
      <c r="Q1780" s="225"/>
      <c r="R1780"/>
      <c r="S1780"/>
      <c r="T1780"/>
      <c r="U1780"/>
      <c r="V1780"/>
      <c r="W1780"/>
      <c r="X1780"/>
    </row>
    <row r="1781" spans="5:24" x14ac:dyDescent="0.3">
      <c r="E1781" s="173"/>
      <c r="F1781" s="173"/>
      <c r="I1781"/>
      <c r="J1781"/>
      <c r="K1781"/>
      <c r="L1781"/>
      <c r="M1781"/>
      <c r="N1781"/>
      <c r="O1781"/>
      <c r="P1781" s="225"/>
      <c r="Q1781" s="225"/>
      <c r="R1781"/>
      <c r="S1781"/>
      <c r="T1781"/>
      <c r="U1781"/>
      <c r="V1781"/>
      <c r="W1781"/>
      <c r="X1781"/>
    </row>
    <row r="1782" spans="5:24" x14ac:dyDescent="0.3">
      <c r="E1782" s="173"/>
      <c r="F1782" s="173"/>
      <c r="I1782"/>
      <c r="J1782"/>
      <c r="K1782"/>
      <c r="L1782"/>
      <c r="M1782"/>
      <c r="N1782"/>
      <c r="O1782"/>
      <c r="P1782" s="225"/>
      <c r="Q1782" s="225"/>
      <c r="R1782"/>
      <c r="S1782"/>
      <c r="T1782"/>
      <c r="U1782"/>
      <c r="V1782"/>
      <c r="W1782"/>
      <c r="X1782"/>
    </row>
    <row r="1783" spans="5:24" x14ac:dyDescent="0.3">
      <c r="E1783" s="173"/>
      <c r="F1783" s="173"/>
      <c r="I1783"/>
      <c r="J1783"/>
      <c r="K1783"/>
      <c r="L1783"/>
      <c r="M1783"/>
      <c r="N1783"/>
      <c r="O1783"/>
      <c r="P1783" s="225"/>
      <c r="Q1783" s="225"/>
      <c r="R1783"/>
      <c r="S1783"/>
      <c r="T1783"/>
      <c r="U1783"/>
      <c r="V1783"/>
      <c r="W1783"/>
      <c r="X1783"/>
    </row>
    <row r="1784" spans="5:24" x14ac:dyDescent="0.3">
      <c r="E1784" s="173"/>
      <c r="F1784" s="173"/>
      <c r="I1784"/>
      <c r="J1784"/>
      <c r="K1784"/>
      <c r="L1784"/>
      <c r="M1784"/>
      <c r="N1784"/>
      <c r="O1784"/>
      <c r="P1784" s="225"/>
      <c r="Q1784" s="225"/>
      <c r="R1784"/>
      <c r="S1784"/>
      <c r="T1784"/>
      <c r="U1784"/>
      <c r="V1784"/>
      <c r="W1784"/>
      <c r="X1784"/>
    </row>
    <row r="1785" spans="5:24" x14ac:dyDescent="0.3">
      <c r="E1785" s="173"/>
      <c r="F1785" s="173"/>
      <c r="I1785"/>
      <c r="J1785"/>
      <c r="K1785"/>
      <c r="L1785"/>
      <c r="M1785"/>
      <c r="N1785"/>
      <c r="O1785"/>
      <c r="P1785" s="225"/>
      <c r="Q1785" s="225"/>
      <c r="R1785"/>
      <c r="S1785"/>
      <c r="T1785"/>
      <c r="U1785"/>
      <c r="V1785"/>
      <c r="W1785"/>
      <c r="X1785"/>
    </row>
    <row r="1786" spans="5:24" x14ac:dyDescent="0.3">
      <c r="E1786" s="173"/>
      <c r="F1786" s="173"/>
      <c r="I1786"/>
      <c r="J1786"/>
      <c r="K1786"/>
      <c r="L1786"/>
      <c r="M1786"/>
      <c r="N1786"/>
      <c r="O1786"/>
      <c r="P1786" s="225"/>
      <c r="Q1786" s="225"/>
      <c r="R1786"/>
      <c r="S1786"/>
      <c r="T1786"/>
      <c r="U1786"/>
      <c r="V1786"/>
      <c r="W1786"/>
      <c r="X1786"/>
    </row>
    <row r="1787" spans="5:24" x14ac:dyDescent="0.3">
      <c r="E1787" s="173"/>
      <c r="F1787" s="173"/>
      <c r="I1787"/>
      <c r="J1787"/>
      <c r="K1787"/>
      <c r="L1787"/>
      <c r="M1787"/>
      <c r="N1787"/>
      <c r="O1787"/>
      <c r="P1787" s="225"/>
      <c r="Q1787" s="225"/>
      <c r="R1787"/>
      <c r="S1787"/>
      <c r="T1787"/>
      <c r="U1787"/>
      <c r="V1787"/>
      <c r="W1787"/>
      <c r="X1787"/>
    </row>
    <row r="1788" spans="5:24" x14ac:dyDescent="0.3">
      <c r="E1788" s="173"/>
      <c r="F1788" s="173"/>
      <c r="I1788"/>
      <c r="J1788"/>
      <c r="K1788"/>
      <c r="L1788"/>
      <c r="M1788"/>
      <c r="N1788"/>
      <c r="O1788"/>
      <c r="P1788" s="225"/>
      <c r="Q1788" s="225"/>
      <c r="R1788"/>
      <c r="S1788"/>
      <c r="T1788"/>
      <c r="U1788"/>
      <c r="V1788"/>
      <c r="W1788"/>
      <c r="X1788"/>
    </row>
    <row r="1789" spans="5:24" x14ac:dyDescent="0.3">
      <c r="E1789" s="173"/>
      <c r="F1789" s="173"/>
      <c r="I1789"/>
      <c r="J1789"/>
      <c r="K1789"/>
      <c r="L1789"/>
      <c r="M1789"/>
      <c r="N1789"/>
      <c r="O1789"/>
      <c r="P1789" s="225"/>
      <c r="Q1789" s="225"/>
      <c r="R1789"/>
      <c r="S1789"/>
      <c r="T1789"/>
      <c r="U1789"/>
      <c r="V1789"/>
      <c r="W1789"/>
      <c r="X1789"/>
    </row>
    <row r="1790" spans="5:24" x14ac:dyDescent="0.3">
      <c r="E1790" s="173"/>
      <c r="F1790" s="173"/>
      <c r="I1790"/>
      <c r="J1790"/>
      <c r="K1790"/>
      <c r="L1790"/>
      <c r="M1790"/>
      <c r="N1790"/>
      <c r="O1790"/>
      <c r="P1790" s="225"/>
      <c r="Q1790" s="225"/>
      <c r="R1790"/>
      <c r="S1790"/>
      <c r="T1790"/>
      <c r="U1790"/>
      <c r="V1790"/>
      <c r="W1790"/>
      <c r="X1790"/>
    </row>
    <row r="1791" spans="5:24" x14ac:dyDescent="0.3">
      <c r="E1791" s="173"/>
      <c r="F1791" s="173"/>
      <c r="I1791"/>
      <c r="J1791"/>
      <c r="K1791"/>
      <c r="L1791"/>
      <c r="M1791"/>
      <c r="N1791"/>
      <c r="O1791"/>
      <c r="P1791" s="225"/>
      <c r="Q1791" s="225"/>
      <c r="R1791"/>
      <c r="S1791"/>
      <c r="T1791"/>
      <c r="U1791"/>
      <c r="V1791"/>
      <c r="W1791"/>
      <c r="X1791"/>
    </row>
    <row r="1792" spans="5:24" x14ac:dyDescent="0.3">
      <c r="E1792" s="173"/>
      <c r="F1792" s="173"/>
      <c r="I1792"/>
      <c r="J1792"/>
      <c r="K1792"/>
      <c r="L1792"/>
      <c r="M1792"/>
      <c r="N1792"/>
      <c r="O1792"/>
      <c r="P1792" s="225"/>
      <c r="Q1792" s="225"/>
      <c r="R1792"/>
      <c r="S1792"/>
      <c r="T1792"/>
      <c r="U1792"/>
      <c r="V1792"/>
      <c r="W1792"/>
      <c r="X1792"/>
    </row>
    <row r="1793" spans="5:24" x14ac:dyDescent="0.3">
      <c r="E1793" s="173"/>
      <c r="F1793" s="173"/>
      <c r="I1793"/>
      <c r="J1793"/>
      <c r="K1793"/>
      <c r="L1793"/>
      <c r="M1793"/>
      <c r="N1793"/>
      <c r="O1793"/>
      <c r="P1793" s="225"/>
      <c r="Q1793" s="225"/>
      <c r="R1793"/>
      <c r="S1793"/>
      <c r="T1793"/>
      <c r="U1793"/>
      <c r="V1793"/>
      <c r="W1793"/>
      <c r="X1793"/>
    </row>
    <row r="1794" spans="5:24" x14ac:dyDescent="0.3">
      <c r="E1794" s="173"/>
      <c r="F1794" s="173"/>
      <c r="I1794"/>
      <c r="J1794"/>
      <c r="K1794"/>
      <c r="L1794"/>
      <c r="M1794"/>
      <c r="N1794"/>
      <c r="O1794"/>
      <c r="P1794" s="225"/>
      <c r="Q1794" s="225"/>
      <c r="R1794"/>
      <c r="S1794"/>
      <c r="T1794"/>
      <c r="U1794"/>
      <c r="V1794"/>
      <c r="W1794"/>
      <c r="X1794"/>
    </row>
    <row r="1795" spans="5:24" x14ac:dyDescent="0.3">
      <c r="E1795" s="173"/>
      <c r="F1795" s="173"/>
      <c r="I1795"/>
      <c r="J1795"/>
      <c r="K1795"/>
      <c r="L1795"/>
      <c r="M1795"/>
      <c r="N1795"/>
      <c r="O1795"/>
      <c r="P1795" s="225"/>
      <c r="Q1795" s="225"/>
      <c r="R1795"/>
      <c r="S1795"/>
      <c r="T1795"/>
      <c r="U1795"/>
      <c r="V1795"/>
      <c r="W1795"/>
      <c r="X1795"/>
    </row>
    <row r="1796" spans="5:24" x14ac:dyDescent="0.3">
      <c r="E1796" s="173"/>
      <c r="F1796" s="173"/>
      <c r="I1796"/>
      <c r="J1796"/>
      <c r="K1796"/>
      <c r="L1796"/>
      <c r="M1796"/>
      <c r="N1796"/>
      <c r="O1796"/>
      <c r="P1796" s="225"/>
      <c r="Q1796" s="225"/>
      <c r="R1796"/>
      <c r="S1796"/>
      <c r="T1796"/>
      <c r="U1796"/>
      <c r="V1796"/>
      <c r="W1796"/>
      <c r="X1796"/>
    </row>
    <row r="1797" spans="5:24" x14ac:dyDescent="0.3">
      <c r="E1797" s="173"/>
      <c r="F1797" s="173"/>
      <c r="I1797"/>
      <c r="J1797"/>
      <c r="K1797"/>
      <c r="L1797"/>
      <c r="M1797"/>
      <c r="N1797"/>
      <c r="O1797"/>
      <c r="P1797" s="225"/>
      <c r="Q1797" s="225"/>
      <c r="R1797"/>
      <c r="S1797"/>
      <c r="T1797"/>
      <c r="U1797"/>
      <c r="V1797"/>
      <c r="W1797"/>
      <c r="X1797"/>
    </row>
    <row r="1798" spans="5:24" x14ac:dyDescent="0.3">
      <c r="E1798" s="173"/>
      <c r="F1798" s="173"/>
      <c r="I1798"/>
      <c r="J1798"/>
      <c r="K1798"/>
      <c r="L1798"/>
      <c r="M1798"/>
      <c r="N1798"/>
      <c r="O1798"/>
      <c r="P1798" s="225"/>
      <c r="Q1798" s="225"/>
      <c r="R1798"/>
      <c r="S1798"/>
      <c r="T1798"/>
      <c r="U1798"/>
      <c r="V1798"/>
      <c r="W1798"/>
      <c r="X1798"/>
    </row>
    <row r="1799" spans="5:24" x14ac:dyDescent="0.3">
      <c r="E1799" s="173"/>
      <c r="F1799" s="173"/>
      <c r="I1799"/>
      <c r="J1799"/>
      <c r="K1799"/>
      <c r="L1799"/>
      <c r="M1799"/>
      <c r="N1799"/>
      <c r="O1799"/>
      <c r="P1799" s="225"/>
      <c r="Q1799" s="225"/>
      <c r="R1799"/>
      <c r="S1799"/>
      <c r="T1799"/>
      <c r="U1799"/>
      <c r="V1799"/>
      <c r="W1799"/>
      <c r="X1799"/>
    </row>
    <row r="1800" spans="5:24" x14ac:dyDescent="0.3">
      <c r="E1800" s="173"/>
      <c r="F1800" s="173"/>
      <c r="I1800"/>
      <c r="J1800"/>
      <c r="K1800"/>
      <c r="L1800"/>
      <c r="M1800"/>
      <c r="N1800"/>
      <c r="O1800"/>
      <c r="P1800" s="225"/>
      <c r="Q1800" s="225"/>
      <c r="R1800"/>
      <c r="S1800"/>
      <c r="T1800"/>
      <c r="U1800"/>
      <c r="V1800"/>
      <c r="W1800"/>
      <c r="X1800"/>
    </row>
    <row r="1801" spans="5:24" x14ac:dyDescent="0.3">
      <c r="E1801" s="173"/>
      <c r="F1801" s="173"/>
      <c r="I1801"/>
      <c r="J1801"/>
      <c r="K1801"/>
      <c r="L1801"/>
      <c r="M1801"/>
      <c r="N1801"/>
      <c r="O1801"/>
      <c r="P1801" s="225"/>
      <c r="Q1801" s="225"/>
      <c r="R1801"/>
      <c r="S1801"/>
      <c r="T1801"/>
      <c r="U1801"/>
      <c r="V1801"/>
      <c r="W1801"/>
      <c r="X1801"/>
    </row>
    <row r="1802" spans="5:24" x14ac:dyDescent="0.3">
      <c r="E1802" s="173"/>
      <c r="F1802" s="173"/>
      <c r="I1802"/>
      <c r="J1802"/>
      <c r="K1802"/>
      <c r="L1802"/>
      <c r="M1802"/>
      <c r="N1802"/>
      <c r="O1802"/>
      <c r="P1802" s="225"/>
      <c r="Q1802" s="225"/>
      <c r="R1802"/>
      <c r="S1802"/>
      <c r="T1802"/>
      <c r="U1802"/>
      <c r="V1802"/>
      <c r="W1802"/>
      <c r="X1802"/>
    </row>
    <row r="1803" spans="5:24" x14ac:dyDescent="0.3">
      <c r="E1803" s="173"/>
      <c r="F1803" s="173"/>
      <c r="I1803"/>
      <c r="J1803"/>
      <c r="K1803"/>
      <c r="L1803"/>
      <c r="M1803"/>
      <c r="N1803"/>
      <c r="O1803"/>
      <c r="P1803" s="225"/>
      <c r="Q1803" s="225"/>
      <c r="R1803"/>
      <c r="S1803"/>
      <c r="T1803"/>
      <c r="U1803"/>
      <c r="V1803"/>
      <c r="W1803"/>
      <c r="X1803"/>
    </row>
    <row r="1804" spans="5:24" x14ac:dyDescent="0.3">
      <c r="E1804" s="173"/>
      <c r="F1804" s="173"/>
      <c r="I1804"/>
      <c r="J1804"/>
      <c r="K1804"/>
      <c r="L1804"/>
      <c r="M1804"/>
      <c r="N1804"/>
      <c r="O1804"/>
      <c r="P1804" s="225"/>
      <c r="Q1804" s="225"/>
      <c r="R1804"/>
      <c r="S1804"/>
      <c r="T1804"/>
      <c r="U1804"/>
      <c r="V1804"/>
      <c r="W1804"/>
      <c r="X1804"/>
    </row>
    <row r="1805" spans="5:24" x14ac:dyDescent="0.3">
      <c r="E1805" s="173"/>
      <c r="F1805" s="173"/>
      <c r="I1805"/>
      <c r="J1805"/>
      <c r="K1805"/>
      <c r="L1805"/>
      <c r="M1805"/>
      <c r="N1805"/>
      <c r="O1805"/>
      <c r="P1805" s="225"/>
      <c r="Q1805" s="225"/>
      <c r="R1805"/>
      <c r="S1805"/>
      <c r="T1805"/>
      <c r="U1805"/>
      <c r="V1805"/>
      <c r="W1805"/>
      <c r="X1805"/>
    </row>
    <row r="1806" spans="5:24" x14ac:dyDescent="0.3">
      <c r="E1806" s="173"/>
      <c r="F1806" s="173"/>
      <c r="I1806"/>
      <c r="J1806"/>
      <c r="K1806"/>
      <c r="L1806"/>
      <c r="M1806"/>
      <c r="N1806"/>
      <c r="O1806"/>
      <c r="P1806" s="225"/>
      <c r="Q1806" s="225"/>
      <c r="R1806"/>
      <c r="S1806"/>
      <c r="T1806"/>
      <c r="U1806"/>
      <c r="V1806"/>
      <c r="W1806"/>
      <c r="X1806"/>
    </row>
    <row r="1807" spans="5:24" x14ac:dyDescent="0.3">
      <c r="E1807" s="173"/>
      <c r="F1807" s="173"/>
      <c r="I1807"/>
      <c r="J1807"/>
      <c r="K1807"/>
      <c r="L1807"/>
      <c r="M1807"/>
      <c r="N1807"/>
      <c r="O1807"/>
      <c r="P1807" s="225"/>
      <c r="Q1807" s="225"/>
      <c r="R1807"/>
      <c r="S1807"/>
      <c r="T1807"/>
      <c r="U1807"/>
      <c r="V1807"/>
      <c r="W1807"/>
      <c r="X1807"/>
    </row>
    <row r="1808" spans="5:24" x14ac:dyDescent="0.3">
      <c r="E1808" s="173"/>
      <c r="F1808" s="173"/>
      <c r="I1808"/>
      <c r="J1808"/>
      <c r="K1808"/>
      <c r="L1808"/>
      <c r="M1808"/>
      <c r="N1808"/>
      <c r="O1808"/>
      <c r="P1808" s="225"/>
      <c r="Q1808" s="225"/>
      <c r="R1808"/>
      <c r="S1808"/>
      <c r="T1808"/>
      <c r="U1808"/>
      <c r="V1808"/>
      <c r="W1808"/>
      <c r="X1808"/>
    </row>
    <row r="1809" spans="5:24" x14ac:dyDescent="0.3">
      <c r="E1809" s="173"/>
      <c r="F1809" s="173"/>
      <c r="I1809"/>
      <c r="J1809"/>
      <c r="K1809"/>
      <c r="L1809"/>
      <c r="M1809"/>
      <c r="N1809"/>
      <c r="O1809"/>
      <c r="P1809" s="225"/>
      <c r="Q1809" s="225"/>
      <c r="R1809"/>
      <c r="S1809"/>
      <c r="T1809"/>
      <c r="U1809"/>
      <c r="V1809"/>
      <c r="W1809"/>
      <c r="X1809"/>
    </row>
    <row r="1810" spans="5:24" x14ac:dyDescent="0.3">
      <c r="E1810" s="173"/>
      <c r="F1810" s="173"/>
      <c r="I1810"/>
      <c r="J1810"/>
      <c r="K1810"/>
      <c r="L1810"/>
      <c r="M1810"/>
      <c r="N1810"/>
      <c r="O1810"/>
      <c r="P1810" s="225"/>
      <c r="Q1810" s="225"/>
      <c r="R1810"/>
      <c r="S1810"/>
      <c r="T1810"/>
      <c r="U1810"/>
      <c r="V1810"/>
      <c r="W1810"/>
      <c r="X1810"/>
    </row>
    <row r="1811" spans="5:24" x14ac:dyDescent="0.3">
      <c r="E1811" s="173"/>
      <c r="F1811" s="173"/>
      <c r="I1811"/>
      <c r="J1811"/>
      <c r="K1811"/>
      <c r="L1811"/>
      <c r="M1811"/>
      <c r="N1811"/>
      <c r="O1811"/>
      <c r="P1811" s="225"/>
      <c r="Q1811" s="225"/>
      <c r="R1811"/>
      <c r="S1811"/>
      <c r="T1811"/>
      <c r="U1811"/>
      <c r="V1811"/>
      <c r="W1811"/>
      <c r="X1811"/>
    </row>
    <row r="1812" spans="5:24" x14ac:dyDescent="0.3">
      <c r="E1812" s="173"/>
      <c r="F1812" s="173"/>
      <c r="I1812"/>
      <c r="J1812"/>
      <c r="K1812"/>
      <c r="L1812"/>
      <c r="M1812"/>
      <c r="N1812"/>
      <c r="O1812"/>
      <c r="P1812" s="225"/>
      <c r="Q1812" s="225"/>
      <c r="R1812"/>
      <c r="S1812"/>
      <c r="T1812"/>
      <c r="U1812"/>
      <c r="V1812"/>
      <c r="W1812"/>
      <c r="X1812"/>
    </row>
    <row r="1813" spans="5:24" x14ac:dyDescent="0.3">
      <c r="E1813" s="173"/>
      <c r="F1813" s="173"/>
      <c r="I1813"/>
      <c r="J1813"/>
      <c r="K1813"/>
      <c r="L1813"/>
      <c r="M1813"/>
      <c r="N1813"/>
      <c r="O1813"/>
      <c r="P1813" s="225"/>
      <c r="Q1813" s="225"/>
      <c r="R1813"/>
      <c r="S1813"/>
      <c r="T1813"/>
      <c r="U1813"/>
      <c r="V1813"/>
      <c r="W1813"/>
      <c r="X1813"/>
    </row>
    <row r="1814" spans="5:24" x14ac:dyDescent="0.3">
      <c r="E1814" s="173"/>
      <c r="F1814" s="173"/>
      <c r="I1814"/>
      <c r="J1814"/>
      <c r="K1814"/>
      <c r="L1814"/>
      <c r="M1814"/>
      <c r="N1814"/>
      <c r="O1814"/>
      <c r="P1814" s="225"/>
      <c r="Q1814" s="225"/>
      <c r="R1814"/>
      <c r="S1814"/>
      <c r="T1814"/>
      <c r="U1814"/>
      <c r="V1814"/>
      <c r="W1814"/>
      <c r="X1814"/>
    </row>
    <row r="1815" spans="5:24" x14ac:dyDescent="0.3">
      <c r="E1815" s="173"/>
      <c r="F1815" s="173"/>
      <c r="I1815"/>
      <c r="J1815"/>
      <c r="K1815"/>
      <c r="L1815"/>
      <c r="M1815"/>
      <c r="N1815"/>
      <c r="O1815"/>
      <c r="P1815" s="225"/>
      <c r="Q1815" s="225"/>
      <c r="R1815"/>
      <c r="S1815"/>
      <c r="T1815"/>
      <c r="U1815"/>
      <c r="V1815"/>
      <c r="W1815"/>
      <c r="X1815"/>
    </row>
    <row r="1816" spans="5:24" x14ac:dyDescent="0.3">
      <c r="E1816" s="173"/>
      <c r="F1816" s="173"/>
      <c r="I1816"/>
      <c r="J1816"/>
      <c r="K1816"/>
      <c r="L1816"/>
      <c r="M1816"/>
      <c r="N1816"/>
      <c r="O1816"/>
      <c r="P1816" s="225"/>
      <c r="Q1816" s="225"/>
      <c r="R1816"/>
      <c r="S1816"/>
      <c r="T1816"/>
      <c r="U1816"/>
      <c r="V1816"/>
      <c r="W1816"/>
      <c r="X1816"/>
    </row>
    <row r="1817" spans="5:24" x14ac:dyDescent="0.3">
      <c r="E1817" s="173"/>
      <c r="F1817" s="173"/>
      <c r="I1817"/>
      <c r="J1817"/>
      <c r="K1817"/>
      <c r="L1817"/>
      <c r="M1817"/>
      <c r="N1817"/>
      <c r="O1817"/>
      <c r="P1817" s="225"/>
      <c r="Q1817" s="225"/>
      <c r="R1817"/>
      <c r="S1817"/>
      <c r="T1817"/>
      <c r="U1817"/>
      <c r="V1817"/>
      <c r="W1817"/>
      <c r="X1817"/>
    </row>
    <row r="1818" spans="5:24" x14ac:dyDescent="0.3">
      <c r="E1818" s="173"/>
      <c r="F1818" s="173"/>
      <c r="I1818"/>
      <c r="J1818"/>
      <c r="K1818"/>
      <c r="L1818"/>
      <c r="M1818"/>
      <c r="N1818"/>
      <c r="O1818"/>
      <c r="P1818" s="225"/>
      <c r="Q1818" s="225"/>
      <c r="R1818"/>
      <c r="S1818"/>
      <c r="T1818"/>
      <c r="U1818"/>
      <c r="V1818"/>
      <c r="W1818"/>
      <c r="X1818"/>
    </row>
    <row r="1819" spans="5:24" x14ac:dyDescent="0.3">
      <c r="E1819" s="173"/>
      <c r="F1819" s="173"/>
      <c r="I1819"/>
      <c r="J1819"/>
      <c r="K1819"/>
      <c r="L1819"/>
      <c r="M1819"/>
      <c r="N1819"/>
      <c r="O1819"/>
      <c r="P1819" s="225"/>
      <c r="Q1819" s="225"/>
      <c r="R1819"/>
      <c r="S1819"/>
      <c r="T1819"/>
      <c r="U1819"/>
      <c r="V1819"/>
      <c r="W1819"/>
      <c r="X1819"/>
    </row>
    <row r="1820" spans="5:24" x14ac:dyDescent="0.3">
      <c r="E1820" s="173"/>
      <c r="F1820" s="173"/>
      <c r="I1820"/>
      <c r="J1820"/>
      <c r="K1820"/>
      <c r="L1820"/>
      <c r="M1820"/>
      <c r="N1820"/>
      <c r="O1820"/>
      <c r="P1820" s="225"/>
      <c r="Q1820" s="225"/>
      <c r="R1820"/>
      <c r="S1820"/>
      <c r="T1820"/>
      <c r="U1820"/>
      <c r="V1820"/>
      <c r="W1820"/>
      <c r="X1820"/>
    </row>
    <row r="1821" spans="5:24" x14ac:dyDescent="0.3">
      <c r="E1821" s="173"/>
      <c r="F1821" s="173"/>
      <c r="I1821"/>
      <c r="J1821"/>
      <c r="K1821"/>
      <c r="L1821"/>
      <c r="M1821"/>
      <c r="N1821"/>
      <c r="O1821"/>
      <c r="P1821" s="225"/>
      <c r="Q1821" s="225"/>
      <c r="R1821"/>
      <c r="S1821"/>
      <c r="T1821"/>
      <c r="U1821"/>
      <c r="V1821"/>
      <c r="W1821"/>
      <c r="X1821"/>
    </row>
    <row r="1822" spans="5:24" x14ac:dyDescent="0.3">
      <c r="E1822" s="173"/>
      <c r="F1822" s="173"/>
      <c r="I1822"/>
      <c r="J1822"/>
      <c r="K1822"/>
      <c r="L1822"/>
      <c r="M1822"/>
      <c r="N1822"/>
      <c r="O1822"/>
      <c r="P1822" s="225"/>
      <c r="Q1822" s="225"/>
      <c r="R1822"/>
      <c r="S1822"/>
      <c r="T1822"/>
      <c r="U1822"/>
      <c r="V1822"/>
      <c r="W1822"/>
      <c r="X1822"/>
    </row>
    <row r="1823" spans="5:24" x14ac:dyDescent="0.3">
      <c r="E1823" s="173"/>
      <c r="F1823" s="173"/>
      <c r="I1823"/>
      <c r="J1823"/>
      <c r="K1823"/>
      <c r="L1823"/>
      <c r="M1823"/>
      <c r="N1823"/>
      <c r="O1823"/>
      <c r="P1823" s="225"/>
      <c r="Q1823" s="225"/>
      <c r="R1823"/>
      <c r="S1823"/>
      <c r="T1823"/>
      <c r="U1823"/>
      <c r="V1823"/>
      <c r="W1823"/>
      <c r="X1823"/>
    </row>
    <row r="1824" spans="5:24" x14ac:dyDescent="0.3">
      <c r="E1824" s="173"/>
      <c r="F1824" s="173"/>
      <c r="I1824"/>
      <c r="J1824"/>
      <c r="K1824"/>
      <c r="L1824"/>
      <c r="M1824"/>
      <c r="N1824"/>
      <c r="O1824"/>
      <c r="P1824" s="225"/>
      <c r="Q1824" s="225"/>
      <c r="R1824"/>
      <c r="S1824"/>
      <c r="T1824"/>
      <c r="U1824"/>
      <c r="V1824"/>
      <c r="W1824"/>
      <c r="X1824"/>
    </row>
    <row r="1825" spans="5:24" x14ac:dyDescent="0.3">
      <c r="E1825" s="173"/>
      <c r="F1825" s="173"/>
      <c r="I1825"/>
      <c r="J1825"/>
      <c r="K1825"/>
      <c r="L1825"/>
      <c r="M1825"/>
      <c r="N1825"/>
      <c r="O1825"/>
      <c r="P1825" s="225"/>
      <c r="Q1825" s="225"/>
      <c r="R1825"/>
      <c r="S1825"/>
      <c r="T1825"/>
      <c r="U1825"/>
      <c r="V1825"/>
      <c r="W1825"/>
      <c r="X1825"/>
    </row>
    <row r="1826" spans="5:24" x14ac:dyDescent="0.3">
      <c r="E1826" s="173"/>
      <c r="F1826" s="173"/>
      <c r="I1826"/>
      <c r="J1826"/>
      <c r="K1826"/>
      <c r="L1826"/>
      <c r="M1826"/>
      <c r="N1826"/>
      <c r="O1826"/>
      <c r="P1826" s="225"/>
      <c r="Q1826" s="225"/>
      <c r="R1826"/>
      <c r="S1826"/>
      <c r="T1826"/>
      <c r="U1826"/>
      <c r="V1826"/>
      <c r="W1826"/>
      <c r="X1826"/>
    </row>
    <row r="1827" spans="5:24" x14ac:dyDescent="0.3">
      <c r="E1827" s="173"/>
      <c r="F1827" s="173"/>
      <c r="I1827"/>
      <c r="J1827"/>
      <c r="K1827"/>
      <c r="L1827"/>
      <c r="M1827"/>
      <c r="N1827"/>
      <c r="O1827"/>
      <c r="P1827" s="225"/>
      <c r="Q1827" s="225"/>
      <c r="R1827"/>
      <c r="S1827"/>
      <c r="T1827"/>
      <c r="U1827"/>
      <c r="V1827"/>
      <c r="W1827"/>
      <c r="X1827"/>
    </row>
    <row r="1828" spans="5:24" x14ac:dyDescent="0.3">
      <c r="E1828" s="173"/>
      <c r="F1828" s="173"/>
      <c r="I1828"/>
      <c r="J1828"/>
      <c r="K1828"/>
      <c r="L1828"/>
      <c r="M1828"/>
      <c r="N1828"/>
      <c r="O1828"/>
      <c r="P1828" s="225"/>
      <c r="Q1828" s="225"/>
      <c r="R1828"/>
      <c r="S1828"/>
      <c r="T1828"/>
      <c r="U1828"/>
      <c r="V1828"/>
      <c r="W1828"/>
      <c r="X1828"/>
    </row>
    <row r="1829" spans="5:24" x14ac:dyDescent="0.3">
      <c r="E1829" s="173"/>
      <c r="F1829" s="173"/>
      <c r="I1829"/>
      <c r="J1829"/>
      <c r="K1829"/>
      <c r="L1829"/>
      <c r="M1829"/>
      <c r="N1829"/>
      <c r="O1829"/>
      <c r="P1829" s="225"/>
      <c r="Q1829" s="225"/>
      <c r="R1829"/>
      <c r="S1829"/>
      <c r="T1829"/>
      <c r="U1829"/>
      <c r="V1829"/>
      <c r="W1829"/>
      <c r="X1829"/>
    </row>
    <row r="1830" spans="5:24" x14ac:dyDescent="0.3">
      <c r="E1830" s="173"/>
      <c r="F1830" s="173"/>
      <c r="I1830"/>
      <c r="J1830"/>
      <c r="K1830"/>
      <c r="L1830"/>
      <c r="M1830"/>
      <c r="N1830"/>
      <c r="O1830"/>
      <c r="P1830" s="225"/>
      <c r="Q1830" s="225"/>
      <c r="R1830"/>
      <c r="S1830"/>
      <c r="T1830"/>
      <c r="U1830"/>
      <c r="V1830"/>
      <c r="W1830"/>
      <c r="X1830"/>
    </row>
    <row r="1831" spans="5:24" x14ac:dyDescent="0.3">
      <c r="E1831" s="173"/>
      <c r="F1831" s="173"/>
      <c r="I1831"/>
      <c r="J1831"/>
      <c r="K1831"/>
      <c r="L1831"/>
      <c r="M1831"/>
      <c r="N1831"/>
      <c r="O1831"/>
      <c r="P1831" s="225"/>
      <c r="Q1831" s="225"/>
      <c r="R1831"/>
      <c r="S1831"/>
      <c r="T1831"/>
      <c r="U1831"/>
      <c r="V1831"/>
      <c r="W1831"/>
      <c r="X1831"/>
    </row>
    <row r="1832" spans="5:24" x14ac:dyDescent="0.3">
      <c r="E1832" s="173"/>
      <c r="F1832" s="173"/>
      <c r="I1832"/>
      <c r="J1832"/>
      <c r="K1832"/>
      <c r="L1832"/>
      <c r="M1832"/>
      <c r="N1832"/>
      <c r="O1832"/>
      <c r="P1832" s="225"/>
      <c r="Q1832" s="225"/>
      <c r="R1832"/>
      <c r="S1832"/>
      <c r="T1832"/>
      <c r="U1832"/>
      <c r="V1832"/>
      <c r="W1832"/>
      <c r="X1832"/>
    </row>
    <row r="1833" spans="5:24" x14ac:dyDescent="0.3">
      <c r="E1833" s="173"/>
      <c r="F1833" s="173"/>
      <c r="I1833"/>
      <c r="J1833"/>
      <c r="K1833"/>
      <c r="L1833"/>
      <c r="M1833"/>
      <c r="N1833"/>
      <c r="O1833"/>
      <c r="P1833" s="225"/>
      <c r="Q1833" s="225"/>
      <c r="R1833"/>
      <c r="S1833"/>
      <c r="T1833"/>
      <c r="U1833"/>
      <c r="V1833"/>
      <c r="W1833"/>
      <c r="X1833"/>
    </row>
    <row r="1834" spans="5:24" x14ac:dyDescent="0.3">
      <c r="E1834" s="173"/>
      <c r="F1834" s="173"/>
      <c r="I1834"/>
      <c r="J1834"/>
      <c r="K1834"/>
      <c r="L1834"/>
      <c r="M1834"/>
      <c r="N1834"/>
      <c r="O1834"/>
      <c r="P1834" s="225"/>
      <c r="Q1834" s="225"/>
      <c r="R1834"/>
      <c r="S1834"/>
      <c r="T1834"/>
      <c r="U1834"/>
      <c r="V1834"/>
      <c r="W1834"/>
      <c r="X1834"/>
    </row>
    <row r="1835" spans="5:24" x14ac:dyDescent="0.3">
      <c r="E1835" s="173"/>
      <c r="F1835" s="173"/>
      <c r="I1835"/>
      <c r="J1835"/>
      <c r="K1835"/>
      <c r="L1835"/>
      <c r="M1835"/>
      <c r="N1835"/>
      <c r="O1835"/>
      <c r="P1835" s="225"/>
      <c r="Q1835" s="225"/>
      <c r="R1835"/>
      <c r="S1835"/>
      <c r="T1835"/>
      <c r="U1835"/>
      <c r="V1835"/>
      <c r="W1835"/>
      <c r="X1835"/>
    </row>
    <row r="1836" spans="5:24" x14ac:dyDescent="0.3">
      <c r="E1836" s="173"/>
      <c r="F1836" s="173"/>
      <c r="I1836"/>
      <c r="J1836"/>
      <c r="K1836"/>
      <c r="L1836"/>
      <c r="M1836"/>
      <c r="N1836"/>
      <c r="O1836"/>
      <c r="P1836" s="225"/>
      <c r="Q1836" s="225"/>
      <c r="R1836"/>
      <c r="S1836"/>
      <c r="T1836"/>
      <c r="U1836"/>
      <c r="V1836"/>
      <c r="W1836"/>
      <c r="X1836"/>
    </row>
    <row r="1837" spans="5:24" x14ac:dyDescent="0.3">
      <c r="E1837" s="173"/>
      <c r="F1837" s="173"/>
      <c r="I1837"/>
      <c r="J1837"/>
      <c r="K1837"/>
      <c r="L1837"/>
      <c r="M1837"/>
      <c r="N1837"/>
      <c r="O1837"/>
      <c r="P1837" s="225"/>
      <c r="Q1837" s="225"/>
      <c r="R1837"/>
      <c r="S1837"/>
      <c r="T1837"/>
      <c r="U1837"/>
      <c r="V1837"/>
      <c r="W1837"/>
      <c r="X1837"/>
    </row>
    <row r="1838" spans="5:24" x14ac:dyDescent="0.3">
      <c r="E1838" s="173"/>
      <c r="F1838" s="173"/>
      <c r="I1838"/>
      <c r="J1838"/>
      <c r="K1838"/>
      <c r="L1838"/>
      <c r="M1838"/>
      <c r="N1838"/>
      <c r="O1838"/>
      <c r="P1838" s="225"/>
      <c r="Q1838" s="225"/>
      <c r="R1838"/>
      <c r="S1838"/>
      <c r="T1838"/>
      <c r="U1838"/>
      <c r="V1838"/>
      <c r="W1838"/>
      <c r="X1838"/>
    </row>
    <row r="1839" spans="5:24" x14ac:dyDescent="0.3">
      <c r="E1839" s="173"/>
      <c r="F1839" s="173"/>
      <c r="I1839"/>
      <c r="J1839"/>
      <c r="K1839"/>
      <c r="L1839"/>
      <c r="M1839"/>
      <c r="N1839"/>
      <c r="O1839"/>
      <c r="P1839" s="225"/>
      <c r="Q1839" s="225"/>
      <c r="R1839"/>
      <c r="S1839"/>
      <c r="T1839"/>
      <c r="U1839"/>
      <c r="V1839"/>
      <c r="W1839"/>
      <c r="X1839"/>
    </row>
    <row r="1840" spans="5:24" x14ac:dyDescent="0.3">
      <c r="E1840" s="173"/>
      <c r="F1840" s="173"/>
      <c r="I1840"/>
      <c r="J1840"/>
      <c r="K1840"/>
      <c r="L1840"/>
      <c r="M1840"/>
      <c r="N1840"/>
      <c r="O1840"/>
      <c r="P1840" s="225"/>
      <c r="Q1840" s="225"/>
      <c r="R1840"/>
      <c r="S1840"/>
      <c r="T1840"/>
      <c r="U1840"/>
      <c r="V1840"/>
      <c r="W1840"/>
      <c r="X1840"/>
    </row>
    <row r="1841" spans="5:24" x14ac:dyDescent="0.3">
      <c r="E1841" s="173"/>
      <c r="F1841" s="173"/>
      <c r="I1841"/>
      <c r="J1841"/>
      <c r="K1841"/>
      <c r="L1841"/>
      <c r="M1841"/>
      <c r="N1841"/>
      <c r="O1841"/>
      <c r="P1841" s="225"/>
      <c r="Q1841" s="225"/>
      <c r="R1841"/>
      <c r="S1841"/>
      <c r="T1841"/>
      <c r="U1841"/>
      <c r="V1841"/>
      <c r="W1841"/>
      <c r="X1841"/>
    </row>
    <row r="1842" spans="5:24" x14ac:dyDescent="0.3">
      <c r="E1842" s="173"/>
      <c r="F1842" s="173"/>
      <c r="I1842"/>
      <c r="J1842"/>
      <c r="K1842"/>
      <c r="L1842"/>
      <c r="M1842"/>
      <c r="N1842"/>
      <c r="O1842"/>
      <c r="P1842" s="225"/>
      <c r="Q1842" s="225"/>
      <c r="R1842"/>
      <c r="S1842"/>
      <c r="T1842"/>
      <c r="U1842"/>
      <c r="V1842"/>
      <c r="W1842"/>
      <c r="X1842"/>
    </row>
    <row r="1843" spans="5:24" x14ac:dyDescent="0.3">
      <c r="E1843" s="173"/>
      <c r="F1843" s="173"/>
      <c r="I1843"/>
      <c r="J1843"/>
      <c r="K1843"/>
      <c r="L1843"/>
      <c r="M1843"/>
      <c r="N1843"/>
      <c r="O1843"/>
      <c r="P1843" s="225"/>
      <c r="Q1843" s="225"/>
      <c r="R1843"/>
      <c r="S1843"/>
      <c r="T1843"/>
      <c r="U1843"/>
      <c r="V1843"/>
      <c r="W1843"/>
      <c r="X1843"/>
    </row>
    <row r="1844" spans="5:24" x14ac:dyDescent="0.3">
      <c r="E1844" s="173"/>
      <c r="F1844" s="173"/>
      <c r="I1844"/>
      <c r="J1844"/>
      <c r="K1844"/>
      <c r="L1844"/>
      <c r="M1844"/>
      <c r="N1844"/>
      <c r="O1844"/>
      <c r="P1844" s="225"/>
      <c r="Q1844" s="225"/>
      <c r="R1844"/>
      <c r="S1844"/>
      <c r="T1844"/>
      <c r="U1844"/>
      <c r="V1844"/>
      <c r="W1844"/>
      <c r="X1844"/>
    </row>
    <row r="1845" spans="5:24" x14ac:dyDescent="0.3">
      <c r="E1845" s="173"/>
      <c r="F1845" s="173"/>
      <c r="I1845"/>
      <c r="J1845"/>
      <c r="K1845"/>
      <c r="L1845"/>
      <c r="M1845"/>
      <c r="N1845"/>
      <c r="O1845"/>
      <c r="P1845" s="225"/>
      <c r="Q1845" s="225"/>
      <c r="R1845"/>
      <c r="S1845"/>
      <c r="T1845"/>
      <c r="U1845"/>
      <c r="V1845"/>
      <c r="W1845"/>
      <c r="X1845"/>
    </row>
    <row r="1846" spans="5:24" x14ac:dyDescent="0.3">
      <c r="E1846" s="173"/>
      <c r="F1846" s="173"/>
      <c r="I1846"/>
      <c r="J1846"/>
      <c r="K1846"/>
      <c r="L1846"/>
      <c r="M1846"/>
      <c r="N1846"/>
      <c r="O1846"/>
      <c r="P1846" s="225"/>
      <c r="Q1846" s="225"/>
      <c r="R1846"/>
      <c r="S1846"/>
      <c r="T1846"/>
      <c r="U1846"/>
      <c r="V1846"/>
      <c r="W1846"/>
      <c r="X1846"/>
    </row>
    <row r="1847" spans="5:24" x14ac:dyDescent="0.3">
      <c r="E1847" s="173"/>
      <c r="F1847" s="173"/>
      <c r="I1847"/>
      <c r="J1847"/>
      <c r="K1847"/>
      <c r="L1847"/>
      <c r="M1847"/>
      <c r="N1847"/>
      <c r="O1847"/>
      <c r="P1847" s="225"/>
      <c r="Q1847" s="225"/>
      <c r="R1847"/>
      <c r="S1847"/>
      <c r="T1847"/>
      <c r="U1847"/>
      <c r="V1847"/>
      <c r="W1847"/>
      <c r="X1847"/>
    </row>
    <row r="1848" spans="5:24" x14ac:dyDescent="0.3">
      <c r="E1848" s="173"/>
      <c r="F1848" s="173"/>
      <c r="I1848"/>
      <c r="J1848"/>
      <c r="K1848"/>
      <c r="L1848"/>
      <c r="M1848"/>
      <c r="N1848"/>
      <c r="O1848"/>
      <c r="P1848" s="225"/>
      <c r="Q1848" s="225"/>
      <c r="R1848"/>
      <c r="S1848"/>
      <c r="T1848"/>
      <c r="U1848"/>
      <c r="V1848"/>
      <c r="W1848"/>
      <c r="X1848"/>
    </row>
    <row r="1849" spans="5:24" x14ac:dyDescent="0.3">
      <c r="E1849" s="173"/>
      <c r="F1849" s="173"/>
      <c r="I1849"/>
      <c r="J1849"/>
      <c r="K1849"/>
      <c r="L1849"/>
      <c r="M1849"/>
      <c r="N1849"/>
      <c r="O1849"/>
      <c r="P1849" s="225"/>
      <c r="Q1849" s="225"/>
      <c r="R1849"/>
      <c r="S1849"/>
      <c r="T1849"/>
      <c r="U1849"/>
      <c r="V1849"/>
      <c r="W1849"/>
      <c r="X1849"/>
    </row>
    <row r="1850" spans="5:24" x14ac:dyDescent="0.3">
      <c r="E1850" s="173"/>
      <c r="F1850" s="173"/>
      <c r="I1850"/>
      <c r="J1850"/>
      <c r="K1850"/>
      <c r="L1850"/>
      <c r="M1850"/>
      <c r="N1850"/>
      <c r="O1850"/>
      <c r="P1850" s="225"/>
      <c r="Q1850" s="225"/>
      <c r="R1850"/>
      <c r="S1850"/>
      <c r="T1850"/>
      <c r="U1850"/>
      <c r="V1850"/>
      <c r="W1850"/>
      <c r="X1850"/>
    </row>
    <row r="1851" spans="5:24" x14ac:dyDescent="0.3">
      <c r="E1851" s="173"/>
      <c r="F1851" s="173"/>
      <c r="I1851"/>
      <c r="J1851"/>
      <c r="K1851"/>
      <c r="L1851"/>
      <c r="M1851"/>
      <c r="N1851"/>
      <c r="O1851"/>
      <c r="P1851" s="225"/>
      <c r="Q1851" s="225"/>
      <c r="R1851"/>
      <c r="S1851"/>
      <c r="T1851"/>
      <c r="U1851"/>
      <c r="V1851"/>
      <c r="W1851"/>
      <c r="X1851"/>
    </row>
    <row r="1852" spans="5:24" x14ac:dyDescent="0.3">
      <c r="E1852" s="173"/>
      <c r="F1852" s="173"/>
      <c r="I1852"/>
      <c r="J1852"/>
      <c r="K1852"/>
      <c r="L1852"/>
      <c r="M1852"/>
      <c r="N1852"/>
      <c r="O1852"/>
      <c r="P1852" s="225"/>
      <c r="Q1852" s="225"/>
      <c r="R1852"/>
      <c r="S1852"/>
      <c r="T1852"/>
      <c r="U1852"/>
      <c r="V1852"/>
      <c r="W1852"/>
      <c r="X1852"/>
    </row>
    <row r="1853" spans="5:24" x14ac:dyDescent="0.3">
      <c r="E1853" s="173"/>
      <c r="F1853" s="173"/>
      <c r="I1853"/>
      <c r="J1853"/>
      <c r="K1853"/>
      <c r="L1853"/>
      <c r="M1853"/>
      <c r="N1853"/>
      <c r="O1853"/>
      <c r="P1853" s="225"/>
      <c r="Q1853" s="225"/>
      <c r="R1853"/>
      <c r="S1853"/>
      <c r="T1853"/>
      <c r="U1853"/>
      <c r="V1853"/>
      <c r="W1853"/>
      <c r="X1853"/>
    </row>
    <row r="1854" spans="5:24" x14ac:dyDescent="0.3">
      <c r="E1854" s="173"/>
      <c r="F1854" s="173"/>
      <c r="I1854"/>
      <c r="J1854"/>
      <c r="K1854"/>
      <c r="L1854"/>
      <c r="M1854"/>
      <c r="N1854"/>
      <c r="O1854"/>
      <c r="P1854" s="225"/>
      <c r="Q1854" s="225"/>
      <c r="R1854"/>
      <c r="S1854"/>
      <c r="T1854"/>
      <c r="U1854"/>
      <c r="V1854"/>
      <c r="W1854"/>
      <c r="X1854"/>
    </row>
    <row r="1855" spans="5:24" x14ac:dyDescent="0.3">
      <c r="E1855" s="173"/>
      <c r="F1855" s="173"/>
      <c r="I1855"/>
      <c r="J1855"/>
      <c r="K1855"/>
      <c r="L1855"/>
      <c r="M1855"/>
      <c r="N1855"/>
      <c r="O1855"/>
      <c r="P1855" s="225"/>
      <c r="Q1855" s="225"/>
      <c r="R1855"/>
      <c r="S1855"/>
      <c r="T1855"/>
      <c r="U1855"/>
      <c r="V1855"/>
      <c r="W1855"/>
      <c r="X1855"/>
    </row>
    <row r="1856" spans="5:24" x14ac:dyDescent="0.3">
      <c r="E1856" s="173"/>
      <c r="F1856" s="173"/>
      <c r="I1856"/>
      <c r="J1856"/>
      <c r="K1856"/>
      <c r="L1856"/>
      <c r="M1856"/>
      <c r="N1856"/>
      <c r="O1856"/>
      <c r="P1856" s="225"/>
      <c r="Q1856" s="225"/>
      <c r="R1856"/>
      <c r="S1856"/>
      <c r="T1856"/>
      <c r="U1856"/>
      <c r="V1856"/>
      <c r="W1856"/>
      <c r="X1856"/>
    </row>
    <row r="1857" spans="5:24" x14ac:dyDescent="0.3">
      <c r="E1857" s="173"/>
      <c r="F1857" s="173"/>
      <c r="I1857"/>
      <c r="J1857"/>
      <c r="K1857"/>
      <c r="L1857"/>
      <c r="M1857"/>
      <c r="N1857"/>
      <c r="O1857"/>
      <c r="P1857" s="225"/>
      <c r="Q1857" s="225"/>
      <c r="R1857"/>
      <c r="S1857"/>
      <c r="T1857"/>
      <c r="U1857"/>
      <c r="V1857"/>
      <c r="W1857"/>
      <c r="X1857"/>
    </row>
    <row r="1858" spans="5:24" x14ac:dyDescent="0.3">
      <c r="E1858" s="173"/>
      <c r="F1858" s="173"/>
      <c r="I1858"/>
      <c r="J1858"/>
      <c r="K1858"/>
      <c r="L1858"/>
      <c r="M1858"/>
      <c r="N1858"/>
      <c r="O1858"/>
      <c r="P1858" s="225"/>
      <c r="Q1858" s="225"/>
      <c r="R1858"/>
      <c r="S1858"/>
      <c r="T1858"/>
      <c r="U1858"/>
      <c r="V1858"/>
      <c r="W1858"/>
      <c r="X1858"/>
    </row>
    <row r="1859" spans="5:24" x14ac:dyDescent="0.3">
      <c r="E1859" s="173"/>
      <c r="F1859" s="173"/>
      <c r="I1859"/>
      <c r="J1859"/>
      <c r="K1859"/>
      <c r="L1859"/>
      <c r="M1859"/>
      <c r="N1859"/>
      <c r="O1859"/>
      <c r="P1859" s="225"/>
      <c r="Q1859" s="225"/>
      <c r="R1859"/>
      <c r="S1859"/>
      <c r="T1859"/>
      <c r="U1859"/>
      <c r="V1859"/>
      <c r="W1859"/>
      <c r="X1859"/>
    </row>
    <row r="1860" spans="5:24" x14ac:dyDescent="0.3">
      <c r="E1860" s="173"/>
      <c r="F1860" s="173"/>
      <c r="I1860"/>
      <c r="J1860"/>
      <c r="K1860"/>
      <c r="L1860"/>
      <c r="M1860"/>
      <c r="N1860"/>
      <c r="O1860"/>
      <c r="P1860" s="225"/>
      <c r="Q1860" s="225"/>
      <c r="R1860"/>
      <c r="S1860"/>
      <c r="T1860"/>
      <c r="U1860"/>
      <c r="V1860"/>
      <c r="W1860"/>
      <c r="X1860"/>
    </row>
    <row r="1861" spans="5:24" x14ac:dyDescent="0.3">
      <c r="E1861" s="173"/>
      <c r="F1861" s="173"/>
      <c r="I1861"/>
      <c r="J1861"/>
      <c r="K1861"/>
      <c r="L1861"/>
      <c r="M1861"/>
      <c r="N1861"/>
      <c r="O1861"/>
      <c r="P1861" s="225"/>
      <c r="Q1861" s="225"/>
      <c r="R1861"/>
      <c r="S1861"/>
      <c r="T1861"/>
      <c r="U1861"/>
      <c r="V1861"/>
      <c r="W1861"/>
      <c r="X1861"/>
    </row>
    <row r="1862" spans="5:24" x14ac:dyDescent="0.3">
      <c r="E1862" s="173"/>
      <c r="F1862" s="173"/>
      <c r="I1862"/>
      <c r="J1862"/>
      <c r="K1862"/>
      <c r="L1862"/>
      <c r="M1862"/>
      <c r="N1862"/>
      <c r="O1862"/>
      <c r="P1862" s="225"/>
      <c r="Q1862" s="225"/>
      <c r="R1862"/>
      <c r="S1862"/>
      <c r="T1862"/>
      <c r="U1862"/>
      <c r="V1862"/>
      <c r="W1862"/>
      <c r="X1862"/>
    </row>
    <row r="1863" spans="5:24" x14ac:dyDescent="0.3">
      <c r="E1863" s="173"/>
      <c r="F1863" s="173"/>
      <c r="I1863"/>
      <c r="J1863"/>
      <c r="K1863"/>
      <c r="L1863"/>
      <c r="M1863"/>
      <c r="N1863"/>
      <c r="O1863"/>
      <c r="P1863" s="225"/>
      <c r="Q1863" s="225"/>
      <c r="R1863"/>
      <c r="S1863"/>
      <c r="T1863"/>
      <c r="U1863"/>
      <c r="V1863"/>
      <c r="W1863"/>
      <c r="X1863"/>
    </row>
    <row r="1864" spans="5:24" x14ac:dyDescent="0.3">
      <c r="E1864" s="173"/>
      <c r="F1864" s="173"/>
      <c r="I1864"/>
      <c r="J1864"/>
      <c r="K1864"/>
      <c r="L1864"/>
      <c r="M1864"/>
      <c r="N1864"/>
      <c r="O1864"/>
      <c r="P1864" s="225"/>
      <c r="Q1864" s="225"/>
      <c r="R1864"/>
      <c r="S1864"/>
      <c r="T1864"/>
      <c r="U1864"/>
      <c r="V1864"/>
      <c r="W1864"/>
      <c r="X1864"/>
    </row>
    <row r="1865" spans="5:24" x14ac:dyDescent="0.3">
      <c r="E1865" s="173"/>
      <c r="F1865" s="173"/>
      <c r="I1865"/>
      <c r="J1865"/>
      <c r="K1865"/>
      <c r="L1865"/>
      <c r="M1865"/>
      <c r="N1865"/>
      <c r="O1865"/>
      <c r="P1865" s="225"/>
      <c r="Q1865" s="225"/>
      <c r="R1865"/>
      <c r="S1865"/>
      <c r="T1865"/>
      <c r="U1865"/>
      <c r="V1865"/>
      <c r="W1865"/>
      <c r="X1865"/>
    </row>
    <row r="1866" spans="5:24" x14ac:dyDescent="0.3">
      <c r="E1866" s="173"/>
      <c r="F1866" s="173"/>
      <c r="I1866"/>
      <c r="J1866"/>
      <c r="K1866"/>
      <c r="L1866"/>
      <c r="M1866"/>
      <c r="N1866"/>
      <c r="O1866"/>
      <c r="P1866" s="225"/>
      <c r="Q1866" s="225"/>
      <c r="R1866"/>
      <c r="S1866"/>
      <c r="T1866"/>
      <c r="U1866"/>
      <c r="V1866"/>
      <c r="W1866"/>
      <c r="X1866"/>
    </row>
    <row r="1867" spans="5:24" x14ac:dyDescent="0.3">
      <c r="E1867" s="173"/>
      <c r="F1867" s="173"/>
      <c r="I1867"/>
      <c r="J1867"/>
      <c r="K1867"/>
      <c r="L1867"/>
      <c r="M1867"/>
      <c r="N1867"/>
      <c r="O1867"/>
      <c r="P1867" s="225"/>
      <c r="Q1867" s="225"/>
      <c r="R1867"/>
      <c r="S1867"/>
      <c r="T1867"/>
      <c r="U1867"/>
      <c r="V1867"/>
      <c r="W1867"/>
      <c r="X1867"/>
    </row>
    <row r="1868" spans="5:24" x14ac:dyDescent="0.3">
      <c r="E1868" s="173"/>
      <c r="F1868" s="173"/>
      <c r="I1868"/>
      <c r="J1868"/>
      <c r="K1868"/>
      <c r="L1868"/>
      <c r="M1868"/>
      <c r="N1868"/>
      <c r="O1868"/>
      <c r="P1868" s="225"/>
      <c r="Q1868" s="225"/>
      <c r="R1868"/>
      <c r="S1868"/>
      <c r="T1868"/>
      <c r="U1868"/>
      <c r="V1868"/>
      <c r="W1868"/>
      <c r="X1868"/>
    </row>
    <row r="1869" spans="5:24" x14ac:dyDescent="0.3">
      <c r="E1869" s="173"/>
      <c r="F1869" s="173"/>
      <c r="I1869"/>
      <c r="J1869"/>
      <c r="K1869"/>
      <c r="L1869"/>
      <c r="M1869"/>
      <c r="N1869"/>
      <c r="O1869"/>
      <c r="P1869" s="225"/>
      <c r="Q1869" s="225"/>
      <c r="R1869"/>
      <c r="S1869"/>
      <c r="T1869"/>
      <c r="U1869"/>
      <c r="V1869"/>
      <c r="W1869"/>
      <c r="X1869"/>
    </row>
    <row r="1870" spans="5:24" x14ac:dyDescent="0.3">
      <c r="E1870" s="173"/>
      <c r="F1870" s="173"/>
      <c r="I1870"/>
      <c r="J1870"/>
      <c r="K1870"/>
      <c r="L1870"/>
      <c r="M1870"/>
      <c r="N1870"/>
      <c r="O1870"/>
      <c r="P1870" s="225"/>
      <c r="Q1870" s="225"/>
      <c r="R1870"/>
      <c r="S1870"/>
      <c r="T1870"/>
      <c r="U1870"/>
      <c r="V1870"/>
      <c r="W1870"/>
      <c r="X1870"/>
    </row>
    <row r="1871" spans="5:24" x14ac:dyDescent="0.3">
      <c r="E1871" s="173"/>
      <c r="F1871" s="173"/>
      <c r="I1871"/>
      <c r="J1871"/>
      <c r="K1871"/>
      <c r="L1871"/>
      <c r="M1871"/>
      <c r="N1871"/>
      <c r="O1871"/>
      <c r="P1871" s="225"/>
      <c r="Q1871" s="225"/>
      <c r="R1871"/>
      <c r="S1871"/>
      <c r="T1871"/>
      <c r="U1871"/>
      <c r="V1871"/>
      <c r="W1871"/>
      <c r="X1871"/>
    </row>
    <row r="1872" spans="5:24" x14ac:dyDescent="0.3">
      <c r="E1872" s="173"/>
      <c r="F1872" s="173"/>
      <c r="I1872"/>
      <c r="J1872"/>
      <c r="K1872"/>
      <c r="L1872"/>
      <c r="M1872"/>
      <c r="N1872"/>
      <c r="O1872"/>
      <c r="P1872" s="225"/>
      <c r="Q1872" s="225"/>
      <c r="R1872"/>
      <c r="S1872"/>
      <c r="T1872"/>
      <c r="U1872"/>
      <c r="V1872"/>
      <c r="W1872"/>
      <c r="X1872"/>
    </row>
    <row r="1873" spans="5:24" x14ac:dyDescent="0.3">
      <c r="E1873" s="173"/>
      <c r="F1873" s="173"/>
      <c r="I1873"/>
      <c r="J1873"/>
      <c r="K1873"/>
      <c r="L1873"/>
      <c r="M1873"/>
      <c r="N1873"/>
      <c r="O1873"/>
      <c r="P1873" s="225"/>
      <c r="Q1873" s="225"/>
      <c r="R1873"/>
      <c r="S1873"/>
      <c r="T1873"/>
      <c r="U1873"/>
      <c r="V1873"/>
      <c r="W1873"/>
      <c r="X1873"/>
    </row>
    <row r="1874" spans="5:24" x14ac:dyDescent="0.3">
      <c r="E1874" s="173"/>
      <c r="F1874" s="173"/>
      <c r="I1874"/>
      <c r="J1874"/>
      <c r="K1874"/>
      <c r="L1874"/>
      <c r="M1874"/>
      <c r="N1874"/>
      <c r="O1874"/>
      <c r="P1874" s="225"/>
      <c r="Q1874" s="225"/>
      <c r="R1874"/>
      <c r="S1874"/>
      <c r="T1874"/>
      <c r="U1874"/>
      <c r="V1874"/>
      <c r="W1874"/>
      <c r="X1874"/>
    </row>
    <row r="1875" spans="5:24" x14ac:dyDescent="0.3">
      <c r="E1875" s="173"/>
      <c r="F1875" s="173"/>
      <c r="I1875"/>
      <c r="J1875"/>
      <c r="K1875"/>
      <c r="L1875"/>
      <c r="M1875"/>
      <c r="N1875"/>
      <c r="O1875"/>
      <c r="P1875" s="225"/>
      <c r="Q1875" s="225"/>
      <c r="R1875"/>
      <c r="S1875"/>
      <c r="T1875"/>
      <c r="U1875"/>
      <c r="V1875"/>
      <c r="W1875"/>
      <c r="X1875"/>
    </row>
    <row r="1876" spans="5:24" x14ac:dyDescent="0.3">
      <c r="E1876" s="173"/>
      <c r="F1876" s="173"/>
      <c r="I1876"/>
      <c r="J1876"/>
      <c r="K1876"/>
      <c r="L1876"/>
      <c r="M1876"/>
      <c r="N1876"/>
      <c r="O1876"/>
      <c r="P1876" s="225"/>
      <c r="Q1876" s="225"/>
      <c r="R1876"/>
      <c r="S1876"/>
      <c r="T1876"/>
      <c r="U1876"/>
      <c r="V1876"/>
      <c r="W1876"/>
      <c r="X1876"/>
    </row>
    <row r="1877" spans="5:24" x14ac:dyDescent="0.3">
      <c r="E1877" s="173"/>
      <c r="F1877" s="173"/>
      <c r="I1877"/>
      <c r="J1877"/>
      <c r="K1877"/>
      <c r="L1877"/>
      <c r="M1877"/>
      <c r="N1877"/>
      <c r="O1877"/>
      <c r="P1877" s="225"/>
      <c r="Q1877" s="225"/>
      <c r="R1877"/>
      <c r="S1877"/>
      <c r="T1877"/>
      <c r="U1877"/>
      <c r="V1877"/>
      <c r="W1877"/>
      <c r="X1877"/>
    </row>
    <row r="1878" spans="5:24" x14ac:dyDescent="0.3">
      <c r="E1878" s="173"/>
      <c r="F1878" s="173"/>
      <c r="I1878"/>
      <c r="J1878"/>
      <c r="K1878"/>
      <c r="L1878"/>
      <c r="M1878"/>
      <c r="N1878"/>
      <c r="O1878"/>
      <c r="P1878" s="225"/>
      <c r="Q1878" s="225"/>
      <c r="R1878"/>
      <c r="S1878"/>
      <c r="T1878"/>
      <c r="U1878"/>
      <c r="V1878"/>
      <c r="W1878"/>
      <c r="X1878"/>
    </row>
    <row r="1879" spans="5:24" x14ac:dyDescent="0.3">
      <c r="E1879" s="173"/>
      <c r="F1879" s="173"/>
      <c r="I1879"/>
      <c r="J1879"/>
      <c r="K1879"/>
      <c r="L1879"/>
      <c r="M1879"/>
      <c r="N1879"/>
      <c r="O1879"/>
      <c r="P1879" s="225"/>
      <c r="Q1879" s="225"/>
      <c r="R1879"/>
      <c r="S1879"/>
      <c r="T1879"/>
      <c r="U1879"/>
      <c r="V1879"/>
      <c r="W1879"/>
      <c r="X1879"/>
    </row>
    <row r="1880" spans="5:24" x14ac:dyDescent="0.3">
      <c r="E1880" s="173"/>
      <c r="F1880" s="173"/>
      <c r="I1880"/>
      <c r="J1880"/>
      <c r="K1880"/>
      <c r="L1880"/>
      <c r="M1880"/>
      <c r="N1880"/>
      <c r="O1880"/>
      <c r="P1880" s="225"/>
      <c r="Q1880" s="225"/>
      <c r="R1880"/>
      <c r="S1880"/>
      <c r="T1880"/>
      <c r="U1880"/>
      <c r="V1880"/>
      <c r="W1880"/>
      <c r="X1880"/>
    </row>
    <row r="1881" spans="5:24" x14ac:dyDescent="0.3">
      <c r="E1881" s="173"/>
      <c r="F1881" s="173"/>
      <c r="I1881"/>
      <c r="J1881"/>
      <c r="K1881"/>
      <c r="L1881"/>
      <c r="M1881"/>
      <c r="N1881"/>
      <c r="O1881"/>
      <c r="P1881" s="225"/>
      <c r="Q1881" s="225"/>
      <c r="R1881"/>
      <c r="S1881"/>
      <c r="T1881"/>
      <c r="U1881"/>
      <c r="V1881"/>
      <c r="W1881"/>
      <c r="X1881"/>
    </row>
    <row r="1882" spans="5:24" x14ac:dyDescent="0.3">
      <c r="E1882" s="173"/>
      <c r="F1882" s="173"/>
      <c r="I1882"/>
      <c r="J1882"/>
      <c r="K1882"/>
      <c r="L1882"/>
      <c r="M1882"/>
      <c r="N1882"/>
      <c r="O1882"/>
      <c r="P1882" s="225"/>
      <c r="Q1882" s="225"/>
      <c r="R1882"/>
      <c r="S1882"/>
      <c r="T1882"/>
      <c r="U1882"/>
      <c r="V1882"/>
      <c r="W1882"/>
      <c r="X1882"/>
    </row>
    <row r="1883" spans="5:24" x14ac:dyDescent="0.3">
      <c r="E1883" s="173"/>
      <c r="F1883" s="173"/>
      <c r="I1883"/>
      <c r="J1883"/>
      <c r="K1883"/>
      <c r="L1883"/>
      <c r="M1883"/>
      <c r="N1883"/>
      <c r="O1883"/>
      <c r="P1883" s="225"/>
      <c r="Q1883" s="225"/>
      <c r="R1883"/>
      <c r="S1883"/>
      <c r="T1883"/>
      <c r="U1883"/>
      <c r="V1883"/>
      <c r="W1883"/>
      <c r="X1883"/>
    </row>
    <row r="1884" spans="5:24" x14ac:dyDescent="0.3">
      <c r="E1884" s="173"/>
      <c r="F1884" s="173"/>
      <c r="I1884"/>
      <c r="J1884"/>
      <c r="K1884"/>
      <c r="L1884"/>
      <c r="M1884"/>
      <c r="N1884"/>
      <c r="O1884"/>
      <c r="P1884" s="225"/>
      <c r="Q1884" s="225"/>
      <c r="R1884"/>
      <c r="S1884"/>
      <c r="T1884"/>
      <c r="U1884"/>
      <c r="V1884"/>
      <c r="W1884"/>
      <c r="X1884"/>
    </row>
    <row r="1885" spans="5:24" x14ac:dyDescent="0.3">
      <c r="E1885" s="173"/>
      <c r="F1885" s="173"/>
      <c r="I1885"/>
      <c r="J1885"/>
      <c r="K1885"/>
      <c r="L1885"/>
      <c r="M1885"/>
      <c r="N1885"/>
      <c r="O1885"/>
      <c r="P1885" s="225"/>
      <c r="Q1885" s="225"/>
      <c r="R1885"/>
      <c r="S1885"/>
      <c r="T1885"/>
      <c r="U1885"/>
      <c r="V1885"/>
      <c r="W1885"/>
      <c r="X1885"/>
    </row>
    <row r="1886" spans="5:24" x14ac:dyDescent="0.3">
      <c r="E1886" s="173"/>
      <c r="F1886" s="173"/>
      <c r="I1886"/>
      <c r="J1886"/>
      <c r="K1886"/>
      <c r="L1886"/>
      <c r="M1886"/>
      <c r="N1886"/>
      <c r="O1886"/>
      <c r="P1886" s="225"/>
      <c r="Q1886" s="225"/>
      <c r="R1886"/>
      <c r="S1886"/>
      <c r="T1886"/>
      <c r="U1886"/>
      <c r="V1886"/>
      <c r="W1886"/>
      <c r="X1886"/>
    </row>
    <row r="1887" spans="5:24" x14ac:dyDescent="0.3">
      <c r="E1887" s="173"/>
      <c r="F1887" s="173"/>
      <c r="I1887"/>
      <c r="J1887"/>
      <c r="K1887"/>
      <c r="L1887"/>
      <c r="M1887"/>
      <c r="N1887"/>
      <c r="O1887"/>
      <c r="P1887" s="225"/>
      <c r="Q1887" s="225"/>
      <c r="R1887"/>
      <c r="S1887"/>
      <c r="T1887"/>
      <c r="U1887"/>
      <c r="V1887"/>
      <c r="W1887"/>
      <c r="X1887"/>
    </row>
    <row r="1888" spans="5:24" x14ac:dyDescent="0.3">
      <c r="E1888" s="173"/>
      <c r="F1888" s="173"/>
      <c r="I1888"/>
      <c r="J1888"/>
      <c r="K1888"/>
      <c r="L1888"/>
      <c r="M1888"/>
      <c r="N1888"/>
      <c r="O1888"/>
      <c r="P1888" s="225"/>
      <c r="Q1888" s="225"/>
      <c r="R1888"/>
      <c r="S1888"/>
      <c r="T1888"/>
      <c r="U1888"/>
      <c r="V1888"/>
      <c r="W1888"/>
      <c r="X1888"/>
    </row>
    <row r="1889" spans="5:24" x14ac:dyDescent="0.3">
      <c r="E1889" s="173"/>
      <c r="F1889" s="173"/>
      <c r="I1889"/>
      <c r="J1889"/>
      <c r="K1889"/>
      <c r="L1889"/>
      <c r="M1889"/>
      <c r="N1889"/>
      <c r="O1889"/>
      <c r="P1889" s="225"/>
      <c r="Q1889" s="225"/>
      <c r="R1889"/>
      <c r="S1889"/>
      <c r="T1889"/>
      <c r="U1889"/>
      <c r="V1889"/>
      <c r="W1889"/>
      <c r="X1889"/>
    </row>
    <row r="1890" spans="5:24" x14ac:dyDescent="0.3">
      <c r="E1890" s="173"/>
      <c r="F1890" s="173"/>
      <c r="I1890"/>
      <c r="J1890"/>
      <c r="K1890"/>
      <c r="L1890"/>
      <c r="M1890"/>
      <c r="N1890"/>
      <c r="O1890"/>
      <c r="P1890" s="225"/>
      <c r="Q1890" s="225"/>
      <c r="R1890"/>
      <c r="S1890"/>
      <c r="T1890"/>
      <c r="U1890"/>
      <c r="V1890"/>
      <c r="W1890"/>
      <c r="X1890"/>
    </row>
    <row r="1891" spans="5:24" x14ac:dyDescent="0.3">
      <c r="E1891" s="173"/>
      <c r="F1891" s="173"/>
      <c r="I1891"/>
      <c r="J1891"/>
      <c r="K1891"/>
      <c r="L1891"/>
      <c r="M1891"/>
      <c r="N1891"/>
      <c r="O1891"/>
      <c r="P1891" s="225"/>
      <c r="Q1891" s="225"/>
      <c r="R1891"/>
      <c r="S1891"/>
      <c r="T1891"/>
      <c r="U1891"/>
      <c r="V1891"/>
      <c r="W1891"/>
      <c r="X1891"/>
    </row>
    <row r="1892" spans="5:24" x14ac:dyDescent="0.3">
      <c r="E1892" s="173"/>
      <c r="F1892" s="173"/>
      <c r="I1892"/>
      <c r="J1892"/>
      <c r="K1892"/>
      <c r="L1892"/>
      <c r="M1892"/>
      <c r="N1892"/>
      <c r="O1892"/>
      <c r="P1892" s="225"/>
      <c r="Q1892" s="225"/>
      <c r="R1892"/>
      <c r="S1892"/>
      <c r="T1892"/>
      <c r="U1892"/>
      <c r="V1892"/>
      <c r="W1892"/>
      <c r="X1892"/>
    </row>
    <row r="1893" spans="5:24" x14ac:dyDescent="0.3">
      <c r="E1893" s="173"/>
      <c r="F1893" s="173"/>
      <c r="I1893"/>
      <c r="J1893"/>
      <c r="K1893"/>
      <c r="L1893"/>
      <c r="M1893"/>
      <c r="N1893"/>
      <c r="O1893"/>
      <c r="P1893" s="225"/>
      <c r="Q1893" s="225"/>
      <c r="R1893"/>
      <c r="S1893"/>
      <c r="T1893"/>
      <c r="U1893"/>
      <c r="V1893"/>
      <c r="W1893"/>
      <c r="X1893"/>
    </row>
    <row r="1894" spans="5:24" x14ac:dyDescent="0.3">
      <c r="E1894" s="173"/>
      <c r="F1894" s="173"/>
      <c r="I1894"/>
      <c r="J1894"/>
      <c r="K1894"/>
      <c r="L1894"/>
      <c r="M1894"/>
      <c r="N1894"/>
      <c r="O1894"/>
      <c r="P1894" s="225"/>
      <c r="Q1894" s="225"/>
      <c r="R1894"/>
      <c r="S1894"/>
      <c r="T1894"/>
      <c r="U1894"/>
      <c r="V1894"/>
      <c r="W1894"/>
      <c r="X1894"/>
    </row>
    <row r="1895" spans="5:24" x14ac:dyDescent="0.3">
      <c r="E1895" s="173"/>
      <c r="F1895" s="173"/>
      <c r="I1895"/>
      <c r="J1895"/>
      <c r="K1895"/>
      <c r="L1895"/>
      <c r="M1895"/>
      <c r="N1895"/>
      <c r="O1895"/>
      <c r="P1895" s="225"/>
      <c r="Q1895" s="225"/>
      <c r="R1895"/>
      <c r="S1895"/>
      <c r="T1895"/>
      <c r="U1895"/>
      <c r="V1895"/>
      <c r="W1895"/>
      <c r="X1895"/>
    </row>
    <row r="1896" spans="5:24" x14ac:dyDescent="0.3">
      <c r="E1896" s="173"/>
      <c r="F1896" s="173"/>
      <c r="I1896"/>
      <c r="J1896"/>
      <c r="K1896"/>
      <c r="L1896"/>
      <c r="M1896"/>
      <c r="N1896"/>
      <c r="O1896"/>
      <c r="P1896" s="225"/>
      <c r="Q1896" s="225"/>
      <c r="R1896"/>
      <c r="S1896"/>
      <c r="T1896"/>
      <c r="U1896"/>
      <c r="V1896"/>
      <c r="W1896"/>
      <c r="X1896"/>
    </row>
    <row r="1897" spans="5:24" x14ac:dyDescent="0.3">
      <c r="E1897" s="173"/>
      <c r="F1897" s="173"/>
      <c r="I1897"/>
      <c r="J1897"/>
      <c r="K1897"/>
      <c r="L1897"/>
      <c r="M1897"/>
      <c r="N1897"/>
      <c r="O1897"/>
      <c r="P1897" s="225"/>
      <c r="Q1897" s="225"/>
      <c r="R1897"/>
      <c r="S1897"/>
      <c r="T1897"/>
      <c r="U1897"/>
      <c r="V1897"/>
      <c r="W1897"/>
      <c r="X1897"/>
    </row>
    <row r="1898" spans="5:24" x14ac:dyDescent="0.3">
      <c r="E1898" s="173"/>
      <c r="F1898" s="173"/>
      <c r="I1898"/>
      <c r="J1898"/>
      <c r="K1898"/>
      <c r="L1898"/>
      <c r="M1898"/>
      <c r="N1898"/>
      <c r="O1898"/>
      <c r="P1898" s="225"/>
      <c r="Q1898" s="225"/>
      <c r="R1898"/>
      <c r="S1898"/>
      <c r="T1898"/>
      <c r="U1898"/>
      <c r="V1898"/>
      <c r="W1898"/>
      <c r="X1898"/>
    </row>
    <row r="1899" spans="5:24" x14ac:dyDescent="0.3">
      <c r="E1899" s="173"/>
      <c r="F1899" s="173"/>
      <c r="I1899"/>
      <c r="J1899"/>
      <c r="K1899"/>
      <c r="L1899"/>
      <c r="M1899"/>
      <c r="N1899"/>
      <c r="O1899"/>
      <c r="P1899" s="225"/>
      <c r="Q1899" s="225"/>
      <c r="R1899"/>
      <c r="S1899"/>
      <c r="T1899"/>
      <c r="U1899"/>
      <c r="V1899"/>
      <c r="W1899"/>
      <c r="X1899"/>
    </row>
    <row r="1900" spans="5:24" x14ac:dyDescent="0.3">
      <c r="E1900" s="173"/>
      <c r="F1900" s="173"/>
      <c r="I1900"/>
      <c r="J1900"/>
      <c r="K1900"/>
      <c r="L1900"/>
      <c r="M1900"/>
      <c r="N1900"/>
      <c r="O1900"/>
      <c r="P1900" s="225"/>
      <c r="Q1900" s="225"/>
      <c r="R1900"/>
      <c r="S1900"/>
      <c r="T1900"/>
      <c r="U1900"/>
      <c r="V1900"/>
      <c r="W1900"/>
      <c r="X1900"/>
    </row>
    <row r="1901" spans="5:24" x14ac:dyDescent="0.3">
      <c r="E1901" s="173"/>
      <c r="F1901" s="173"/>
      <c r="I1901"/>
      <c r="J1901"/>
      <c r="K1901"/>
      <c r="L1901"/>
      <c r="M1901"/>
      <c r="N1901"/>
      <c r="O1901"/>
      <c r="P1901" s="225"/>
      <c r="Q1901" s="225"/>
      <c r="R1901"/>
      <c r="S1901"/>
      <c r="T1901"/>
      <c r="U1901"/>
      <c r="V1901"/>
      <c r="W1901"/>
      <c r="X1901"/>
    </row>
    <row r="1902" spans="5:24" x14ac:dyDescent="0.3">
      <c r="E1902" s="173"/>
      <c r="F1902" s="173"/>
      <c r="I1902"/>
      <c r="J1902"/>
      <c r="K1902"/>
      <c r="L1902"/>
      <c r="M1902"/>
      <c r="N1902"/>
      <c r="O1902"/>
      <c r="P1902" s="225"/>
      <c r="Q1902" s="225"/>
      <c r="R1902"/>
      <c r="S1902"/>
      <c r="T1902"/>
      <c r="U1902"/>
      <c r="V1902"/>
      <c r="W1902"/>
      <c r="X1902"/>
    </row>
    <row r="1903" spans="5:24" x14ac:dyDescent="0.3">
      <c r="E1903" s="173"/>
      <c r="F1903" s="173"/>
      <c r="I1903"/>
      <c r="J1903"/>
      <c r="K1903"/>
      <c r="L1903"/>
      <c r="M1903"/>
      <c r="N1903"/>
      <c r="O1903"/>
      <c r="P1903" s="225"/>
      <c r="Q1903" s="225"/>
      <c r="R1903"/>
      <c r="S1903"/>
      <c r="T1903"/>
      <c r="U1903"/>
      <c r="V1903"/>
      <c r="W1903"/>
      <c r="X1903"/>
    </row>
    <row r="1904" spans="5:24" x14ac:dyDescent="0.3">
      <c r="E1904" s="173"/>
      <c r="F1904" s="173"/>
      <c r="I1904"/>
      <c r="J1904"/>
      <c r="K1904"/>
      <c r="L1904"/>
      <c r="M1904"/>
      <c r="N1904"/>
      <c r="O1904"/>
      <c r="P1904" s="225"/>
      <c r="Q1904" s="225"/>
      <c r="R1904"/>
      <c r="S1904"/>
      <c r="T1904"/>
      <c r="U1904"/>
      <c r="V1904"/>
      <c r="W1904"/>
      <c r="X1904"/>
    </row>
    <row r="1905" spans="5:24" x14ac:dyDescent="0.3">
      <c r="E1905" s="173"/>
      <c r="F1905" s="173"/>
      <c r="I1905"/>
      <c r="J1905"/>
      <c r="K1905"/>
      <c r="L1905"/>
      <c r="M1905"/>
      <c r="N1905"/>
      <c r="O1905"/>
      <c r="P1905" s="225"/>
      <c r="Q1905" s="225"/>
      <c r="R1905"/>
      <c r="S1905"/>
      <c r="T1905"/>
      <c r="U1905"/>
      <c r="V1905"/>
      <c r="W1905"/>
      <c r="X1905"/>
    </row>
    <row r="1906" spans="5:24" x14ac:dyDescent="0.3">
      <c r="E1906" s="173"/>
      <c r="F1906" s="173"/>
      <c r="I1906"/>
      <c r="J1906"/>
      <c r="K1906"/>
      <c r="L1906"/>
      <c r="M1906"/>
      <c r="N1906"/>
      <c r="O1906"/>
      <c r="P1906" s="225"/>
      <c r="Q1906" s="225"/>
      <c r="R1906"/>
      <c r="S1906"/>
      <c r="T1906"/>
      <c r="U1906"/>
      <c r="V1906"/>
      <c r="W1906"/>
      <c r="X1906"/>
    </row>
    <row r="1907" spans="5:24" x14ac:dyDescent="0.3">
      <c r="E1907" s="173"/>
      <c r="F1907" s="173"/>
      <c r="I1907"/>
      <c r="J1907"/>
      <c r="K1907"/>
      <c r="L1907"/>
      <c r="M1907"/>
      <c r="N1907"/>
      <c r="O1907"/>
      <c r="P1907" s="225"/>
      <c r="Q1907" s="225"/>
      <c r="R1907"/>
      <c r="S1907"/>
      <c r="T1907"/>
      <c r="U1907"/>
      <c r="V1907"/>
      <c r="W1907"/>
      <c r="X1907"/>
    </row>
    <row r="1908" spans="5:24" x14ac:dyDescent="0.3">
      <c r="E1908" s="173"/>
      <c r="F1908" s="173"/>
      <c r="I1908"/>
      <c r="J1908"/>
      <c r="K1908"/>
      <c r="L1908"/>
      <c r="M1908"/>
      <c r="N1908"/>
      <c r="O1908"/>
      <c r="P1908" s="225"/>
      <c r="Q1908" s="225"/>
      <c r="R1908"/>
      <c r="S1908"/>
      <c r="T1908"/>
      <c r="U1908"/>
      <c r="V1908"/>
      <c r="W1908"/>
      <c r="X1908"/>
    </row>
    <row r="1909" spans="5:24" x14ac:dyDescent="0.3">
      <c r="E1909" s="173"/>
      <c r="F1909" s="173"/>
      <c r="I1909"/>
      <c r="J1909"/>
      <c r="K1909"/>
      <c r="L1909"/>
      <c r="M1909"/>
      <c r="N1909"/>
      <c r="O1909"/>
      <c r="P1909" s="225"/>
      <c r="Q1909" s="225"/>
      <c r="R1909"/>
      <c r="S1909"/>
      <c r="T1909"/>
      <c r="U1909"/>
      <c r="V1909"/>
      <c r="W1909"/>
      <c r="X1909"/>
    </row>
    <row r="1910" spans="5:24" x14ac:dyDescent="0.3">
      <c r="E1910" s="173"/>
      <c r="F1910" s="173"/>
      <c r="I1910"/>
      <c r="J1910"/>
      <c r="K1910"/>
      <c r="L1910"/>
      <c r="M1910"/>
      <c r="N1910"/>
      <c r="O1910"/>
      <c r="P1910" s="225"/>
      <c r="Q1910" s="225"/>
      <c r="R1910"/>
      <c r="S1910"/>
      <c r="T1910"/>
      <c r="U1910"/>
      <c r="V1910"/>
      <c r="W1910"/>
      <c r="X1910"/>
    </row>
    <row r="1911" spans="5:24" x14ac:dyDescent="0.3">
      <c r="E1911" s="173"/>
      <c r="F1911" s="173"/>
      <c r="I1911"/>
      <c r="J1911"/>
      <c r="K1911"/>
      <c r="L1911"/>
      <c r="M1911"/>
      <c r="N1911"/>
      <c r="O1911"/>
      <c r="P1911" s="225"/>
      <c r="Q1911" s="225"/>
      <c r="R1911"/>
      <c r="S1911"/>
      <c r="T1911"/>
      <c r="U1911"/>
      <c r="V1911"/>
      <c r="W1911"/>
      <c r="X1911"/>
    </row>
    <row r="1912" spans="5:24" x14ac:dyDescent="0.3">
      <c r="E1912" s="173"/>
      <c r="F1912" s="173"/>
      <c r="I1912"/>
      <c r="J1912"/>
      <c r="K1912"/>
      <c r="L1912"/>
      <c r="M1912"/>
      <c r="N1912"/>
      <c r="O1912"/>
      <c r="P1912" s="225"/>
      <c r="Q1912" s="225"/>
      <c r="R1912"/>
      <c r="S1912"/>
      <c r="T1912"/>
      <c r="U1912"/>
      <c r="V1912"/>
      <c r="W1912"/>
      <c r="X1912"/>
    </row>
    <row r="1913" spans="5:24" x14ac:dyDescent="0.3">
      <c r="E1913" s="173"/>
      <c r="F1913" s="173"/>
      <c r="I1913"/>
      <c r="J1913"/>
      <c r="K1913"/>
      <c r="L1913"/>
      <c r="M1913"/>
      <c r="N1913"/>
      <c r="O1913"/>
      <c r="P1913" s="225"/>
      <c r="Q1913" s="225"/>
      <c r="R1913"/>
      <c r="S1913"/>
      <c r="T1913"/>
      <c r="U1913"/>
      <c r="V1913"/>
      <c r="W1913"/>
      <c r="X1913"/>
    </row>
    <row r="1914" spans="5:24" x14ac:dyDescent="0.3">
      <c r="E1914" s="173"/>
      <c r="F1914" s="173"/>
      <c r="I1914"/>
      <c r="J1914"/>
      <c r="K1914"/>
      <c r="L1914"/>
      <c r="M1914"/>
      <c r="N1914"/>
      <c r="O1914"/>
      <c r="P1914" s="225"/>
      <c r="Q1914" s="225"/>
      <c r="R1914"/>
      <c r="S1914"/>
      <c r="T1914"/>
      <c r="U1914"/>
      <c r="V1914"/>
      <c r="W1914"/>
      <c r="X1914"/>
    </row>
    <row r="1915" spans="5:24" x14ac:dyDescent="0.3">
      <c r="E1915" s="173"/>
      <c r="F1915" s="173"/>
      <c r="I1915"/>
      <c r="J1915"/>
      <c r="K1915"/>
      <c r="L1915"/>
      <c r="M1915"/>
      <c r="N1915"/>
      <c r="O1915"/>
      <c r="P1915" s="225"/>
      <c r="Q1915" s="225"/>
      <c r="R1915"/>
      <c r="S1915"/>
      <c r="T1915"/>
      <c r="U1915"/>
      <c r="V1915"/>
      <c r="W1915"/>
      <c r="X1915"/>
    </row>
    <row r="1916" spans="5:24" x14ac:dyDescent="0.3">
      <c r="E1916" s="173"/>
      <c r="F1916" s="173"/>
      <c r="I1916"/>
      <c r="J1916"/>
      <c r="K1916"/>
      <c r="L1916"/>
      <c r="M1916"/>
      <c r="N1916"/>
      <c r="O1916"/>
      <c r="P1916" s="225"/>
      <c r="Q1916" s="225"/>
      <c r="R1916"/>
      <c r="S1916"/>
      <c r="T1916"/>
      <c r="U1916"/>
      <c r="V1916"/>
      <c r="W1916"/>
      <c r="X1916"/>
    </row>
    <row r="1917" spans="5:24" x14ac:dyDescent="0.3">
      <c r="E1917" s="173"/>
      <c r="F1917" s="173"/>
      <c r="I1917"/>
      <c r="J1917"/>
      <c r="K1917"/>
      <c r="L1917"/>
      <c r="M1917"/>
      <c r="N1917"/>
      <c r="O1917"/>
      <c r="P1917" s="225"/>
      <c r="Q1917" s="225"/>
      <c r="R1917"/>
      <c r="S1917"/>
      <c r="T1917"/>
      <c r="U1917"/>
      <c r="V1917"/>
      <c r="W1917"/>
      <c r="X1917"/>
    </row>
    <row r="1918" spans="5:24" x14ac:dyDescent="0.3">
      <c r="E1918" s="173"/>
      <c r="F1918" s="173"/>
      <c r="I1918"/>
      <c r="J1918"/>
      <c r="K1918"/>
      <c r="L1918"/>
      <c r="M1918"/>
      <c r="N1918"/>
      <c r="O1918"/>
      <c r="P1918" s="225"/>
      <c r="Q1918" s="225"/>
      <c r="R1918"/>
      <c r="S1918"/>
      <c r="T1918"/>
      <c r="U1918"/>
      <c r="V1918"/>
      <c r="W1918"/>
      <c r="X1918"/>
    </row>
    <row r="1919" spans="5:24" x14ac:dyDescent="0.3">
      <c r="E1919" s="173"/>
      <c r="F1919" s="173"/>
      <c r="I1919"/>
      <c r="J1919"/>
      <c r="K1919"/>
      <c r="L1919"/>
      <c r="M1919"/>
      <c r="N1919"/>
      <c r="O1919"/>
      <c r="P1919" s="225"/>
      <c r="Q1919" s="225"/>
      <c r="R1919"/>
      <c r="S1919"/>
      <c r="T1919"/>
      <c r="U1919"/>
      <c r="V1919"/>
      <c r="W1919"/>
      <c r="X1919"/>
    </row>
    <row r="1920" spans="5:24" x14ac:dyDescent="0.3">
      <c r="E1920" s="173"/>
      <c r="F1920" s="173"/>
      <c r="I1920"/>
      <c r="J1920"/>
      <c r="K1920"/>
      <c r="L1920"/>
      <c r="M1920"/>
      <c r="N1920"/>
      <c r="O1920"/>
      <c r="P1920" s="225"/>
      <c r="Q1920" s="225"/>
      <c r="R1920"/>
      <c r="S1920"/>
      <c r="T1920"/>
      <c r="U1920"/>
      <c r="V1920"/>
      <c r="W1920"/>
      <c r="X1920"/>
    </row>
    <row r="1921" spans="5:24" x14ac:dyDescent="0.3">
      <c r="E1921" s="173"/>
      <c r="F1921" s="173"/>
      <c r="I1921"/>
      <c r="J1921"/>
      <c r="K1921"/>
      <c r="L1921"/>
      <c r="M1921"/>
      <c r="N1921"/>
      <c r="O1921"/>
      <c r="P1921" s="225"/>
      <c r="Q1921" s="225"/>
      <c r="R1921"/>
      <c r="S1921"/>
      <c r="T1921"/>
      <c r="U1921"/>
      <c r="V1921"/>
      <c r="W1921"/>
      <c r="X1921"/>
    </row>
    <row r="1922" spans="5:24" x14ac:dyDescent="0.3">
      <c r="E1922" s="173"/>
      <c r="F1922" s="173"/>
      <c r="I1922"/>
      <c r="J1922"/>
      <c r="K1922"/>
      <c r="L1922"/>
      <c r="M1922"/>
      <c r="N1922"/>
      <c r="O1922"/>
      <c r="P1922" s="225"/>
      <c r="Q1922" s="225"/>
      <c r="R1922"/>
      <c r="S1922"/>
      <c r="T1922"/>
      <c r="U1922"/>
      <c r="V1922"/>
      <c r="W1922"/>
      <c r="X1922"/>
    </row>
    <row r="1923" spans="5:24" x14ac:dyDescent="0.3">
      <c r="E1923" s="173"/>
      <c r="F1923" s="173"/>
      <c r="I1923"/>
      <c r="J1923"/>
      <c r="K1923"/>
      <c r="L1923"/>
      <c r="M1923"/>
      <c r="N1923"/>
      <c r="O1923"/>
      <c r="P1923" s="225"/>
      <c r="Q1923" s="225"/>
      <c r="R1923"/>
      <c r="S1923"/>
      <c r="T1923"/>
      <c r="U1923"/>
      <c r="V1923"/>
      <c r="W1923"/>
      <c r="X1923"/>
    </row>
    <row r="1924" spans="5:24" x14ac:dyDescent="0.3">
      <c r="E1924" s="173"/>
      <c r="F1924" s="173"/>
      <c r="I1924"/>
      <c r="J1924"/>
      <c r="K1924"/>
      <c r="L1924"/>
      <c r="M1924"/>
      <c r="N1924"/>
      <c r="O1924"/>
      <c r="P1924" s="225"/>
      <c r="Q1924" s="225"/>
      <c r="R1924"/>
      <c r="S1924"/>
      <c r="T1924"/>
      <c r="U1924"/>
      <c r="V1924"/>
      <c r="W1924"/>
      <c r="X1924"/>
    </row>
    <row r="1925" spans="5:24" x14ac:dyDescent="0.3">
      <c r="E1925" s="173"/>
      <c r="F1925" s="173"/>
      <c r="I1925"/>
      <c r="J1925"/>
      <c r="K1925"/>
      <c r="L1925"/>
      <c r="M1925"/>
      <c r="N1925"/>
      <c r="O1925"/>
      <c r="P1925" s="225"/>
      <c r="Q1925" s="225"/>
      <c r="R1925"/>
      <c r="S1925"/>
      <c r="T1925"/>
      <c r="U1925"/>
      <c r="V1925"/>
      <c r="W1925"/>
      <c r="X1925"/>
    </row>
    <row r="1926" spans="5:24" x14ac:dyDescent="0.3">
      <c r="E1926" s="173"/>
      <c r="F1926" s="173"/>
      <c r="I1926"/>
      <c r="J1926"/>
      <c r="K1926"/>
      <c r="L1926"/>
      <c r="M1926"/>
      <c r="N1926"/>
      <c r="O1926"/>
      <c r="P1926" s="225"/>
      <c r="Q1926" s="225"/>
      <c r="R1926"/>
      <c r="S1926"/>
      <c r="T1926"/>
      <c r="U1926"/>
      <c r="V1926"/>
      <c r="W1926"/>
      <c r="X1926"/>
    </row>
    <row r="1927" spans="5:24" x14ac:dyDescent="0.3">
      <c r="E1927" s="173"/>
      <c r="F1927" s="173"/>
      <c r="I1927"/>
      <c r="J1927"/>
      <c r="K1927"/>
      <c r="L1927"/>
      <c r="M1927"/>
      <c r="N1927"/>
      <c r="O1927"/>
      <c r="P1927" s="225"/>
      <c r="Q1927" s="225"/>
      <c r="R1927"/>
      <c r="S1927"/>
      <c r="T1927"/>
      <c r="U1927"/>
      <c r="V1927"/>
      <c r="W1927"/>
      <c r="X1927"/>
    </row>
    <row r="1928" spans="5:24" x14ac:dyDescent="0.3">
      <c r="E1928" s="173"/>
      <c r="F1928" s="173"/>
      <c r="I1928"/>
      <c r="J1928"/>
      <c r="K1928"/>
      <c r="L1928"/>
      <c r="M1928"/>
      <c r="N1928"/>
      <c r="O1928"/>
      <c r="P1928" s="225"/>
      <c r="Q1928" s="225"/>
      <c r="R1928"/>
      <c r="S1928"/>
      <c r="T1928"/>
      <c r="U1928"/>
      <c r="V1928"/>
      <c r="W1928"/>
      <c r="X1928"/>
    </row>
    <row r="1929" spans="5:24" x14ac:dyDescent="0.3">
      <c r="E1929" s="173"/>
      <c r="F1929" s="173"/>
      <c r="I1929"/>
      <c r="J1929"/>
      <c r="K1929"/>
      <c r="L1929"/>
      <c r="M1929"/>
      <c r="N1929"/>
      <c r="O1929"/>
      <c r="P1929" s="225"/>
      <c r="Q1929" s="225"/>
      <c r="R1929"/>
      <c r="S1929"/>
      <c r="T1929"/>
      <c r="U1929"/>
      <c r="V1929"/>
      <c r="W1929"/>
      <c r="X1929"/>
    </row>
    <row r="1930" spans="5:24" x14ac:dyDescent="0.3">
      <c r="E1930" s="173"/>
      <c r="F1930" s="173"/>
      <c r="I1930"/>
      <c r="J1930"/>
      <c r="K1930"/>
      <c r="L1930"/>
      <c r="M1930"/>
      <c r="N1930"/>
      <c r="O1930"/>
      <c r="P1930" s="225"/>
      <c r="Q1930" s="225"/>
      <c r="R1930"/>
      <c r="S1930"/>
      <c r="T1930"/>
      <c r="U1930"/>
      <c r="V1930"/>
      <c r="W1930"/>
      <c r="X1930"/>
    </row>
    <row r="1931" spans="5:24" x14ac:dyDescent="0.3">
      <c r="E1931" s="173"/>
      <c r="F1931" s="173"/>
      <c r="I1931"/>
      <c r="J1931"/>
      <c r="K1931"/>
      <c r="L1931"/>
      <c r="M1931"/>
      <c r="N1931"/>
      <c r="O1931"/>
      <c r="P1931" s="225"/>
      <c r="Q1931" s="225"/>
      <c r="R1931"/>
      <c r="S1931"/>
      <c r="T1931"/>
      <c r="U1931"/>
      <c r="V1931"/>
      <c r="W1931"/>
      <c r="X1931"/>
    </row>
    <row r="1932" spans="5:24" x14ac:dyDescent="0.3">
      <c r="E1932" s="173"/>
      <c r="F1932" s="173"/>
      <c r="I1932"/>
      <c r="J1932"/>
      <c r="K1932"/>
      <c r="L1932"/>
      <c r="M1932"/>
      <c r="N1932"/>
      <c r="O1932"/>
      <c r="P1932" s="225"/>
      <c r="Q1932" s="225"/>
      <c r="R1932"/>
      <c r="S1932"/>
      <c r="T1932"/>
      <c r="U1932"/>
      <c r="V1932"/>
      <c r="W1932"/>
      <c r="X1932"/>
    </row>
    <row r="1933" spans="5:24" x14ac:dyDescent="0.3">
      <c r="E1933" s="173"/>
      <c r="F1933" s="173"/>
      <c r="I1933"/>
      <c r="J1933"/>
      <c r="K1933"/>
      <c r="L1933"/>
      <c r="M1933"/>
      <c r="N1933"/>
      <c r="O1933"/>
      <c r="P1933" s="225"/>
      <c r="Q1933" s="225"/>
      <c r="R1933"/>
      <c r="S1933"/>
      <c r="T1933"/>
      <c r="U1933"/>
      <c r="V1933"/>
      <c r="W1933"/>
      <c r="X1933"/>
    </row>
    <row r="1934" spans="5:24" x14ac:dyDescent="0.3">
      <c r="E1934" s="173"/>
      <c r="F1934" s="173"/>
      <c r="I1934"/>
      <c r="J1934"/>
      <c r="K1934"/>
      <c r="L1934"/>
      <c r="M1934"/>
      <c r="N1934"/>
      <c r="O1934"/>
      <c r="P1934" s="225"/>
      <c r="Q1934" s="225"/>
      <c r="R1934"/>
      <c r="S1934"/>
      <c r="T1934"/>
      <c r="U1934"/>
      <c r="V1934"/>
      <c r="W1934"/>
      <c r="X1934"/>
    </row>
    <row r="1935" spans="5:24" x14ac:dyDescent="0.3">
      <c r="E1935" s="173"/>
      <c r="F1935" s="173"/>
      <c r="I1935"/>
      <c r="J1935"/>
      <c r="K1935"/>
      <c r="L1935"/>
      <c r="M1935"/>
      <c r="N1935"/>
      <c r="O1935"/>
      <c r="P1935" s="225"/>
      <c r="Q1935" s="225"/>
      <c r="R1935"/>
      <c r="S1935"/>
      <c r="T1935"/>
      <c r="U1935"/>
      <c r="V1935"/>
      <c r="W1935"/>
      <c r="X1935"/>
    </row>
    <row r="1936" spans="5:24" x14ac:dyDescent="0.3">
      <c r="E1936" s="173"/>
      <c r="F1936" s="173"/>
      <c r="I1936"/>
      <c r="J1936"/>
      <c r="K1936"/>
      <c r="L1936"/>
      <c r="M1936"/>
      <c r="N1936"/>
      <c r="O1936"/>
      <c r="P1936" s="225"/>
      <c r="Q1936" s="225"/>
      <c r="R1936"/>
      <c r="S1936"/>
      <c r="T1936"/>
      <c r="U1936"/>
      <c r="V1936"/>
      <c r="W1936"/>
      <c r="X1936"/>
    </row>
    <row r="1937" spans="5:24" x14ac:dyDescent="0.3">
      <c r="E1937" s="173"/>
      <c r="F1937" s="173"/>
      <c r="I1937"/>
      <c r="J1937"/>
      <c r="K1937"/>
      <c r="L1937"/>
      <c r="M1937"/>
      <c r="N1937"/>
      <c r="O1937"/>
      <c r="P1937" s="225"/>
      <c r="Q1937" s="225"/>
      <c r="R1937"/>
      <c r="S1937"/>
      <c r="T1937"/>
      <c r="U1937"/>
      <c r="V1937"/>
      <c r="W1937"/>
      <c r="X1937"/>
    </row>
    <row r="1938" spans="5:24" x14ac:dyDescent="0.3">
      <c r="E1938" s="173"/>
      <c r="F1938" s="173"/>
      <c r="I1938"/>
      <c r="J1938"/>
      <c r="K1938"/>
      <c r="L1938"/>
      <c r="M1938"/>
      <c r="N1938"/>
      <c r="O1938"/>
      <c r="P1938" s="225"/>
      <c r="Q1938" s="225"/>
      <c r="R1938"/>
      <c r="S1938"/>
      <c r="T1938"/>
      <c r="U1938"/>
      <c r="V1938"/>
      <c r="W1938"/>
      <c r="X1938"/>
    </row>
    <row r="1939" spans="5:24" x14ac:dyDescent="0.3">
      <c r="E1939" s="173"/>
      <c r="F1939" s="173"/>
      <c r="I1939"/>
      <c r="J1939"/>
      <c r="K1939"/>
      <c r="L1939"/>
      <c r="M1939"/>
      <c r="N1939"/>
      <c r="O1939"/>
      <c r="P1939" s="225"/>
      <c r="Q1939" s="225"/>
      <c r="R1939"/>
      <c r="S1939"/>
      <c r="T1939"/>
      <c r="U1939"/>
      <c r="V1939"/>
      <c r="W1939"/>
      <c r="X1939"/>
    </row>
    <row r="1940" spans="5:24" x14ac:dyDescent="0.3">
      <c r="E1940" s="173"/>
      <c r="F1940" s="173"/>
      <c r="I1940"/>
      <c r="J1940"/>
      <c r="K1940"/>
      <c r="L1940"/>
      <c r="M1940"/>
      <c r="N1940"/>
      <c r="O1940"/>
      <c r="P1940" s="225"/>
      <c r="Q1940" s="225"/>
      <c r="R1940"/>
      <c r="S1940"/>
      <c r="T1940"/>
      <c r="U1940"/>
      <c r="V1940"/>
      <c r="W1940"/>
      <c r="X1940"/>
    </row>
    <row r="1941" spans="5:24" x14ac:dyDescent="0.3">
      <c r="E1941" s="173"/>
      <c r="F1941" s="173"/>
      <c r="I1941"/>
      <c r="J1941"/>
      <c r="K1941"/>
      <c r="L1941"/>
      <c r="M1941"/>
      <c r="N1941"/>
      <c r="O1941"/>
      <c r="P1941" s="225"/>
      <c r="Q1941" s="225"/>
      <c r="R1941"/>
      <c r="S1941"/>
      <c r="T1941"/>
      <c r="U1941"/>
      <c r="V1941"/>
      <c r="W1941"/>
      <c r="X1941"/>
    </row>
    <row r="1942" spans="5:24" x14ac:dyDescent="0.3">
      <c r="E1942" s="173"/>
      <c r="F1942" s="173"/>
      <c r="I1942"/>
      <c r="J1942"/>
      <c r="K1942"/>
      <c r="L1942"/>
      <c r="M1942"/>
      <c r="N1942"/>
      <c r="O1942"/>
      <c r="P1942" s="225"/>
      <c r="Q1942" s="225"/>
      <c r="R1942"/>
      <c r="S1942"/>
      <c r="T1942"/>
      <c r="U1942"/>
      <c r="V1942"/>
      <c r="W1942"/>
      <c r="X1942"/>
    </row>
    <row r="1943" spans="5:24" x14ac:dyDescent="0.3">
      <c r="E1943" s="173"/>
      <c r="F1943" s="173"/>
      <c r="I1943"/>
      <c r="J1943"/>
      <c r="K1943"/>
      <c r="L1943"/>
      <c r="M1943"/>
      <c r="N1943"/>
      <c r="O1943"/>
      <c r="P1943" s="225"/>
      <c r="Q1943" s="225"/>
      <c r="R1943"/>
      <c r="S1943"/>
      <c r="T1943"/>
      <c r="U1943"/>
      <c r="V1943"/>
      <c r="W1943"/>
      <c r="X1943"/>
    </row>
    <row r="1944" spans="5:24" x14ac:dyDescent="0.3">
      <c r="E1944" s="173"/>
      <c r="F1944" s="173"/>
      <c r="I1944"/>
      <c r="J1944"/>
      <c r="K1944"/>
      <c r="L1944"/>
      <c r="M1944"/>
      <c r="N1944"/>
      <c r="O1944"/>
      <c r="P1944" s="225"/>
      <c r="Q1944" s="225"/>
      <c r="R1944"/>
      <c r="S1944"/>
      <c r="T1944"/>
      <c r="U1944"/>
      <c r="V1944"/>
      <c r="W1944"/>
      <c r="X1944"/>
    </row>
    <row r="1945" spans="5:24" x14ac:dyDescent="0.3">
      <c r="E1945" s="173"/>
      <c r="F1945" s="173"/>
      <c r="I1945"/>
      <c r="J1945"/>
      <c r="K1945"/>
      <c r="L1945"/>
      <c r="M1945"/>
      <c r="N1945"/>
      <c r="O1945"/>
      <c r="P1945" s="225"/>
      <c r="Q1945" s="225"/>
      <c r="R1945"/>
      <c r="S1945"/>
      <c r="T1945"/>
      <c r="U1945"/>
      <c r="V1945"/>
      <c r="W1945"/>
      <c r="X1945"/>
    </row>
    <row r="1946" spans="5:24" x14ac:dyDescent="0.3">
      <c r="E1946" s="173"/>
      <c r="F1946" s="173"/>
      <c r="I1946"/>
      <c r="J1946"/>
      <c r="K1946"/>
      <c r="L1946"/>
      <c r="M1946"/>
      <c r="N1946"/>
      <c r="O1946"/>
      <c r="P1946" s="225"/>
      <c r="Q1946" s="225"/>
      <c r="R1946"/>
      <c r="S1946"/>
      <c r="T1946"/>
      <c r="U1946"/>
      <c r="V1946"/>
      <c r="W1946"/>
      <c r="X1946"/>
    </row>
    <row r="1947" spans="5:24" x14ac:dyDescent="0.3">
      <c r="E1947" s="173"/>
      <c r="F1947" s="173"/>
      <c r="I1947"/>
      <c r="J1947"/>
      <c r="K1947"/>
      <c r="L1947"/>
      <c r="M1947"/>
      <c r="N1947"/>
      <c r="O1947"/>
      <c r="P1947" s="225"/>
      <c r="Q1947" s="225"/>
      <c r="R1947"/>
      <c r="S1947"/>
      <c r="T1947"/>
      <c r="U1947"/>
      <c r="V1947"/>
      <c r="W1947"/>
      <c r="X1947"/>
    </row>
    <row r="1948" spans="5:24" x14ac:dyDescent="0.3">
      <c r="E1948" s="173"/>
      <c r="F1948" s="173"/>
      <c r="I1948"/>
      <c r="J1948"/>
      <c r="K1948"/>
      <c r="L1948"/>
      <c r="M1948"/>
      <c r="N1948"/>
      <c r="O1948"/>
      <c r="P1948" s="225"/>
      <c r="Q1948" s="225"/>
      <c r="R1948"/>
      <c r="S1948"/>
      <c r="T1948"/>
      <c r="U1948"/>
      <c r="V1948"/>
      <c r="W1948"/>
      <c r="X1948"/>
    </row>
    <row r="1949" spans="5:24" x14ac:dyDescent="0.3">
      <c r="E1949" s="173"/>
      <c r="F1949" s="173"/>
      <c r="I1949"/>
      <c r="J1949"/>
      <c r="K1949"/>
      <c r="L1949"/>
      <c r="M1949"/>
      <c r="N1949"/>
      <c r="O1949"/>
      <c r="P1949" s="225"/>
      <c r="Q1949" s="225"/>
      <c r="R1949"/>
      <c r="S1949"/>
      <c r="T1949"/>
      <c r="U1949"/>
      <c r="V1949"/>
      <c r="W1949"/>
      <c r="X1949"/>
    </row>
    <row r="1950" spans="5:24" x14ac:dyDescent="0.3">
      <c r="E1950" s="173"/>
      <c r="F1950" s="173"/>
      <c r="I1950"/>
      <c r="J1950"/>
      <c r="K1950"/>
      <c r="L1950"/>
      <c r="M1950"/>
      <c r="N1950"/>
      <c r="O1950"/>
      <c r="P1950" s="225"/>
      <c r="Q1950" s="225"/>
      <c r="R1950"/>
      <c r="S1950"/>
      <c r="T1950"/>
      <c r="U1950"/>
      <c r="V1950"/>
      <c r="W1950"/>
      <c r="X1950"/>
    </row>
    <row r="1951" spans="5:24" x14ac:dyDescent="0.3">
      <c r="E1951" s="173"/>
      <c r="F1951" s="173"/>
      <c r="I1951"/>
      <c r="J1951"/>
      <c r="K1951"/>
      <c r="L1951"/>
      <c r="M1951"/>
      <c r="N1951"/>
      <c r="O1951"/>
      <c r="P1951" s="225"/>
      <c r="Q1951" s="225"/>
      <c r="R1951"/>
      <c r="S1951"/>
      <c r="T1951"/>
      <c r="U1951"/>
      <c r="V1951"/>
      <c r="W1951"/>
      <c r="X1951"/>
    </row>
    <row r="1952" spans="5:24" x14ac:dyDescent="0.3">
      <c r="E1952" s="173"/>
      <c r="F1952" s="173"/>
      <c r="I1952"/>
      <c r="J1952"/>
      <c r="K1952"/>
      <c r="L1952"/>
      <c r="M1952"/>
      <c r="N1952"/>
      <c r="O1952"/>
      <c r="P1952" s="225"/>
      <c r="Q1952" s="225"/>
      <c r="R1952"/>
      <c r="S1952"/>
      <c r="T1952"/>
      <c r="U1952"/>
      <c r="V1952"/>
      <c r="W1952"/>
      <c r="X1952"/>
    </row>
    <row r="1953" spans="5:24" x14ac:dyDescent="0.3">
      <c r="E1953" s="173"/>
      <c r="F1953" s="173"/>
      <c r="I1953"/>
      <c r="J1953"/>
      <c r="K1953"/>
      <c r="L1953"/>
      <c r="M1953"/>
      <c r="N1953"/>
      <c r="O1953"/>
      <c r="P1953" s="225"/>
      <c r="Q1953" s="225"/>
      <c r="R1953"/>
      <c r="S1953"/>
      <c r="T1953"/>
      <c r="U1953"/>
      <c r="V1953"/>
      <c r="W1953"/>
      <c r="X1953"/>
    </row>
    <row r="1954" spans="5:24" x14ac:dyDescent="0.3">
      <c r="E1954" s="173"/>
      <c r="F1954" s="173"/>
      <c r="I1954"/>
      <c r="J1954"/>
      <c r="K1954"/>
      <c r="L1954"/>
      <c r="M1954"/>
      <c r="N1954"/>
      <c r="O1954"/>
      <c r="P1954" s="225"/>
      <c r="Q1954" s="225"/>
      <c r="R1954"/>
      <c r="S1954"/>
      <c r="T1954"/>
      <c r="U1954"/>
      <c r="V1954"/>
      <c r="W1954"/>
      <c r="X1954"/>
    </row>
    <row r="1955" spans="5:24" x14ac:dyDescent="0.3">
      <c r="E1955" s="173"/>
      <c r="F1955" s="173"/>
      <c r="I1955"/>
      <c r="J1955"/>
      <c r="K1955"/>
      <c r="L1955"/>
      <c r="M1955"/>
      <c r="N1955"/>
      <c r="O1955"/>
      <c r="P1955" s="225"/>
      <c r="Q1955" s="225"/>
      <c r="R1955"/>
      <c r="S1955"/>
      <c r="T1955"/>
      <c r="U1955"/>
      <c r="V1955"/>
      <c r="W1955"/>
      <c r="X1955"/>
    </row>
    <row r="1956" spans="5:24" x14ac:dyDescent="0.3">
      <c r="E1956" s="173"/>
      <c r="F1956" s="173"/>
      <c r="I1956"/>
      <c r="J1956"/>
      <c r="K1956"/>
      <c r="L1956"/>
      <c r="M1956"/>
      <c r="N1956"/>
      <c r="O1956"/>
      <c r="P1956" s="225"/>
      <c r="Q1956" s="225"/>
      <c r="R1956"/>
      <c r="S1956"/>
      <c r="T1956"/>
      <c r="U1956"/>
      <c r="V1956"/>
      <c r="W1956"/>
      <c r="X1956"/>
    </row>
    <row r="1957" spans="5:24" x14ac:dyDescent="0.3">
      <c r="E1957" s="173"/>
      <c r="F1957" s="173"/>
      <c r="I1957"/>
      <c r="J1957"/>
      <c r="K1957"/>
      <c r="L1957"/>
      <c r="M1957"/>
      <c r="N1957"/>
      <c r="O1957"/>
      <c r="P1957" s="225"/>
      <c r="Q1957" s="225"/>
      <c r="R1957"/>
      <c r="S1957"/>
      <c r="T1957"/>
      <c r="U1957"/>
      <c r="V1957"/>
      <c r="W1957"/>
      <c r="X1957"/>
    </row>
    <row r="1958" spans="5:24" x14ac:dyDescent="0.3">
      <c r="E1958" s="173"/>
      <c r="F1958" s="173"/>
      <c r="I1958"/>
      <c r="J1958"/>
      <c r="K1958"/>
      <c r="L1958"/>
      <c r="M1958"/>
      <c r="N1958"/>
      <c r="O1958"/>
      <c r="P1958" s="225"/>
      <c r="Q1958" s="225"/>
      <c r="R1958"/>
      <c r="S1958"/>
      <c r="T1958"/>
      <c r="U1958"/>
      <c r="V1958"/>
      <c r="W1958"/>
      <c r="X1958"/>
    </row>
    <row r="1959" spans="5:24" x14ac:dyDescent="0.3">
      <c r="E1959" s="173"/>
      <c r="F1959" s="173"/>
      <c r="I1959"/>
      <c r="J1959"/>
      <c r="K1959"/>
      <c r="L1959"/>
      <c r="M1959"/>
      <c r="N1959"/>
      <c r="O1959"/>
      <c r="P1959" s="225"/>
      <c r="Q1959" s="225"/>
      <c r="R1959"/>
      <c r="S1959"/>
      <c r="T1959"/>
      <c r="U1959"/>
      <c r="V1959"/>
      <c r="W1959"/>
      <c r="X1959"/>
    </row>
    <row r="1960" spans="5:24" x14ac:dyDescent="0.3">
      <c r="E1960" s="173"/>
      <c r="F1960" s="173"/>
      <c r="I1960"/>
      <c r="J1960"/>
      <c r="K1960"/>
      <c r="L1960"/>
      <c r="M1960"/>
      <c r="N1960"/>
      <c r="O1960"/>
      <c r="P1960" s="225"/>
      <c r="Q1960" s="225"/>
      <c r="R1960"/>
      <c r="S1960"/>
      <c r="T1960"/>
      <c r="U1960"/>
      <c r="V1960"/>
      <c r="W1960"/>
      <c r="X1960"/>
    </row>
    <row r="1961" spans="5:24" x14ac:dyDescent="0.3">
      <c r="E1961" s="173"/>
      <c r="F1961" s="173"/>
      <c r="I1961"/>
      <c r="J1961"/>
      <c r="K1961"/>
      <c r="L1961"/>
      <c r="M1961"/>
      <c r="N1961"/>
      <c r="O1961"/>
      <c r="P1961" s="225"/>
      <c r="Q1961" s="225"/>
      <c r="R1961"/>
      <c r="S1961"/>
      <c r="T1961"/>
      <c r="U1961"/>
      <c r="V1961"/>
      <c r="W1961"/>
      <c r="X1961"/>
    </row>
    <row r="1962" spans="5:24" x14ac:dyDescent="0.3">
      <c r="E1962" s="173"/>
      <c r="F1962" s="173"/>
      <c r="I1962"/>
      <c r="J1962"/>
      <c r="K1962"/>
      <c r="L1962"/>
      <c r="M1962"/>
      <c r="N1962"/>
      <c r="O1962"/>
      <c r="P1962" s="225"/>
      <c r="Q1962" s="225"/>
      <c r="R1962"/>
      <c r="S1962"/>
      <c r="T1962"/>
      <c r="U1962"/>
      <c r="V1962"/>
      <c r="W1962"/>
      <c r="X1962"/>
    </row>
    <row r="1963" spans="5:24" x14ac:dyDescent="0.3">
      <c r="E1963" s="173"/>
      <c r="F1963" s="173"/>
      <c r="I1963"/>
      <c r="J1963"/>
      <c r="K1963"/>
      <c r="L1963"/>
      <c r="M1963"/>
      <c r="N1963"/>
      <c r="O1963"/>
      <c r="P1963" s="225"/>
      <c r="Q1963" s="225"/>
      <c r="R1963"/>
      <c r="S1963"/>
      <c r="T1963"/>
      <c r="U1963"/>
      <c r="V1963"/>
      <c r="W1963"/>
      <c r="X1963"/>
    </row>
    <row r="1964" spans="5:24" x14ac:dyDescent="0.3">
      <c r="E1964" s="173"/>
      <c r="F1964" s="173"/>
      <c r="I1964"/>
      <c r="J1964"/>
      <c r="K1964"/>
      <c r="L1964"/>
      <c r="M1964"/>
      <c r="N1964"/>
      <c r="O1964"/>
      <c r="P1964" s="225"/>
      <c r="Q1964" s="225"/>
      <c r="R1964"/>
      <c r="S1964"/>
      <c r="T1964"/>
      <c r="U1964"/>
      <c r="V1964"/>
      <c r="W1964"/>
      <c r="X1964"/>
    </row>
    <row r="1965" spans="5:24" x14ac:dyDescent="0.3">
      <c r="E1965" s="173"/>
      <c r="F1965" s="173"/>
      <c r="I1965"/>
      <c r="J1965"/>
      <c r="K1965"/>
      <c r="L1965"/>
      <c r="M1965"/>
      <c r="N1965"/>
      <c r="O1965"/>
      <c r="P1965" s="225"/>
      <c r="Q1965" s="225"/>
      <c r="R1965"/>
      <c r="S1965"/>
      <c r="T1965"/>
      <c r="U1965"/>
      <c r="V1965"/>
      <c r="W1965"/>
      <c r="X1965"/>
    </row>
    <row r="1966" spans="5:24" x14ac:dyDescent="0.3">
      <c r="E1966" s="173"/>
      <c r="F1966" s="173"/>
      <c r="I1966"/>
      <c r="J1966"/>
      <c r="K1966"/>
      <c r="L1966"/>
      <c r="M1966"/>
      <c r="N1966"/>
      <c r="O1966"/>
      <c r="P1966" s="225"/>
      <c r="Q1966" s="225"/>
      <c r="R1966"/>
      <c r="S1966"/>
      <c r="T1966"/>
      <c r="U1966"/>
      <c r="V1966"/>
      <c r="W1966"/>
      <c r="X1966"/>
    </row>
    <row r="1967" spans="5:24" x14ac:dyDescent="0.3">
      <c r="E1967" s="173"/>
      <c r="F1967" s="173"/>
      <c r="I1967"/>
      <c r="J1967"/>
      <c r="K1967"/>
      <c r="L1967"/>
      <c r="M1967"/>
      <c r="N1967"/>
      <c r="O1967"/>
      <c r="P1967" s="225"/>
      <c r="Q1967" s="225"/>
      <c r="R1967"/>
      <c r="S1967"/>
      <c r="T1967"/>
      <c r="U1967"/>
      <c r="V1967"/>
      <c r="W1967"/>
      <c r="X1967"/>
    </row>
    <row r="1968" spans="5:24" x14ac:dyDescent="0.3">
      <c r="E1968" s="173"/>
      <c r="F1968" s="173"/>
      <c r="I1968"/>
      <c r="J1968"/>
      <c r="K1968"/>
      <c r="L1968"/>
      <c r="M1968"/>
      <c r="N1968"/>
      <c r="O1968"/>
      <c r="P1968" s="225"/>
      <c r="Q1968" s="225"/>
      <c r="R1968"/>
      <c r="S1968"/>
      <c r="T1968"/>
      <c r="U1968"/>
      <c r="V1968"/>
      <c r="W1968"/>
      <c r="X1968"/>
    </row>
    <row r="1969" spans="5:24" x14ac:dyDescent="0.3">
      <c r="E1969" s="173"/>
      <c r="F1969" s="173"/>
      <c r="I1969"/>
      <c r="J1969"/>
      <c r="K1969"/>
      <c r="L1969"/>
      <c r="M1969"/>
      <c r="N1969"/>
      <c r="O1969"/>
      <c r="P1969" s="225"/>
      <c r="Q1969" s="225"/>
      <c r="R1969"/>
      <c r="S1969"/>
      <c r="T1969"/>
      <c r="U1969"/>
      <c r="V1969"/>
      <c r="W1969"/>
      <c r="X1969"/>
    </row>
    <row r="1970" spans="5:24" x14ac:dyDescent="0.3">
      <c r="E1970" s="173"/>
      <c r="F1970" s="173"/>
      <c r="I1970"/>
      <c r="J1970"/>
      <c r="K1970"/>
      <c r="L1970"/>
      <c r="M1970"/>
      <c r="N1970"/>
      <c r="O1970"/>
      <c r="P1970" s="225"/>
      <c r="Q1970" s="225"/>
      <c r="R1970"/>
      <c r="S1970"/>
      <c r="T1970"/>
      <c r="U1970"/>
      <c r="V1970"/>
      <c r="W1970"/>
      <c r="X1970"/>
    </row>
    <row r="1971" spans="5:24" x14ac:dyDescent="0.3">
      <c r="E1971" s="173"/>
      <c r="F1971" s="173"/>
      <c r="I1971"/>
      <c r="J1971"/>
      <c r="K1971"/>
      <c r="L1971"/>
      <c r="M1971"/>
      <c r="N1971"/>
      <c r="O1971"/>
      <c r="P1971" s="225"/>
      <c r="Q1971" s="225"/>
      <c r="R1971"/>
      <c r="S1971"/>
      <c r="T1971"/>
      <c r="U1971"/>
      <c r="V1971"/>
      <c r="W1971"/>
      <c r="X1971"/>
    </row>
    <row r="1972" spans="5:24" x14ac:dyDescent="0.3">
      <c r="E1972" s="173"/>
      <c r="F1972" s="173"/>
      <c r="I1972"/>
      <c r="J1972"/>
      <c r="K1972"/>
      <c r="L1972"/>
      <c r="M1972"/>
      <c r="N1972"/>
      <c r="O1972"/>
      <c r="P1972" s="225"/>
      <c r="Q1972" s="225"/>
      <c r="R1972"/>
      <c r="S1972"/>
      <c r="T1972"/>
      <c r="U1972"/>
      <c r="V1972"/>
      <c r="W1972"/>
      <c r="X1972"/>
    </row>
    <row r="1973" spans="5:24" x14ac:dyDescent="0.3">
      <c r="E1973" s="173"/>
      <c r="F1973" s="173"/>
      <c r="I1973"/>
      <c r="J1973"/>
      <c r="K1973"/>
      <c r="L1973"/>
      <c r="M1973"/>
      <c r="N1973"/>
      <c r="O1973"/>
      <c r="P1973" s="225"/>
      <c r="Q1973" s="225"/>
      <c r="R1973"/>
      <c r="S1973"/>
      <c r="T1973"/>
      <c r="U1973"/>
      <c r="V1973"/>
      <c r="W1973"/>
      <c r="X1973"/>
    </row>
    <row r="1974" spans="5:24" x14ac:dyDescent="0.3">
      <c r="E1974" s="173"/>
      <c r="F1974" s="173"/>
      <c r="I1974"/>
      <c r="J1974"/>
      <c r="K1974"/>
      <c r="L1974"/>
      <c r="M1974"/>
      <c r="N1974"/>
      <c r="O1974"/>
      <c r="P1974" s="225"/>
      <c r="Q1974" s="225"/>
      <c r="R1974"/>
      <c r="S1974"/>
      <c r="T1974"/>
      <c r="U1974"/>
      <c r="V1974"/>
      <c r="W1974"/>
      <c r="X1974"/>
    </row>
    <row r="1975" spans="5:24" x14ac:dyDescent="0.3">
      <c r="E1975" s="173"/>
      <c r="F1975" s="173"/>
      <c r="I1975"/>
      <c r="J1975"/>
      <c r="K1975"/>
      <c r="L1975"/>
      <c r="M1975"/>
      <c r="N1975"/>
      <c r="O1975"/>
      <c r="P1975" s="225"/>
      <c r="Q1975" s="225"/>
      <c r="R1975"/>
      <c r="S1975"/>
      <c r="T1975"/>
      <c r="U1975"/>
      <c r="V1975"/>
      <c r="W1975"/>
      <c r="X1975"/>
    </row>
    <row r="1976" spans="5:24" x14ac:dyDescent="0.3">
      <c r="E1976" s="173"/>
      <c r="F1976" s="173"/>
      <c r="I1976"/>
      <c r="J1976"/>
      <c r="K1976"/>
      <c r="L1976"/>
      <c r="M1976"/>
      <c r="N1976"/>
      <c r="O1976"/>
      <c r="P1976" s="225"/>
      <c r="Q1976" s="225"/>
      <c r="R1976"/>
      <c r="S1976"/>
      <c r="T1976"/>
      <c r="U1976"/>
      <c r="V1976"/>
      <c r="W1976"/>
      <c r="X1976"/>
    </row>
    <row r="1977" spans="5:24" x14ac:dyDescent="0.3">
      <c r="E1977" s="173"/>
      <c r="F1977" s="173"/>
      <c r="I1977"/>
      <c r="J1977"/>
      <c r="K1977"/>
      <c r="L1977"/>
      <c r="M1977"/>
      <c r="N1977"/>
      <c r="O1977"/>
      <c r="P1977" s="225"/>
      <c r="Q1977" s="225"/>
      <c r="R1977"/>
      <c r="S1977"/>
      <c r="T1977"/>
      <c r="U1977"/>
      <c r="V1977"/>
      <c r="W1977"/>
      <c r="X1977"/>
    </row>
    <row r="1978" spans="5:24" x14ac:dyDescent="0.3">
      <c r="E1978" s="173"/>
      <c r="F1978" s="173"/>
      <c r="I1978"/>
      <c r="J1978"/>
      <c r="K1978"/>
      <c r="L1978"/>
      <c r="M1978"/>
      <c r="N1978"/>
      <c r="O1978"/>
      <c r="P1978" s="225"/>
      <c r="Q1978" s="225"/>
      <c r="R1978"/>
      <c r="S1978"/>
      <c r="T1978"/>
      <c r="U1978"/>
      <c r="V1978"/>
      <c r="W1978"/>
      <c r="X1978"/>
    </row>
    <row r="1979" spans="5:24" x14ac:dyDescent="0.3">
      <c r="E1979" s="173"/>
      <c r="F1979" s="173"/>
      <c r="I1979"/>
      <c r="J1979"/>
      <c r="K1979"/>
      <c r="L1979"/>
      <c r="M1979"/>
      <c r="N1979"/>
      <c r="O1979"/>
      <c r="P1979" s="225"/>
      <c r="Q1979" s="225"/>
      <c r="R1979"/>
      <c r="S1979"/>
      <c r="T1979"/>
      <c r="U1979"/>
      <c r="V1979"/>
      <c r="W1979"/>
      <c r="X1979"/>
    </row>
    <row r="1980" spans="5:24" x14ac:dyDescent="0.3">
      <c r="E1980" s="173"/>
      <c r="F1980" s="173"/>
      <c r="I1980"/>
      <c r="J1980"/>
      <c r="K1980"/>
      <c r="L1980"/>
      <c r="M1980"/>
      <c r="N1980"/>
      <c r="O1980"/>
      <c r="P1980" s="225"/>
      <c r="Q1980" s="225"/>
      <c r="R1980"/>
      <c r="S1980"/>
      <c r="T1980"/>
      <c r="U1980"/>
      <c r="V1980"/>
      <c r="W1980"/>
      <c r="X1980"/>
    </row>
    <row r="1981" spans="5:24" x14ac:dyDescent="0.3">
      <c r="E1981" s="173"/>
      <c r="F1981" s="173"/>
      <c r="I1981"/>
      <c r="J1981"/>
      <c r="K1981"/>
      <c r="L1981"/>
      <c r="M1981"/>
      <c r="N1981"/>
      <c r="O1981"/>
      <c r="P1981" s="225"/>
      <c r="Q1981" s="225"/>
      <c r="R1981"/>
      <c r="S1981"/>
      <c r="T1981"/>
      <c r="U1981"/>
      <c r="V1981"/>
      <c r="W1981"/>
      <c r="X1981"/>
    </row>
    <row r="1982" spans="5:24" x14ac:dyDescent="0.3">
      <c r="E1982" s="173"/>
      <c r="F1982" s="173"/>
      <c r="I1982"/>
      <c r="J1982"/>
      <c r="K1982"/>
      <c r="L1982"/>
      <c r="M1982"/>
      <c r="N1982"/>
      <c r="O1982"/>
      <c r="P1982" s="225"/>
      <c r="Q1982" s="225"/>
      <c r="R1982"/>
      <c r="S1982"/>
      <c r="T1982"/>
      <c r="U1982"/>
      <c r="V1982"/>
      <c r="W1982"/>
      <c r="X1982"/>
    </row>
    <row r="1983" spans="5:24" x14ac:dyDescent="0.3">
      <c r="E1983" s="173"/>
      <c r="F1983" s="173"/>
      <c r="I1983"/>
      <c r="J1983"/>
      <c r="K1983"/>
      <c r="L1983"/>
      <c r="M1983"/>
      <c r="N1983"/>
      <c r="O1983"/>
      <c r="P1983" s="225"/>
      <c r="Q1983" s="225"/>
      <c r="R1983"/>
      <c r="S1983"/>
      <c r="T1983"/>
      <c r="U1983"/>
      <c r="V1983"/>
      <c r="W1983"/>
      <c r="X1983"/>
    </row>
    <row r="1984" spans="5:24" x14ac:dyDescent="0.3">
      <c r="E1984" s="173"/>
      <c r="F1984" s="173"/>
      <c r="I1984"/>
      <c r="J1984"/>
      <c r="K1984"/>
      <c r="L1984"/>
      <c r="M1984"/>
      <c r="N1984"/>
      <c r="O1984"/>
      <c r="P1984" s="225"/>
      <c r="Q1984" s="225"/>
      <c r="R1984"/>
      <c r="S1984"/>
      <c r="T1984"/>
      <c r="U1984"/>
      <c r="V1984"/>
      <c r="W1984"/>
      <c r="X1984"/>
    </row>
    <row r="1985" spans="5:24" x14ac:dyDescent="0.3">
      <c r="E1985" s="173"/>
      <c r="F1985" s="173"/>
      <c r="I1985"/>
      <c r="J1985"/>
      <c r="K1985"/>
      <c r="L1985"/>
      <c r="M1985"/>
      <c r="N1985"/>
      <c r="O1985"/>
      <c r="P1985" s="225"/>
      <c r="Q1985" s="225"/>
      <c r="R1985"/>
      <c r="S1985"/>
      <c r="T1985"/>
      <c r="U1985"/>
      <c r="V1985"/>
      <c r="W1985"/>
      <c r="X1985"/>
    </row>
    <row r="1986" spans="5:24" x14ac:dyDescent="0.3">
      <c r="E1986" s="173"/>
      <c r="F1986" s="173"/>
      <c r="I1986"/>
      <c r="J1986"/>
      <c r="K1986"/>
      <c r="L1986"/>
      <c r="M1986"/>
      <c r="N1986"/>
      <c r="O1986"/>
      <c r="P1986" s="225"/>
      <c r="Q1986" s="225"/>
      <c r="R1986"/>
      <c r="S1986"/>
      <c r="T1986"/>
      <c r="U1986"/>
      <c r="V1986"/>
      <c r="W1986"/>
      <c r="X1986"/>
    </row>
    <row r="1987" spans="5:24" x14ac:dyDescent="0.3">
      <c r="E1987" s="173"/>
      <c r="F1987" s="173"/>
      <c r="I1987"/>
      <c r="J1987"/>
      <c r="K1987"/>
      <c r="L1987"/>
      <c r="M1987"/>
      <c r="N1987"/>
      <c r="O1987"/>
      <c r="P1987" s="225"/>
      <c r="Q1987" s="225"/>
      <c r="R1987"/>
      <c r="S1987"/>
      <c r="T1987"/>
      <c r="U1987"/>
      <c r="V1987"/>
      <c r="W1987"/>
      <c r="X1987"/>
    </row>
    <row r="1988" spans="5:24" x14ac:dyDescent="0.3">
      <c r="E1988" s="173"/>
      <c r="F1988" s="173"/>
      <c r="I1988"/>
      <c r="J1988"/>
      <c r="K1988"/>
      <c r="L1988"/>
      <c r="M1988"/>
      <c r="N1988"/>
      <c r="O1988"/>
      <c r="P1988" s="225"/>
      <c r="Q1988" s="225"/>
      <c r="R1988"/>
      <c r="S1988"/>
      <c r="T1988"/>
      <c r="U1988"/>
      <c r="V1988"/>
      <c r="W1988"/>
      <c r="X1988"/>
    </row>
    <row r="1989" spans="5:24" x14ac:dyDescent="0.3">
      <c r="E1989" s="173"/>
      <c r="F1989" s="173"/>
      <c r="I1989"/>
      <c r="J1989"/>
      <c r="K1989"/>
      <c r="L1989"/>
      <c r="M1989"/>
      <c r="N1989"/>
      <c r="O1989"/>
      <c r="P1989" s="225"/>
      <c r="Q1989" s="225"/>
      <c r="R1989"/>
      <c r="S1989"/>
      <c r="T1989"/>
      <c r="U1989"/>
      <c r="V1989"/>
      <c r="W1989"/>
      <c r="X1989"/>
    </row>
    <row r="1990" spans="5:24" x14ac:dyDescent="0.3">
      <c r="E1990" s="173"/>
      <c r="F1990" s="173"/>
      <c r="I1990"/>
      <c r="J1990"/>
      <c r="K1990"/>
      <c r="L1990"/>
      <c r="M1990"/>
      <c r="N1990"/>
      <c r="O1990"/>
      <c r="P1990" s="225"/>
      <c r="Q1990" s="225"/>
      <c r="R1990"/>
      <c r="S1990"/>
      <c r="T1990"/>
      <c r="U1990"/>
      <c r="V1990"/>
      <c r="W1990"/>
      <c r="X1990"/>
    </row>
    <row r="1991" spans="5:24" x14ac:dyDescent="0.3">
      <c r="E1991" s="173"/>
      <c r="F1991" s="173"/>
      <c r="I1991"/>
      <c r="J1991"/>
      <c r="K1991"/>
      <c r="L1991"/>
      <c r="M1991"/>
      <c r="N1991"/>
      <c r="O1991"/>
      <c r="P1991" s="225"/>
      <c r="Q1991" s="225"/>
      <c r="R1991"/>
      <c r="S1991"/>
      <c r="T1991"/>
      <c r="U1991"/>
      <c r="V1991"/>
      <c r="W1991"/>
      <c r="X1991"/>
    </row>
    <row r="1992" spans="5:24" x14ac:dyDescent="0.3">
      <c r="E1992" s="173"/>
      <c r="F1992" s="173"/>
      <c r="I1992"/>
      <c r="J1992"/>
      <c r="K1992"/>
      <c r="L1992"/>
      <c r="M1992"/>
      <c r="N1992"/>
      <c r="O1992"/>
      <c r="P1992" s="225"/>
      <c r="Q1992" s="225"/>
      <c r="R1992"/>
      <c r="S1992"/>
      <c r="T1992"/>
      <c r="U1992"/>
      <c r="V1992"/>
      <c r="W1992"/>
      <c r="X1992"/>
    </row>
    <row r="1993" spans="5:24" x14ac:dyDescent="0.3">
      <c r="E1993" s="173"/>
      <c r="F1993" s="173"/>
      <c r="I1993"/>
      <c r="J1993"/>
      <c r="K1993"/>
      <c r="L1993"/>
      <c r="M1993"/>
      <c r="N1993"/>
      <c r="O1993"/>
      <c r="P1993" s="225"/>
      <c r="Q1993" s="225"/>
      <c r="R1993"/>
      <c r="S1993"/>
      <c r="T1993"/>
      <c r="U1993"/>
      <c r="V1993"/>
      <c r="W1993"/>
      <c r="X1993"/>
    </row>
    <row r="1994" spans="5:24" x14ac:dyDescent="0.3">
      <c r="E1994" s="173"/>
      <c r="F1994" s="173"/>
      <c r="I1994"/>
      <c r="J1994"/>
      <c r="K1994"/>
      <c r="L1994"/>
      <c r="M1994"/>
      <c r="N1994"/>
      <c r="O1994"/>
      <c r="P1994" s="225"/>
      <c r="Q1994" s="225"/>
      <c r="R1994"/>
      <c r="S1994"/>
      <c r="T1994"/>
      <c r="U1994"/>
      <c r="V1994"/>
      <c r="W1994"/>
      <c r="X1994"/>
    </row>
    <row r="1995" spans="5:24" x14ac:dyDescent="0.3">
      <c r="E1995" s="173"/>
      <c r="F1995" s="173"/>
      <c r="I1995"/>
      <c r="J1995"/>
      <c r="K1995"/>
      <c r="L1995"/>
      <c r="M1995"/>
      <c r="N1995"/>
      <c r="O1995"/>
      <c r="P1995" s="225"/>
      <c r="Q1995" s="225"/>
      <c r="R1995"/>
      <c r="S1995"/>
      <c r="T1995"/>
      <c r="U1995"/>
      <c r="V1995"/>
      <c r="W1995"/>
      <c r="X1995"/>
    </row>
    <row r="1996" spans="5:24" x14ac:dyDescent="0.3">
      <c r="E1996" s="173"/>
      <c r="F1996" s="173"/>
      <c r="I1996"/>
      <c r="J1996"/>
      <c r="K1996"/>
      <c r="L1996"/>
      <c r="M1996"/>
      <c r="N1996"/>
      <c r="O1996"/>
      <c r="P1996" s="225"/>
      <c r="Q1996" s="225"/>
      <c r="R1996"/>
      <c r="S1996"/>
      <c r="T1996"/>
      <c r="U1996"/>
      <c r="V1996"/>
      <c r="W1996"/>
      <c r="X1996"/>
    </row>
    <row r="1997" spans="5:24" x14ac:dyDescent="0.3">
      <c r="E1997" s="173"/>
      <c r="F1997" s="173"/>
      <c r="I1997"/>
      <c r="J1997"/>
      <c r="K1997"/>
      <c r="L1997"/>
      <c r="M1997"/>
      <c r="N1997"/>
      <c r="O1997"/>
      <c r="P1997" s="225"/>
      <c r="Q1997" s="225"/>
      <c r="R1997"/>
      <c r="S1997"/>
      <c r="T1997"/>
      <c r="U1997"/>
      <c r="V1997"/>
      <c r="W1997"/>
      <c r="X1997"/>
    </row>
    <row r="1998" spans="5:24" x14ac:dyDescent="0.3">
      <c r="E1998" s="173"/>
      <c r="F1998" s="173"/>
      <c r="I1998"/>
      <c r="J1998"/>
      <c r="K1998"/>
      <c r="L1998"/>
      <c r="M1998"/>
      <c r="N1998"/>
      <c r="O1998"/>
      <c r="P1998" s="225"/>
      <c r="Q1998" s="225"/>
      <c r="R1998"/>
      <c r="S1998"/>
      <c r="T1998"/>
      <c r="U1998"/>
      <c r="V1998"/>
      <c r="W1998"/>
      <c r="X1998"/>
    </row>
    <row r="1999" spans="5:24" x14ac:dyDescent="0.3">
      <c r="E1999" s="173"/>
      <c r="F1999" s="173"/>
      <c r="I1999"/>
      <c r="J1999"/>
      <c r="K1999"/>
      <c r="L1999"/>
      <c r="M1999"/>
      <c r="N1999"/>
      <c r="O1999"/>
      <c r="P1999" s="225"/>
      <c r="Q1999" s="225"/>
      <c r="R1999"/>
      <c r="S1999"/>
      <c r="T1999"/>
      <c r="U1999"/>
      <c r="V1999"/>
      <c r="W1999"/>
      <c r="X1999"/>
    </row>
    <row r="2000" spans="5:24" x14ac:dyDescent="0.3">
      <c r="E2000" s="173"/>
      <c r="F2000" s="173"/>
      <c r="I2000"/>
      <c r="J2000"/>
      <c r="K2000"/>
      <c r="L2000"/>
      <c r="M2000"/>
      <c r="N2000"/>
      <c r="O2000"/>
      <c r="P2000" s="225"/>
      <c r="Q2000" s="225"/>
      <c r="R2000"/>
      <c r="S2000"/>
      <c r="T2000"/>
      <c r="U2000"/>
      <c r="V2000"/>
      <c r="W2000"/>
      <c r="X2000"/>
    </row>
    <row r="2001" spans="5:24" x14ac:dyDescent="0.3">
      <c r="E2001" s="173"/>
      <c r="F2001" s="173"/>
      <c r="I2001"/>
      <c r="J2001"/>
      <c r="K2001"/>
      <c r="L2001"/>
      <c r="M2001"/>
      <c r="N2001"/>
      <c r="O2001"/>
      <c r="P2001" s="225"/>
      <c r="Q2001" s="225"/>
      <c r="R2001"/>
      <c r="S2001"/>
      <c r="T2001"/>
      <c r="U2001"/>
      <c r="V2001"/>
      <c r="W2001"/>
      <c r="X2001"/>
    </row>
    <row r="2002" spans="5:24" x14ac:dyDescent="0.3">
      <c r="E2002" s="173"/>
      <c r="F2002" s="173"/>
      <c r="I2002"/>
      <c r="J2002"/>
      <c r="K2002"/>
      <c r="L2002"/>
      <c r="M2002"/>
      <c r="N2002"/>
      <c r="O2002"/>
      <c r="P2002" s="225"/>
      <c r="Q2002" s="225"/>
      <c r="R2002"/>
      <c r="S2002"/>
      <c r="T2002"/>
      <c r="U2002"/>
      <c r="V2002"/>
      <c r="W2002"/>
      <c r="X2002"/>
    </row>
    <row r="2003" spans="5:24" x14ac:dyDescent="0.3">
      <c r="E2003" s="173"/>
      <c r="F2003" s="173"/>
      <c r="I2003"/>
      <c r="J2003"/>
      <c r="K2003"/>
      <c r="L2003"/>
      <c r="M2003"/>
      <c r="N2003"/>
      <c r="O2003"/>
      <c r="P2003" s="225"/>
      <c r="Q2003" s="225"/>
      <c r="R2003"/>
      <c r="S2003"/>
      <c r="T2003"/>
      <c r="U2003"/>
      <c r="V2003"/>
      <c r="W2003"/>
      <c r="X2003"/>
    </row>
    <row r="2004" spans="5:24" x14ac:dyDescent="0.3">
      <c r="E2004" s="173"/>
      <c r="F2004" s="173"/>
      <c r="I2004"/>
      <c r="J2004"/>
      <c r="K2004"/>
      <c r="L2004"/>
      <c r="M2004"/>
      <c r="N2004"/>
      <c r="O2004"/>
      <c r="P2004" s="225"/>
      <c r="Q2004" s="225"/>
      <c r="R2004"/>
      <c r="S2004"/>
      <c r="T2004"/>
      <c r="U2004"/>
      <c r="V2004"/>
      <c r="W2004"/>
      <c r="X2004"/>
    </row>
    <row r="2005" spans="5:24" x14ac:dyDescent="0.3">
      <c r="E2005" s="173"/>
      <c r="F2005" s="173"/>
      <c r="I2005"/>
      <c r="J2005"/>
      <c r="K2005"/>
      <c r="L2005"/>
      <c r="M2005"/>
      <c r="N2005"/>
      <c r="O2005"/>
      <c r="P2005" s="225"/>
      <c r="Q2005" s="225"/>
      <c r="R2005"/>
      <c r="S2005"/>
      <c r="T2005"/>
      <c r="U2005"/>
      <c r="V2005"/>
      <c r="W2005"/>
      <c r="X2005"/>
    </row>
    <row r="2006" spans="5:24" x14ac:dyDescent="0.3">
      <c r="E2006" s="173"/>
      <c r="F2006" s="173"/>
      <c r="I2006"/>
      <c r="J2006"/>
      <c r="K2006"/>
      <c r="L2006"/>
      <c r="M2006"/>
      <c r="N2006"/>
      <c r="O2006"/>
      <c r="P2006" s="225"/>
      <c r="Q2006" s="225"/>
      <c r="R2006"/>
      <c r="S2006"/>
      <c r="T2006"/>
      <c r="U2006"/>
      <c r="V2006"/>
      <c r="W2006"/>
      <c r="X2006"/>
    </row>
    <row r="2007" spans="5:24" x14ac:dyDescent="0.3">
      <c r="E2007" s="173"/>
      <c r="F2007" s="173"/>
      <c r="I2007"/>
      <c r="J2007"/>
      <c r="K2007"/>
      <c r="L2007"/>
      <c r="M2007"/>
      <c r="N2007"/>
      <c r="O2007"/>
      <c r="P2007" s="225"/>
      <c r="Q2007" s="225"/>
      <c r="R2007"/>
      <c r="S2007"/>
      <c r="T2007"/>
      <c r="U2007"/>
      <c r="V2007"/>
      <c r="W2007"/>
      <c r="X2007"/>
    </row>
    <row r="2008" spans="5:24" x14ac:dyDescent="0.3">
      <c r="E2008" s="173"/>
      <c r="F2008" s="173"/>
      <c r="I2008"/>
      <c r="J2008"/>
      <c r="K2008"/>
      <c r="L2008"/>
      <c r="M2008"/>
      <c r="N2008"/>
      <c r="O2008"/>
      <c r="P2008" s="225"/>
      <c r="Q2008" s="225"/>
      <c r="R2008"/>
      <c r="S2008"/>
      <c r="T2008"/>
      <c r="U2008"/>
      <c r="V2008"/>
      <c r="W2008"/>
      <c r="X2008"/>
    </row>
    <row r="2009" spans="5:24" x14ac:dyDescent="0.3">
      <c r="E2009" s="173"/>
      <c r="F2009" s="173"/>
      <c r="I2009"/>
      <c r="J2009"/>
      <c r="K2009"/>
      <c r="L2009"/>
      <c r="M2009"/>
      <c r="N2009"/>
      <c r="O2009"/>
      <c r="P2009" s="225"/>
      <c r="Q2009" s="225"/>
      <c r="R2009"/>
      <c r="S2009"/>
      <c r="T2009"/>
      <c r="U2009"/>
      <c r="V2009"/>
      <c r="W2009"/>
      <c r="X2009"/>
    </row>
    <row r="2010" spans="5:24" x14ac:dyDescent="0.3">
      <c r="E2010" s="173"/>
      <c r="F2010" s="173"/>
      <c r="I2010"/>
      <c r="J2010"/>
      <c r="K2010"/>
      <c r="L2010"/>
      <c r="M2010"/>
      <c r="N2010"/>
      <c r="O2010"/>
      <c r="P2010" s="225"/>
      <c r="Q2010" s="225"/>
      <c r="R2010"/>
      <c r="S2010"/>
      <c r="T2010"/>
      <c r="U2010"/>
      <c r="V2010"/>
      <c r="W2010"/>
      <c r="X2010"/>
    </row>
    <row r="2011" spans="5:24" x14ac:dyDescent="0.3">
      <c r="E2011" s="173"/>
      <c r="F2011" s="173"/>
      <c r="I2011"/>
      <c r="J2011"/>
      <c r="K2011"/>
      <c r="L2011"/>
      <c r="M2011"/>
      <c r="N2011"/>
      <c r="O2011"/>
      <c r="P2011" s="225"/>
      <c r="Q2011" s="225"/>
      <c r="R2011"/>
      <c r="S2011"/>
      <c r="T2011"/>
      <c r="U2011"/>
      <c r="V2011"/>
      <c r="W2011"/>
      <c r="X2011"/>
    </row>
    <row r="2012" spans="5:24" x14ac:dyDescent="0.3">
      <c r="E2012" s="173"/>
      <c r="F2012" s="173"/>
      <c r="I2012"/>
      <c r="J2012"/>
      <c r="K2012"/>
      <c r="L2012"/>
      <c r="M2012"/>
      <c r="N2012"/>
      <c r="O2012"/>
      <c r="P2012" s="225"/>
      <c r="Q2012" s="225"/>
      <c r="R2012"/>
      <c r="S2012"/>
      <c r="T2012"/>
      <c r="U2012"/>
      <c r="V2012"/>
      <c r="W2012"/>
      <c r="X2012"/>
    </row>
    <row r="2013" spans="5:24" x14ac:dyDescent="0.3">
      <c r="E2013" s="173"/>
      <c r="F2013" s="173"/>
      <c r="I2013"/>
      <c r="J2013"/>
      <c r="K2013"/>
      <c r="L2013"/>
      <c r="M2013"/>
      <c r="N2013"/>
      <c r="O2013"/>
      <c r="P2013" s="225"/>
      <c r="Q2013" s="225"/>
      <c r="R2013"/>
      <c r="S2013"/>
      <c r="T2013"/>
      <c r="U2013"/>
      <c r="V2013"/>
      <c r="W2013"/>
      <c r="X2013"/>
    </row>
    <row r="2014" spans="5:24" x14ac:dyDescent="0.3">
      <c r="E2014" s="173"/>
      <c r="F2014" s="173"/>
      <c r="I2014"/>
      <c r="J2014"/>
      <c r="K2014"/>
      <c r="L2014"/>
      <c r="M2014"/>
      <c r="N2014"/>
      <c r="O2014"/>
      <c r="P2014" s="225"/>
      <c r="Q2014" s="225"/>
      <c r="R2014"/>
      <c r="S2014"/>
      <c r="T2014"/>
      <c r="U2014"/>
      <c r="V2014"/>
      <c r="W2014"/>
      <c r="X2014"/>
    </row>
    <row r="2015" spans="5:24" x14ac:dyDescent="0.3">
      <c r="E2015" s="173"/>
      <c r="F2015" s="173"/>
      <c r="I2015"/>
      <c r="J2015"/>
      <c r="K2015"/>
      <c r="L2015"/>
      <c r="M2015"/>
      <c r="N2015"/>
      <c r="O2015"/>
      <c r="P2015" s="225"/>
      <c r="Q2015" s="225"/>
      <c r="R2015"/>
      <c r="S2015"/>
      <c r="T2015"/>
      <c r="U2015"/>
      <c r="V2015"/>
      <c r="W2015"/>
      <c r="X2015"/>
    </row>
    <row r="2016" spans="5:24" x14ac:dyDescent="0.3">
      <c r="E2016" s="173"/>
      <c r="F2016" s="173"/>
      <c r="I2016"/>
      <c r="J2016"/>
      <c r="K2016"/>
      <c r="L2016"/>
      <c r="M2016"/>
      <c r="N2016"/>
      <c r="O2016"/>
      <c r="P2016" s="225"/>
      <c r="Q2016" s="225"/>
      <c r="R2016"/>
      <c r="S2016"/>
      <c r="T2016"/>
      <c r="U2016"/>
      <c r="V2016"/>
      <c r="W2016"/>
      <c r="X2016"/>
    </row>
    <row r="2017" spans="5:24" x14ac:dyDescent="0.3">
      <c r="E2017" s="173"/>
      <c r="F2017" s="173"/>
      <c r="I2017"/>
      <c r="J2017"/>
      <c r="K2017"/>
      <c r="L2017"/>
      <c r="M2017"/>
      <c r="N2017"/>
      <c r="O2017"/>
      <c r="P2017" s="225"/>
      <c r="Q2017" s="225"/>
      <c r="R2017"/>
      <c r="S2017"/>
      <c r="T2017"/>
      <c r="U2017"/>
      <c r="V2017"/>
      <c r="W2017"/>
      <c r="X2017"/>
    </row>
    <row r="2018" spans="5:24" x14ac:dyDescent="0.3">
      <c r="E2018" s="173"/>
      <c r="F2018" s="173"/>
      <c r="I2018"/>
      <c r="J2018"/>
      <c r="K2018"/>
      <c r="L2018"/>
      <c r="M2018"/>
      <c r="N2018"/>
      <c r="O2018"/>
      <c r="P2018" s="225"/>
      <c r="Q2018" s="225"/>
      <c r="R2018"/>
      <c r="S2018"/>
      <c r="T2018"/>
      <c r="U2018"/>
      <c r="V2018"/>
      <c r="W2018"/>
      <c r="X2018"/>
    </row>
    <row r="2019" spans="5:24" x14ac:dyDescent="0.3">
      <c r="E2019" s="173"/>
      <c r="F2019" s="173"/>
      <c r="I2019"/>
      <c r="J2019"/>
      <c r="K2019"/>
      <c r="L2019"/>
      <c r="M2019"/>
      <c r="N2019"/>
      <c r="O2019"/>
      <c r="P2019" s="225"/>
      <c r="Q2019" s="225"/>
      <c r="R2019"/>
      <c r="S2019"/>
      <c r="T2019"/>
      <c r="U2019"/>
      <c r="V2019"/>
      <c r="W2019"/>
      <c r="X2019"/>
    </row>
    <row r="2020" spans="5:24" x14ac:dyDescent="0.3">
      <c r="E2020" s="173"/>
      <c r="F2020" s="173"/>
      <c r="I2020"/>
      <c r="J2020"/>
      <c r="K2020"/>
      <c r="L2020"/>
      <c r="M2020"/>
      <c r="N2020"/>
      <c r="O2020"/>
      <c r="P2020" s="225"/>
      <c r="Q2020" s="225"/>
      <c r="R2020"/>
      <c r="S2020"/>
      <c r="T2020"/>
      <c r="U2020"/>
      <c r="V2020"/>
      <c r="W2020"/>
      <c r="X2020"/>
    </row>
    <row r="2021" spans="5:24" x14ac:dyDescent="0.3">
      <c r="E2021" s="173"/>
      <c r="F2021" s="173"/>
      <c r="I2021"/>
      <c r="J2021"/>
      <c r="K2021"/>
      <c r="L2021"/>
      <c r="M2021"/>
      <c r="N2021"/>
      <c r="O2021"/>
      <c r="P2021" s="225"/>
      <c r="Q2021" s="225"/>
      <c r="R2021"/>
      <c r="S2021"/>
      <c r="T2021"/>
      <c r="U2021"/>
      <c r="V2021"/>
      <c r="W2021"/>
      <c r="X2021"/>
    </row>
    <row r="2022" spans="5:24" x14ac:dyDescent="0.3">
      <c r="E2022" s="173"/>
      <c r="F2022" s="173"/>
      <c r="I2022"/>
      <c r="J2022"/>
      <c r="K2022"/>
      <c r="L2022"/>
      <c r="M2022"/>
      <c r="N2022"/>
      <c r="O2022"/>
      <c r="P2022" s="225"/>
      <c r="Q2022" s="225"/>
      <c r="R2022"/>
      <c r="S2022"/>
      <c r="T2022"/>
      <c r="U2022"/>
      <c r="V2022"/>
      <c r="W2022"/>
      <c r="X2022"/>
    </row>
    <row r="2023" spans="5:24" x14ac:dyDescent="0.3">
      <c r="E2023" s="173"/>
      <c r="F2023" s="173"/>
      <c r="I2023"/>
      <c r="J2023"/>
      <c r="K2023"/>
      <c r="L2023"/>
      <c r="M2023"/>
      <c r="N2023"/>
      <c r="O2023"/>
      <c r="P2023" s="225"/>
      <c r="Q2023" s="225"/>
      <c r="R2023"/>
      <c r="S2023"/>
      <c r="T2023"/>
      <c r="U2023"/>
      <c r="V2023"/>
      <c r="W2023"/>
      <c r="X2023"/>
    </row>
    <row r="2024" spans="5:24" x14ac:dyDescent="0.3">
      <c r="E2024" s="173"/>
      <c r="F2024" s="173"/>
      <c r="I2024"/>
      <c r="J2024"/>
      <c r="K2024"/>
      <c r="L2024"/>
      <c r="M2024"/>
      <c r="N2024"/>
      <c r="O2024"/>
      <c r="P2024" s="225"/>
      <c r="Q2024" s="225"/>
      <c r="R2024"/>
      <c r="S2024"/>
      <c r="T2024"/>
      <c r="U2024"/>
      <c r="V2024"/>
      <c r="W2024"/>
      <c r="X2024"/>
    </row>
    <row r="2025" spans="5:24" x14ac:dyDescent="0.3">
      <c r="E2025" s="173"/>
      <c r="F2025" s="173"/>
      <c r="I2025"/>
      <c r="J2025"/>
      <c r="K2025"/>
      <c r="L2025"/>
      <c r="M2025"/>
      <c r="N2025"/>
      <c r="O2025"/>
      <c r="P2025" s="225"/>
      <c r="Q2025" s="225"/>
      <c r="R2025"/>
      <c r="S2025"/>
      <c r="T2025"/>
      <c r="U2025"/>
      <c r="V2025"/>
      <c r="W2025"/>
      <c r="X2025"/>
    </row>
    <row r="2026" spans="5:24" x14ac:dyDescent="0.3">
      <c r="E2026" s="173"/>
      <c r="F2026" s="173"/>
      <c r="I2026"/>
      <c r="J2026"/>
      <c r="K2026"/>
      <c r="L2026"/>
      <c r="M2026"/>
      <c r="N2026"/>
      <c r="O2026"/>
      <c r="P2026" s="225"/>
      <c r="Q2026" s="225"/>
      <c r="R2026"/>
      <c r="S2026"/>
      <c r="T2026"/>
      <c r="U2026"/>
      <c r="V2026"/>
      <c r="W2026"/>
      <c r="X2026"/>
    </row>
    <row r="2027" spans="5:24" x14ac:dyDescent="0.3">
      <c r="E2027" s="173"/>
      <c r="F2027" s="173"/>
      <c r="I2027"/>
      <c r="J2027"/>
      <c r="K2027"/>
      <c r="L2027"/>
      <c r="M2027"/>
      <c r="N2027"/>
      <c r="O2027"/>
      <c r="P2027" s="225"/>
      <c r="Q2027" s="225"/>
      <c r="R2027"/>
      <c r="S2027"/>
      <c r="T2027"/>
      <c r="U2027"/>
      <c r="V2027"/>
      <c r="W2027"/>
      <c r="X2027"/>
    </row>
    <row r="2028" spans="5:24" x14ac:dyDescent="0.3">
      <c r="E2028" s="173"/>
      <c r="F2028" s="173"/>
      <c r="I2028"/>
      <c r="J2028"/>
      <c r="K2028"/>
      <c r="L2028"/>
      <c r="M2028"/>
      <c r="N2028"/>
      <c r="O2028"/>
      <c r="P2028" s="225"/>
      <c r="Q2028" s="225"/>
      <c r="R2028"/>
      <c r="S2028"/>
      <c r="T2028"/>
      <c r="U2028"/>
      <c r="V2028"/>
      <c r="W2028"/>
      <c r="X2028"/>
    </row>
    <row r="2029" spans="5:24" x14ac:dyDescent="0.3">
      <c r="E2029" s="173"/>
      <c r="F2029" s="173"/>
      <c r="I2029"/>
      <c r="J2029"/>
      <c r="K2029"/>
      <c r="L2029"/>
      <c r="M2029"/>
      <c r="N2029"/>
      <c r="O2029"/>
      <c r="P2029" s="225"/>
      <c r="Q2029" s="225"/>
      <c r="R2029"/>
      <c r="S2029"/>
      <c r="T2029"/>
      <c r="U2029"/>
      <c r="V2029"/>
      <c r="W2029"/>
      <c r="X2029"/>
    </row>
    <row r="2030" spans="5:24" x14ac:dyDescent="0.3">
      <c r="E2030" s="173"/>
      <c r="F2030" s="173"/>
      <c r="I2030"/>
      <c r="J2030"/>
      <c r="K2030"/>
      <c r="L2030"/>
      <c r="M2030"/>
      <c r="N2030"/>
      <c r="O2030"/>
      <c r="P2030" s="225"/>
      <c r="Q2030" s="225"/>
      <c r="R2030"/>
      <c r="S2030"/>
      <c r="T2030"/>
      <c r="U2030"/>
      <c r="V2030"/>
      <c r="W2030"/>
      <c r="X2030"/>
    </row>
    <row r="2031" spans="5:24" x14ac:dyDescent="0.3">
      <c r="E2031" s="173"/>
      <c r="F2031" s="173"/>
      <c r="I2031"/>
      <c r="J2031"/>
      <c r="K2031"/>
      <c r="L2031"/>
      <c r="M2031"/>
      <c r="N2031"/>
      <c r="O2031"/>
      <c r="P2031" s="225"/>
      <c r="Q2031" s="225"/>
      <c r="R2031"/>
      <c r="S2031"/>
      <c r="T2031"/>
      <c r="U2031"/>
      <c r="V2031"/>
      <c r="W2031"/>
      <c r="X2031"/>
    </row>
    <row r="2032" spans="5:24" x14ac:dyDescent="0.3">
      <c r="E2032" s="173"/>
      <c r="F2032" s="173"/>
      <c r="I2032"/>
      <c r="J2032"/>
      <c r="K2032"/>
      <c r="L2032"/>
      <c r="M2032"/>
      <c r="N2032"/>
      <c r="O2032"/>
      <c r="P2032" s="225"/>
      <c r="Q2032" s="225"/>
      <c r="R2032"/>
      <c r="S2032"/>
      <c r="T2032"/>
      <c r="U2032"/>
      <c r="V2032"/>
      <c r="W2032"/>
      <c r="X2032"/>
    </row>
    <row r="2033" spans="5:24" x14ac:dyDescent="0.3">
      <c r="E2033" s="173"/>
      <c r="F2033" s="173"/>
      <c r="I2033"/>
      <c r="J2033"/>
      <c r="K2033"/>
      <c r="L2033"/>
      <c r="M2033"/>
      <c r="N2033"/>
      <c r="O2033"/>
      <c r="P2033" s="225"/>
      <c r="Q2033" s="225"/>
      <c r="R2033"/>
      <c r="S2033"/>
      <c r="T2033"/>
      <c r="U2033"/>
      <c r="V2033"/>
      <c r="W2033"/>
      <c r="X2033"/>
    </row>
    <row r="2034" spans="5:24" x14ac:dyDescent="0.3">
      <c r="E2034" s="173"/>
      <c r="F2034" s="173"/>
      <c r="I2034"/>
      <c r="J2034"/>
      <c r="K2034"/>
      <c r="L2034"/>
      <c r="M2034"/>
      <c r="N2034"/>
      <c r="O2034"/>
      <c r="P2034" s="225"/>
      <c r="Q2034" s="225"/>
      <c r="R2034"/>
      <c r="S2034"/>
      <c r="T2034"/>
      <c r="U2034"/>
      <c r="V2034"/>
      <c r="W2034"/>
      <c r="X2034"/>
    </row>
    <row r="2035" spans="5:24" x14ac:dyDescent="0.3">
      <c r="E2035" s="173"/>
      <c r="F2035" s="173"/>
      <c r="I2035"/>
      <c r="J2035"/>
      <c r="K2035"/>
      <c r="L2035"/>
      <c r="M2035"/>
      <c r="N2035"/>
      <c r="O2035"/>
      <c r="P2035" s="225"/>
      <c r="Q2035" s="225"/>
      <c r="R2035"/>
      <c r="S2035"/>
      <c r="T2035"/>
      <c r="U2035"/>
      <c r="V2035"/>
      <c r="W2035"/>
      <c r="X2035"/>
    </row>
    <row r="2036" spans="5:24" x14ac:dyDescent="0.3">
      <c r="E2036" s="173"/>
      <c r="F2036" s="173"/>
      <c r="I2036"/>
      <c r="J2036"/>
      <c r="K2036"/>
      <c r="L2036"/>
      <c r="M2036"/>
      <c r="N2036"/>
      <c r="O2036"/>
      <c r="P2036" s="225"/>
      <c r="Q2036" s="225"/>
      <c r="R2036"/>
      <c r="S2036"/>
      <c r="T2036"/>
      <c r="U2036"/>
      <c r="V2036"/>
      <c r="W2036"/>
      <c r="X2036"/>
    </row>
    <row r="2037" spans="5:24" x14ac:dyDescent="0.3">
      <c r="E2037" s="173"/>
      <c r="F2037" s="173"/>
      <c r="I2037"/>
      <c r="J2037"/>
      <c r="K2037"/>
      <c r="L2037"/>
      <c r="M2037"/>
      <c r="N2037"/>
      <c r="O2037"/>
      <c r="P2037" s="225"/>
      <c r="Q2037" s="225"/>
      <c r="R2037"/>
      <c r="S2037"/>
      <c r="T2037"/>
      <c r="U2037"/>
      <c r="V2037"/>
      <c r="W2037"/>
      <c r="X2037"/>
    </row>
    <row r="2038" spans="5:24" x14ac:dyDescent="0.3">
      <c r="E2038" s="173"/>
      <c r="F2038" s="173"/>
      <c r="I2038"/>
      <c r="J2038"/>
      <c r="K2038"/>
      <c r="L2038"/>
      <c r="M2038"/>
      <c r="N2038"/>
      <c r="O2038"/>
      <c r="P2038" s="225"/>
      <c r="Q2038" s="225"/>
      <c r="R2038"/>
      <c r="S2038"/>
      <c r="T2038"/>
      <c r="U2038"/>
      <c r="V2038"/>
      <c r="W2038"/>
      <c r="X2038"/>
    </row>
    <row r="2039" spans="5:24" x14ac:dyDescent="0.3">
      <c r="E2039" s="173"/>
      <c r="F2039" s="173"/>
      <c r="I2039"/>
      <c r="J2039"/>
      <c r="K2039"/>
      <c r="L2039"/>
      <c r="M2039"/>
      <c r="N2039"/>
      <c r="O2039"/>
      <c r="P2039" s="225"/>
      <c r="Q2039" s="225"/>
      <c r="R2039"/>
      <c r="S2039"/>
      <c r="T2039"/>
      <c r="U2039"/>
      <c r="V2039"/>
      <c r="W2039"/>
      <c r="X2039"/>
    </row>
    <row r="2040" spans="5:24" x14ac:dyDescent="0.3">
      <c r="E2040" s="173"/>
      <c r="F2040" s="173"/>
      <c r="I2040"/>
      <c r="J2040"/>
      <c r="K2040"/>
      <c r="L2040"/>
      <c r="M2040"/>
      <c r="N2040"/>
      <c r="O2040"/>
      <c r="P2040" s="225"/>
      <c r="Q2040" s="225"/>
      <c r="R2040"/>
      <c r="S2040"/>
      <c r="T2040"/>
      <c r="U2040"/>
      <c r="V2040"/>
      <c r="W2040"/>
      <c r="X2040"/>
    </row>
    <row r="2041" spans="5:24" x14ac:dyDescent="0.3">
      <c r="E2041" s="173"/>
      <c r="F2041" s="173"/>
      <c r="I2041"/>
      <c r="J2041"/>
      <c r="K2041"/>
      <c r="L2041"/>
      <c r="M2041"/>
      <c r="N2041"/>
      <c r="O2041"/>
      <c r="P2041" s="225"/>
      <c r="Q2041" s="225"/>
      <c r="R2041"/>
      <c r="S2041"/>
      <c r="T2041"/>
      <c r="U2041"/>
      <c r="V2041"/>
      <c r="W2041"/>
      <c r="X2041"/>
    </row>
    <row r="2042" spans="5:24" x14ac:dyDescent="0.3">
      <c r="E2042" s="173"/>
      <c r="F2042" s="173"/>
      <c r="I2042"/>
      <c r="J2042"/>
      <c r="K2042"/>
      <c r="L2042"/>
      <c r="M2042"/>
      <c r="N2042"/>
      <c r="O2042"/>
      <c r="P2042" s="225"/>
      <c r="Q2042" s="225"/>
      <c r="R2042"/>
      <c r="S2042"/>
      <c r="T2042"/>
      <c r="U2042"/>
      <c r="V2042"/>
      <c r="W2042"/>
      <c r="X2042"/>
    </row>
    <row r="2043" spans="5:24" x14ac:dyDescent="0.3">
      <c r="E2043" s="173"/>
      <c r="F2043" s="173"/>
      <c r="I2043"/>
      <c r="J2043"/>
      <c r="K2043"/>
      <c r="L2043"/>
      <c r="M2043"/>
      <c r="N2043"/>
      <c r="O2043"/>
      <c r="P2043" s="225"/>
      <c r="Q2043" s="225"/>
      <c r="R2043"/>
      <c r="S2043"/>
      <c r="T2043"/>
      <c r="U2043"/>
      <c r="V2043"/>
      <c r="W2043"/>
      <c r="X2043"/>
    </row>
    <row r="2044" spans="5:24" x14ac:dyDescent="0.3">
      <c r="E2044" s="173"/>
      <c r="F2044" s="173"/>
      <c r="I2044"/>
      <c r="J2044"/>
      <c r="K2044"/>
      <c r="L2044"/>
      <c r="M2044"/>
      <c r="N2044"/>
      <c r="O2044"/>
      <c r="P2044" s="225"/>
      <c r="Q2044" s="225"/>
      <c r="R2044"/>
      <c r="S2044"/>
      <c r="T2044"/>
      <c r="U2044"/>
      <c r="V2044"/>
      <c r="W2044"/>
      <c r="X2044"/>
    </row>
    <row r="2045" spans="5:24" x14ac:dyDescent="0.3">
      <c r="E2045" s="173"/>
      <c r="F2045" s="173"/>
      <c r="I2045"/>
      <c r="J2045"/>
      <c r="K2045"/>
      <c r="L2045"/>
      <c r="M2045"/>
      <c r="N2045"/>
      <c r="O2045"/>
      <c r="P2045" s="225"/>
      <c r="Q2045" s="225"/>
      <c r="R2045"/>
      <c r="S2045"/>
      <c r="T2045"/>
      <c r="U2045"/>
      <c r="V2045"/>
      <c r="W2045"/>
      <c r="X2045"/>
    </row>
    <row r="2046" spans="5:24" x14ac:dyDescent="0.3">
      <c r="E2046" s="173"/>
      <c r="F2046" s="173"/>
      <c r="I2046"/>
      <c r="J2046"/>
      <c r="K2046"/>
      <c r="L2046"/>
      <c r="M2046"/>
      <c r="N2046"/>
      <c r="O2046"/>
      <c r="P2046" s="225"/>
      <c r="Q2046" s="225"/>
      <c r="R2046"/>
      <c r="S2046"/>
      <c r="T2046"/>
      <c r="U2046"/>
      <c r="V2046"/>
      <c r="W2046"/>
      <c r="X2046"/>
    </row>
    <row r="2047" spans="5:24" x14ac:dyDescent="0.3">
      <c r="E2047" s="173"/>
      <c r="F2047" s="173"/>
      <c r="I2047"/>
      <c r="J2047"/>
      <c r="K2047"/>
      <c r="L2047"/>
      <c r="M2047"/>
      <c r="N2047"/>
      <c r="O2047"/>
      <c r="P2047" s="225"/>
      <c r="Q2047" s="225"/>
      <c r="R2047"/>
      <c r="S2047"/>
      <c r="T2047"/>
      <c r="U2047"/>
      <c r="V2047"/>
      <c r="W2047"/>
      <c r="X2047"/>
    </row>
    <row r="2048" spans="5:24" x14ac:dyDescent="0.3">
      <c r="E2048" s="173"/>
      <c r="F2048" s="173"/>
      <c r="I2048"/>
      <c r="J2048"/>
      <c r="K2048"/>
      <c r="L2048"/>
      <c r="M2048"/>
      <c r="N2048"/>
      <c r="O2048"/>
      <c r="P2048" s="225"/>
      <c r="Q2048" s="225"/>
      <c r="R2048"/>
      <c r="S2048"/>
      <c r="T2048"/>
      <c r="U2048"/>
      <c r="V2048"/>
      <c r="W2048"/>
      <c r="X2048"/>
    </row>
    <row r="2049" spans="5:24" x14ac:dyDescent="0.3">
      <c r="E2049" s="173"/>
      <c r="F2049" s="173"/>
      <c r="I2049"/>
      <c r="J2049"/>
      <c r="K2049"/>
      <c r="L2049"/>
      <c r="M2049"/>
      <c r="N2049"/>
      <c r="O2049"/>
      <c r="P2049" s="225"/>
      <c r="Q2049" s="225"/>
      <c r="R2049"/>
      <c r="S2049"/>
      <c r="T2049"/>
      <c r="U2049"/>
      <c r="V2049"/>
      <c r="W2049"/>
      <c r="X2049"/>
    </row>
    <row r="2050" spans="5:24" x14ac:dyDescent="0.3">
      <c r="E2050" s="173"/>
      <c r="F2050" s="173"/>
      <c r="I2050"/>
      <c r="J2050"/>
      <c r="K2050"/>
      <c r="L2050"/>
      <c r="M2050"/>
      <c r="N2050"/>
      <c r="O2050"/>
      <c r="P2050" s="225"/>
      <c r="Q2050" s="225"/>
      <c r="R2050"/>
      <c r="S2050"/>
      <c r="T2050"/>
      <c r="U2050"/>
      <c r="V2050"/>
      <c r="W2050"/>
      <c r="X2050"/>
    </row>
    <row r="2051" spans="5:24" x14ac:dyDescent="0.3">
      <c r="E2051" s="173"/>
      <c r="F2051" s="173"/>
      <c r="I2051"/>
      <c r="J2051"/>
      <c r="K2051"/>
      <c r="L2051"/>
      <c r="M2051"/>
      <c r="N2051"/>
      <c r="O2051"/>
      <c r="P2051" s="225"/>
      <c r="Q2051" s="225"/>
      <c r="R2051"/>
      <c r="S2051"/>
      <c r="T2051"/>
      <c r="U2051"/>
      <c r="V2051"/>
      <c r="W2051"/>
      <c r="X2051"/>
    </row>
    <row r="2052" spans="5:24" x14ac:dyDescent="0.3">
      <c r="E2052" s="173"/>
      <c r="F2052" s="173"/>
      <c r="I2052"/>
      <c r="J2052"/>
      <c r="K2052"/>
      <c r="L2052"/>
      <c r="M2052"/>
      <c r="N2052"/>
      <c r="O2052"/>
      <c r="P2052" s="225"/>
      <c r="Q2052" s="225"/>
      <c r="R2052"/>
      <c r="S2052"/>
      <c r="T2052"/>
      <c r="U2052"/>
      <c r="V2052"/>
      <c r="W2052"/>
      <c r="X2052"/>
    </row>
    <row r="2053" spans="5:24" x14ac:dyDescent="0.3">
      <c r="E2053" s="173"/>
      <c r="F2053" s="173"/>
      <c r="I2053"/>
      <c r="J2053"/>
      <c r="K2053"/>
      <c r="L2053"/>
      <c r="M2053"/>
      <c r="N2053"/>
      <c r="O2053"/>
      <c r="P2053" s="225"/>
      <c r="Q2053" s="225"/>
      <c r="R2053"/>
      <c r="S2053"/>
      <c r="T2053"/>
      <c r="U2053"/>
      <c r="V2053"/>
      <c r="W2053"/>
      <c r="X2053"/>
    </row>
    <row r="2054" spans="5:24" x14ac:dyDescent="0.3">
      <c r="E2054" s="173"/>
      <c r="F2054" s="173"/>
      <c r="I2054"/>
      <c r="J2054"/>
      <c r="K2054"/>
      <c r="L2054"/>
      <c r="M2054"/>
      <c r="N2054"/>
      <c r="O2054"/>
      <c r="P2054" s="225"/>
      <c r="Q2054" s="225"/>
      <c r="R2054"/>
      <c r="S2054"/>
      <c r="T2054"/>
      <c r="U2054"/>
      <c r="V2054"/>
      <c r="W2054"/>
      <c r="X2054"/>
    </row>
    <row r="2055" spans="5:24" x14ac:dyDescent="0.3">
      <c r="E2055" s="173"/>
      <c r="F2055" s="173"/>
      <c r="I2055"/>
      <c r="J2055"/>
      <c r="K2055"/>
      <c r="L2055"/>
      <c r="M2055"/>
      <c r="N2055"/>
      <c r="O2055"/>
      <c r="P2055" s="225"/>
      <c r="Q2055" s="225"/>
      <c r="R2055"/>
      <c r="S2055"/>
      <c r="T2055"/>
      <c r="U2055"/>
      <c r="V2055"/>
      <c r="W2055"/>
      <c r="X2055"/>
    </row>
    <row r="2056" spans="5:24" x14ac:dyDescent="0.3">
      <c r="E2056" s="173"/>
      <c r="F2056" s="173"/>
      <c r="I2056"/>
      <c r="J2056"/>
      <c r="K2056"/>
      <c r="L2056"/>
      <c r="M2056"/>
      <c r="N2056"/>
      <c r="O2056"/>
      <c r="P2056" s="225"/>
      <c r="Q2056" s="225"/>
      <c r="R2056"/>
      <c r="S2056"/>
      <c r="T2056"/>
      <c r="U2056"/>
      <c r="V2056"/>
      <c r="W2056"/>
      <c r="X2056"/>
    </row>
    <row r="2057" spans="5:24" x14ac:dyDescent="0.3">
      <c r="E2057" s="173"/>
      <c r="F2057" s="173"/>
      <c r="I2057"/>
      <c r="J2057"/>
      <c r="K2057"/>
      <c r="L2057"/>
      <c r="M2057"/>
      <c r="N2057"/>
      <c r="O2057"/>
      <c r="P2057" s="225"/>
      <c r="Q2057" s="225"/>
      <c r="R2057"/>
      <c r="S2057"/>
      <c r="T2057"/>
      <c r="U2057"/>
      <c r="V2057"/>
      <c r="W2057"/>
      <c r="X2057"/>
    </row>
    <row r="2058" spans="5:24" x14ac:dyDescent="0.3">
      <c r="E2058" s="173"/>
      <c r="F2058" s="173"/>
      <c r="I2058"/>
      <c r="J2058"/>
      <c r="K2058"/>
      <c r="L2058"/>
      <c r="M2058"/>
      <c r="N2058"/>
      <c r="O2058"/>
      <c r="P2058" s="225"/>
      <c r="Q2058" s="225"/>
      <c r="R2058"/>
      <c r="S2058"/>
      <c r="T2058"/>
      <c r="U2058"/>
      <c r="V2058"/>
      <c r="W2058"/>
      <c r="X2058"/>
    </row>
    <row r="2059" spans="5:24" x14ac:dyDescent="0.3">
      <c r="E2059" s="173"/>
      <c r="F2059" s="173"/>
      <c r="I2059"/>
      <c r="J2059"/>
      <c r="K2059"/>
      <c r="L2059"/>
      <c r="M2059"/>
      <c r="N2059"/>
      <c r="O2059"/>
      <c r="P2059" s="225"/>
      <c r="Q2059" s="225"/>
      <c r="R2059"/>
      <c r="S2059"/>
      <c r="T2059"/>
      <c r="U2059"/>
      <c r="V2059"/>
      <c r="W2059"/>
      <c r="X2059"/>
    </row>
    <row r="2060" spans="5:24" x14ac:dyDescent="0.3">
      <c r="E2060" s="173"/>
      <c r="F2060" s="173"/>
      <c r="I2060"/>
      <c r="J2060"/>
      <c r="K2060"/>
      <c r="L2060"/>
      <c r="M2060"/>
      <c r="N2060"/>
      <c r="O2060"/>
      <c r="P2060" s="225"/>
      <c r="Q2060" s="225"/>
      <c r="R2060"/>
      <c r="S2060"/>
      <c r="T2060"/>
      <c r="U2060"/>
      <c r="V2060"/>
      <c r="W2060"/>
      <c r="X2060"/>
    </row>
    <row r="2061" spans="5:24" x14ac:dyDescent="0.3">
      <c r="E2061" s="173"/>
      <c r="F2061" s="173"/>
      <c r="I2061"/>
      <c r="J2061"/>
      <c r="K2061"/>
      <c r="L2061"/>
      <c r="M2061"/>
      <c r="N2061"/>
      <c r="O2061"/>
      <c r="P2061" s="225"/>
      <c r="Q2061" s="225"/>
      <c r="R2061"/>
      <c r="S2061"/>
      <c r="T2061"/>
      <c r="U2061"/>
      <c r="V2061"/>
      <c r="W2061"/>
      <c r="X2061"/>
    </row>
    <row r="2062" spans="5:24" x14ac:dyDescent="0.3">
      <c r="E2062" s="173"/>
      <c r="F2062" s="173"/>
      <c r="I2062"/>
      <c r="J2062"/>
      <c r="K2062"/>
      <c r="L2062"/>
      <c r="M2062"/>
      <c r="N2062"/>
      <c r="O2062"/>
      <c r="P2062" s="225"/>
      <c r="Q2062" s="225"/>
      <c r="R2062"/>
      <c r="S2062"/>
      <c r="T2062"/>
      <c r="U2062"/>
      <c r="V2062"/>
      <c r="W2062"/>
      <c r="X2062"/>
    </row>
    <row r="2063" spans="5:24" x14ac:dyDescent="0.3">
      <c r="E2063" s="173"/>
      <c r="F2063" s="173"/>
      <c r="I2063"/>
      <c r="J2063"/>
      <c r="K2063"/>
      <c r="L2063"/>
      <c r="M2063"/>
      <c r="N2063"/>
      <c r="O2063"/>
      <c r="P2063" s="225"/>
      <c r="Q2063" s="225"/>
      <c r="R2063"/>
      <c r="S2063"/>
      <c r="T2063"/>
      <c r="U2063"/>
      <c r="V2063"/>
      <c r="W2063"/>
      <c r="X2063"/>
    </row>
    <row r="2064" spans="5:24" x14ac:dyDescent="0.3">
      <c r="E2064" s="173"/>
      <c r="F2064" s="173"/>
      <c r="I2064"/>
      <c r="J2064"/>
      <c r="K2064"/>
      <c r="L2064"/>
      <c r="M2064"/>
      <c r="N2064"/>
      <c r="O2064"/>
      <c r="P2064" s="225"/>
      <c r="Q2064" s="225"/>
      <c r="R2064"/>
      <c r="S2064"/>
      <c r="T2064"/>
      <c r="U2064"/>
      <c r="V2064"/>
      <c r="W2064"/>
      <c r="X2064"/>
    </row>
    <row r="2065" spans="5:24" x14ac:dyDescent="0.3">
      <c r="E2065" s="173"/>
      <c r="F2065" s="173"/>
      <c r="I2065"/>
      <c r="J2065"/>
      <c r="K2065"/>
      <c r="L2065"/>
      <c r="M2065"/>
      <c r="N2065"/>
      <c r="O2065"/>
      <c r="P2065" s="225"/>
      <c r="Q2065" s="225"/>
      <c r="R2065"/>
      <c r="S2065"/>
      <c r="T2065"/>
      <c r="U2065"/>
      <c r="V2065"/>
      <c r="W2065"/>
      <c r="X2065"/>
    </row>
    <row r="2066" spans="5:24" x14ac:dyDescent="0.3">
      <c r="E2066" s="173"/>
      <c r="F2066" s="173"/>
      <c r="I2066"/>
      <c r="J2066"/>
      <c r="K2066"/>
      <c r="L2066"/>
      <c r="M2066"/>
      <c r="N2066"/>
      <c r="O2066"/>
      <c r="P2066" s="225"/>
      <c r="Q2066" s="225"/>
      <c r="R2066"/>
      <c r="S2066"/>
      <c r="T2066"/>
      <c r="U2066"/>
      <c r="V2066"/>
      <c r="W2066"/>
      <c r="X2066"/>
    </row>
    <row r="2067" spans="5:24" x14ac:dyDescent="0.3">
      <c r="E2067" s="173"/>
      <c r="F2067" s="173"/>
      <c r="I2067"/>
      <c r="J2067"/>
      <c r="K2067"/>
      <c r="L2067"/>
      <c r="M2067"/>
      <c r="N2067"/>
      <c r="O2067"/>
      <c r="P2067" s="225"/>
      <c r="Q2067" s="225"/>
      <c r="R2067"/>
      <c r="S2067"/>
      <c r="T2067"/>
      <c r="U2067"/>
      <c r="V2067"/>
      <c r="W2067"/>
      <c r="X2067"/>
    </row>
    <row r="2068" spans="5:24" x14ac:dyDescent="0.3">
      <c r="E2068" s="173"/>
      <c r="F2068" s="173"/>
      <c r="I2068"/>
      <c r="J2068"/>
      <c r="K2068"/>
      <c r="L2068"/>
      <c r="M2068"/>
      <c r="N2068"/>
      <c r="O2068"/>
      <c r="P2068" s="225"/>
      <c r="Q2068" s="225"/>
      <c r="R2068"/>
      <c r="S2068"/>
      <c r="T2068"/>
      <c r="U2068"/>
      <c r="V2068"/>
      <c r="W2068"/>
      <c r="X2068"/>
    </row>
    <row r="2069" spans="5:24" x14ac:dyDescent="0.3">
      <c r="E2069" s="173"/>
      <c r="F2069" s="173"/>
      <c r="I2069"/>
      <c r="J2069"/>
      <c r="K2069"/>
      <c r="L2069"/>
      <c r="M2069"/>
      <c r="N2069"/>
      <c r="O2069"/>
      <c r="P2069" s="225"/>
      <c r="Q2069" s="225"/>
      <c r="R2069"/>
      <c r="S2069"/>
      <c r="T2069"/>
      <c r="U2069"/>
      <c r="V2069"/>
      <c r="W2069"/>
      <c r="X2069"/>
    </row>
    <row r="2070" spans="5:24" x14ac:dyDescent="0.3">
      <c r="E2070" s="173"/>
      <c r="F2070" s="173"/>
      <c r="I2070"/>
      <c r="J2070"/>
      <c r="K2070"/>
      <c r="L2070"/>
      <c r="M2070"/>
      <c r="N2070"/>
      <c r="O2070"/>
      <c r="P2070" s="225"/>
      <c r="Q2070" s="225"/>
      <c r="R2070"/>
      <c r="S2070"/>
      <c r="T2070"/>
      <c r="U2070"/>
      <c r="V2070"/>
      <c r="W2070"/>
      <c r="X2070"/>
    </row>
    <row r="2071" spans="5:24" x14ac:dyDescent="0.3">
      <c r="E2071" s="173"/>
      <c r="F2071" s="173"/>
      <c r="I2071"/>
      <c r="J2071"/>
      <c r="K2071"/>
      <c r="L2071"/>
      <c r="M2071"/>
      <c r="N2071"/>
      <c r="O2071"/>
      <c r="P2071" s="225"/>
      <c r="Q2071" s="225"/>
      <c r="R2071"/>
      <c r="S2071"/>
      <c r="T2071"/>
      <c r="U2071"/>
      <c r="V2071"/>
      <c r="W2071"/>
      <c r="X2071"/>
    </row>
    <row r="2072" spans="5:24" x14ac:dyDescent="0.3">
      <c r="E2072" s="173"/>
      <c r="F2072" s="173"/>
      <c r="I2072"/>
      <c r="J2072"/>
      <c r="K2072"/>
      <c r="L2072"/>
      <c r="M2072"/>
      <c r="N2072"/>
      <c r="O2072"/>
      <c r="P2072" s="225"/>
      <c r="Q2072" s="225"/>
      <c r="R2072"/>
      <c r="S2072"/>
      <c r="T2072"/>
      <c r="U2072"/>
      <c r="V2072"/>
      <c r="W2072"/>
      <c r="X2072"/>
    </row>
    <row r="2073" spans="5:24" x14ac:dyDescent="0.3">
      <c r="E2073" s="173"/>
      <c r="F2073" s="173"/>
      <c r="I2073"/>
      <c r="J2073"/>
      <c r="K2073"/>
      <c r="L2073"/>
      <c r="M2073"/>
      <c r="N2073"/>
      <c r="O2073"/>
      <c r="P2073" s="225"/>
      <c r="Q2073" s="225"/>
      <c r="R2073"/>
      <c r="S2073"/>
      <c r="T2073"/>
      <c r="U2073"/>
      <c r="V2073"/>
      <c r="W2073"/>
      <c r="X2073"/>
    </row>
    <row r="2074" spans="5:24" x14ac:dyDescent="0.3">
      <c r="E2074" s="173"/>
      <c r="F2074" s="173"/>
      <c r="I2074"/>
      <c r="J2074"/>
      <c r="K2074"/>
      <c r="L2074"/>
      <c r="M2074"/>
      <c r="N2074"/>
      <c r="O2074"/>
      <c r="P2074" s="225"/>
      <c r="Q2074" s="225"/>
      <c r="R2074"/>
      <c r="S2074"/>
      <c r="T2074"/>
      <c r="U2074"/>
      <c r="V2074"/>
      <c r="W2074"/>
      <c r="X2074"/>
    </row>
    <row r="2075" spans="5:24" x14ac:dyDescent="0.3">
      <c r="E2075" s="173"/>
      <c r="F2075" s="173"/>
      <c r="I2075"/>
      <c r="J2075"/>
      <c r="K2075"/>
      <c r="L2075"/>
      <c r="M2075"/>
      <c r="N2075"/>
      <c r="O2075"/>
      <c r="P2075" s="225"/>
      <c r="Q2075" s="225"/>
      <c r="R2075"/>
      <c r="S2075"/>
      <c r="T2075"/>
      <c r="U2075"/>
      <c r="V2075"/>
      <c r="W2075"/>
      <c r="X2075"/>
    </row>
    <row r="2076" spans="5:24" x14ac:dyDescent="0.3">
      <c r="E2076" s="173"/>
      <c r="F2076" s="173"/>
      <c r="I2076"/>
      <c r="J2076"/>
      <c r="K2076"/>
      <c r="L2076"/>
      <c r="M2076"/>
      <c r="N2076"/>
      <c r="O2076"/>
      <c r="P2076" s="225"/>
      <c r="Q2076" s="225"/>
      <c r="R2076"/>
      <c r="S2076"/>
      <c r="T2076"/>
      <c r="U2076"/>
      <c r="V2076"/>
      <c r="W2076"/>
      <c r="X2076"/>
    </row>
    <row r="2077" spans="5:24" x14ac:dyDescent="0.3">
      <c r="E2077" s="173"/>
      <c r="F2077" s="173"/>
      <c r="I2077"/>
      <c r="J2077"/>
      <c r="K2077"/>
      <c r="L2077"/>
      <c r="M2077"/>
      <c r="N2077"/>
      <c r="O2077"/>
      <c r="P2077" s="225"/>
      <c r="Q2077" s="225"/>
      <c r="R2077"/>
      <c r="S2077"/>
      <c r="T2077"/>
      <c r="U2077"/>
      <c r="V2077"/>
      <c r="W2077"/>
      <c r="X2077"/>
    </row>
    <row r="2078" spans="5:24" x14ac:dyDescent="0.3">
      <c r="E2078" s="173"/>
      <c r="F2078" s="173"/>
      <c r="I2078"/>
      <c r="J2078"/>
      <c r="K2078"/>
      <c r="L2078"/>
      <c r="M2078"/>
      <c r="N2078"/>
      <c r="O2078"/>
      <c r="P2078" s="225"/>
      <c r="Q2078" s="225"/>
      <c r="R2078"/>
      <c r="S2078"/>
      <c r="T2078"/>
      <c r="U2078"/>
      <c r="V2078"/>
      <c r="W2078"/>
      <c r="X2078"/>
    </row>
    <row r="2079" spans="5:24" x14ac:dyDescent="0.3">
      <c r="E2079" s="173"/>
      <c r="F2079" s="173"/>
      <c r="I2079"/>
      <c r="J2079"/>
      <c r="K2079"/>
      <c r="L2079"/>
      <c r="M2079"/>
      <c r="N2079"/>
      <c r="O2079"/>
      <c r="P2079" s="225"/>
      <c r="Q2079" s="225"/>
      <c r="R2079"/>
      <c r="S2079"/>
      <c r="T2079"/>
      <c r="U2079"/>
      <c r="V2079"/>
      <c r="W2079"/>
      <c r="X2079"/>
    </row>
    <row r="2080" spans="5:24" x14ac:dyDescent="0.3">
      <c r="E2080" s="173"/>
      <c r="F2080" s="173"/>
      <c r="I2080"/>
      <c r="J2080"/>
      <c r="K2080"/>
      <c r="L2080"/>
      <c r="M2080"/>
      <c r="N2080"/>
      <c r="O2080"/>
      <c r="P2080" s="225"/>
      <c r="Q2080" s="225"/>
      <c r="R2080"/>
      <c r="S2080"/>
      <c r="T2080"/>
      <c r="U2080"/>
      <c r="V2080"/>
      <c r="W2080"/>
      <c r="X2080"/>
    </row>
    <row r="2081" spans="5:24" x14ac:dyDescent="0.3">
      <c r="E2081" s="173"/>
      <c r="F2081" s="173"/>
      <c r="I2081"/>
      <c r="J2081"/>
      <c r="K2081"/>
      <c r="L2081"/>
      <c r="M2081"/>
      <c r="N2081"/>
      <c r="O2081"/>
      <c r="P2081" s="225"/>
      <c r="Q2081" s="225"/>
      <c r="R2081"/>
      <c r="S2081"/>
      <c r="T2081"/>
      <c r="U2081"/>
      <c r="V2081"/>
      <c r="W2081"/>
      <c r="X2081"/>
    </row>
    <row r="2082" spans="5:24" x14ac:dyDescent="0.3">
      <c r="E2082" s="173"/>
      <c r="F2082" s="173"/>
      <c r="I2082"/>
      <c r="J2082"/>
      <c r="K2082"/>
      <c r="L2082"/>
      <c r="M2082"/>
      <c r="N2082"/>
      <c r="O2082"/>
      <c r="P2082" s="225"/>
      <c r="Q2082" s="225"/>
      <c r="R2082"/>
      <c r="S2082"/>
      <c r="T2082"/>
      <c r="U2082"/>
      <c r="V2082"/>
      <c r="W2082"/>
      <c r="X2082"/>
    </row>
    <row r="2083" spans="5:24" x14ac:dyDescent="0.3">
      <c r="E2083" s="173"/>
      <c r="F2083" s="173"/>
      <c r="I2083"/>
      <c r="J2083"/>
      <c r="K2083"/>
      <c r="L2083"/>
      <c r="M2083"/>
      <c r="N2083"/>
      <c r="O2083"/>
      <c r="P2083" s="225"/>
      <c r="Q2083" s="225"/>
      <c r="R2083"/>
      <c r="S2083"/>
      <c r="T2083"/>
      <c r="U2083"/>
      <c r="V2083"/>
      <c r="W2083"/>
      <c r="X2083"/>
    </row>
    <row r="2084" spans="5:24" x14ac:dyDescent="0.3">
      <c r="E2084" s="173"/>
      <c r="F2084" s="173"/>
      <c r="I2084"/>
      <c r="J2084"/>
      <c r="K2084"/>
      <c r="L2084"/>
      <c r="M2084"/>
      <c r="N2084"/>
      <c r="O2084"/>
      <c r="P2084" s="225"/>
      <c r="Q2084" s="225"/>
      <c r="R2084"/>
      <c r="S2084"/>
      <c r="T2084"/>
      <c r="U2084"/>
      <c r="V2084"/>
      <c r="W2084"/>
      <c r="X2084"/>
    </row>
    <row r="2085" spans="5:24" x14ac:dyDescent="0.3">
      <c r="E2085" s="173"/>
      <c r="F2085" s="173"/>
      <c r="I2085"/>
      <c r="J2085"/>
      <c r="K2085"/>
      <c r="L2085"/>
      <c r="M2085"/>
      <c r="N2085"/>
      <c r="O2085"/>
      <c r="P2085" s="225"/>
      <c r="Q2085" s="225"/>
      <c r="R2085"/>
      <c r="S2085"/>
      <c r="T2085"/>
      <c r="U2085"/>
      <c r="V2085"/>
      <c r="W2085"/>
      <c r="X2085"/>
    </row>
    <row r="2086" spans="5:24" x14ac:dyDescent="0.3">
      <c r="E2086" s="173"/>
      <c r="F2086" s="173"/>
      <c r="I2086"/>
      <c r="J2086"/>
      <c r="K2086"/>
      <c r="L2086"/>
      <c r="M2086"/>
      <c r="N2086"/>
      <c r="O2086"/>
      <c r="P2086" s="225"/>
      <c r="Q2086" s="225"/>
      <c r="R2086"/>
      <c r="S2086"/>
      <c r="T2086"/>
      <c r="U2086"/>
      <c r="V2086"/>
      <c r="W2086"/>
      <c r="X2086"/>
    </row>
    <row r="2087" spans="5:24" x14ac:dyDescent="0.3">
      <c r="E2087" s="173"/>
      <c r="F2087" s="173"/>
      <c r="I2087"/>
      <c r="J2087"/>
      <c r="K2087"/>
      <c r="L2087"/>
      <c r="M2087"/>
      <c r="N2087"/>
      <c r="O2087"/>
      <c r="P2087" s="225"/>
      <c r="Q2087" s="225"/>
      <c r="R2087"/>
      <c r="S2087"/>
      <c r="T2087"/>
      <c r="U2087"/>
      <c r="V2087"/>
      <c r="W2087"/>
      <c r="X2087"/>
    </row>
    <row r="2088" spans="5:24" x14ac:dyDescent="0.3">
      <c r="E2088" s="173"/>
      <c r="F2088" s="173"/>
      <c r="I2088"/>
      <c r="J2088"/>
      <c r="K2088"/>
      <c r="L2088"/>
      <c r="M2088"/>
      <c r="N2088"/>
      <c r="O2088"/>
      <c r="P2088" s="225"/>
      <c r="Q2088" s="225"/>
      <c r="R2088"/>
      <c r="S2088"/>
      <c r="T2088"/>
      <c r="U2088"/>
      <c r="V2088"/>
      <c r="W2088"/>
      <c r="X2088"/>
    </row>
    <row r="2089" spans="5:24" x14ac:dyDescent="0.3">
      <c r="E2089" s="173"/>
      <c r="F2089" s="173"/>
      <c r="I2089"/>
      <c r="J2089"/>
      <c r="K2089"/>
      <c r="L2089"/>
      <c r="M2089"/>
      <c r="N2089"/>
      <c r="O2089"/>
      <c r="P2089" s="225"/>
      <c r="Q2089" s="225"/>
      <c r="R2089"/>
      <c r="S2089"/>
      <c r="T2089"/>
      <c r="U2089"/>
      <c r="V2089"/>
      <c r="W2089"/>
      <c r="X2089"/>
    </row>
    <row r="2090" spans="5:24" x14ac:dyDescent="0.3">
      <c r="E2090" s="173"/>
      <c r="F2090" s="173"/>
      <c r="I2090"/>
      <c r="J2090"/>
      <c r="K2090"/>
      <c r="L2090"/>
      <c r="M2090"/>
      <c r="N2090"/>
      <c r="O2090"/>
      <c r="P2090" s="225"/>
      <c r="Q2090" s="225"/>
      <c r="R2090"/>
      <c r="S2090"/>
      <c r="T2090"/>
      <c r="U2090"/>
      <c r="V2090"/>
      <c r="W2090"/>
      <c r="X2090"/>
    </row>
    <row r="2091" spans="5:24" x14ac:dyDescent="0.3">
      <c r="E2091" s="173"/>
      <c r="F2091" s="173"/>
      <c r="I2091"/>
      <c r="J2091"/>
      <c r="K2091"/>
      <c r="L2091"/>
      <c r="M2091"/>
      <c r="N2091"/>
      <c r="O2091"/>
      <c r="P2091" s="225"/>
      <c r="Q2091" s="225"/>
      <c r="R2091"/>
      <c r="S2091"/>
      <c r="T2091"/>
      <c r="U2091"/>
      <c r="V2091"/>
      <c r="W2091"/>
      <c r="X2091"/>
    </row>
    <row r="2092" spans="5:24" x14ac:dyDescent="0.3">
      <c r="E2092" s="173"/>
      <c r="F2092" s="173"/>
      <c r="I2092"/>
      <c r="J2092"/>
      <c r="K2092"/>
      <c r="L2092"/>
      <c r="M2092"/>
      <c r="N2092"/>
      <c r="O2092"/>
      <c r="P2092" s="225"/>
      <c r="Q2092" s="225"/>
      <c r="R2092"/>
      <c r="S2092"/>
      <c r="T2092"/>
      <c r="U2092"/>
      <c r="V2092"/>
      <c r="W2092"/>
      <c r="X2092"/>
    </row>
    <row r="2093" spans="5:24" x14ac:dyDescent="0.3">
      <c r="E2093" s="173"/>
      <c r="F2093" s="173"/>
      <c r="I2093"/>
      <c r="J2093"/>
      <c r="K2093"/>
      <c r="L2093"/>
      <c r="M2093"/>
      <c r="N2093"/>
      <c r="O2093"/>
      <c r="P2093" s="225"/>
      <c r="Q2093" s="225"/>
      <c r="R2093"/>
      <c r="S2093"/>
      <c r="T2093"/>
      <c r="U2093"/>
      <c r="V2093"/>
      <c r="W2093"/>
      <c r="X2093"/>
    </row>
    <row r="2094" spans="5:24" x14ac:dyDescent="0.3">
      <c r="E2094" s="173"/>
      <c r="F2094" s="173"/>
      <c r="I2094"/>
      <c r="J2094"/>
      <c r="K2094"/>
      <c r="L2094"/>
      <c r="M2094"/>
      <c r="N2094"/>
      <c r="O2094"/>
      <c r="P2094" s="225"/>
      <c r="Q2094" s="225"/>
      <c r="R2094"/>
      <c r="S2094"/>
      <c r="T2094"/>
      <c r="U2094"/>
      <c r="V2094"/>
      <c r="W2094"/>
      <c r="X2094"/>
    </row>
    <row r="2095" spans="5:24" x14ac:dyDescent="0.3">
      <c r="E2095" s="173"/>
      <c r="F2095" s="173"/>
      <c r="I2095"/>
      <c r="J2095"/>
      <c r="K2095"/>
      <c r="L2095"/>
      <c r="M2095"/>
      <c r="N2095"/>
      <c r="O2095"/>
      <c r="P2095" s="225"/>
      <c r="Q2095" s="225"/>
      <c r="R2095"/>
      <c r="S2095"/>
      <c r="T2095"/>
      <c r="U2095"/>
      <c r="V2095"/>
      <c r="W2095"/>
      <c r="X2095"/>
    </row>
    <row r="2096" spans="5:24" x14ac:dyDescent="0.3">
      <c r="E2096" s="173"/>
      <c r="F2096" s="173"/>
      <c r="I2096"/>
      <c r="J2096"/>
      <c r="K2096"/>
      <c r="L2096"/>
      <c r="M2096"/>
      <c r="N2096"/>
      <c r="O2096"/>
      <c r="P2096" s="225"/>
      <c r="Q2096" s="225"/>
      <c r="R2096"/>
      <c r="S2096"/>
      <c r="T2096"/>
      <c r="U2096"/>
      <c r="V2096"/>
      <c r="W2096"/>
      <c r="X2096"/>
    </row>
    <row r="2097" spans="5:24" x14ac:dyDescent="0.3">
      <c r="E2097" s="173"/>
      <c r="F2097" s="173"/>
      <c r="I2097"/>
      <c r="J2097"/>
      <c r="K2097"/>
      <c r="L2097"/>
      <c r="M2097"/>
      <c r="N2097"/>
      <c r="O2097"/>
      <c r="P2097" s="225"/>
      <c r="Q2097" s="225"/>
      <c r="R2097"/>
      <c r="S2097"/>
      <c r="T2097"/>
      <c r="U2097"/>
      <c r="V2097"/>
      <c r="W2097"/>
      <c r="X2097"/>
    </row>
    <row r="2098" spans="5:24" x14ac:dyDescent="0.3">
      <c r="E2098" s="173"/>
      <c r="F2098" s="173"/>
      <c r="I2098"/>
      <c r="J2098"/>
      <c r="K2098"/>
      <c r="L2098"/>
      <c r="M2098"/>
      <c r="N2098"/>
      <c r="O2098"/>
      <c r="P2098" s="225"/>
      <c r="Q2098" s="225"/>
      <c r="R2098"/>
      <c r="S2098"/>
      <c r="T2098"/>
      <c r="U2098"/>
      <c r="V2098"/>
      <c r="W2098"/>
      <c r="X2098"/>
    </row>
    <row r="2099" spans="5:24" x14ac:dyDescent="0.3">
      <c r="E2099" s="173"/>
      <c r="F2099" s="173"/>
      <c r="I2099"/>
      <c r="J2099"/>
      <c r="K2099"/>
      <c r="L2099"/>
      <c r="M2099"/>
      <c r="N2099"/>
      <c r="O2099"/>
      <c r="P2099" s="225"/>
      <c r="Q2099" s="225"/>
      <c r="R2099"/>
      <c r="S2099"/>
      <c r="T2099"/>
      <c r="U2099"/>
      <c r="V2099"/>
      <c r="W2099"/>
      <c r="X2099"/>
    </row>
    <row r="2100" spans="5:24" x14ac:dyDescent="0.3">
      <c r="E2100" s="173"/>
      <c r="F2100" s="173"/>
      <c r="I2100"/>
      <c r="J2100"/>
      <c r="K2100"/>
      <c r="L2100"/>
      <c r="M2100"/>
      <c r="N2100"/>
      <c r="O2100"/>
      <c r="P2100" s="225"/>
      <c r="Q2100" s="225"/>
      <c r="R2100"/>
      <c r="S2100"/>
      <c r="T2100"/>
      <c r="U2100"/>
      <c r="V2100"/>
      <c r="W2100"/>
      <c r="X2100"/>
    </row>
    <row r="2101" spans="5:24" x14ac:dyDescent="0.3">
      <c r="E2101" s="173"/>
      <c r="F2101" s="173"/>
      <c r="I2101"/>
      <c r="J2101"/>
      <c r="K2101"/>
      <c r="L2101"/>
      <c r="M2101"/>
      <c r="N2101"/>
      <c r="O2101"/>
      <c r="P2101" s="225"/>
      <c r="Q2101" s="225"/>
      <c r="R2101"/>
      <c r="S2101"/>
      <c r="T2101"/>
      <c r="U2101"/>
      <c r="V2101"/>
      <c r="W2101"/>
      <c r="X2101"/>
    </row>
    <row r="2102" spans="5:24" x14ac:dyDescent="0.3">
      <c r="E2102" s="173"/>
      <c r="F2102" s="173"/>
      <c r="I2102"/>
      <c r="J2102"/>
      <c r="K2102"/>
      <c r="L2102"/>
      <c r="M2102"/>
      <c r="N2102"/>
      <c r="O2102"/>
      <c r="P2102" s="225"/>
      <c r="Q2102" s="225"/>
      <c r="R2102"/>
      <c r="S2102"/>
      <c r="T2102"/>
      <c r="U2102"/>
      <c r="V2102"/>
      <c r="W2102"/>
      <c r="X2102"/>
    </row>
    <row r="2103" spans="5:24" x14ac:dyDescent="0.3">
      <c r="E2103" s="173"/>
      <c r="F2103" s="173"/>
      <c r="I2103"/>
      <c r="J2103"/>
      <c r="K2103"/>
      <c r="L2103"/>
      <c r="M2103"/>
      <c r="N2103"/>
      <c r="O2103"/>
      <c r="P2103" s="225"/>
      <c r="Q2103" s="225"/>
      <c r="R2103"/>
      <c r="S2103"/>
      <c r="T2103"/>
      <c r="U2103"/>
      <c r="V2103"/>
      <c r="W2103"/>
      <c r="X2103"/>
    </row>
    <row r="2104" spans="5:24" x14ac:dyDescent="0.3">
      <c r="E2104" s="173"/>
      <c r="F2104" s="173"/>
      <c r="I2104"/>
      <c r="J2104"/>
      <c r="K2104"/>
      <c r="L2104"/>
      <c r="M2104"/>
      <c r="N2104"/>
      <c r="O2104"/>
      <c r="P2104" s="225"/>
      <c r="Q2104" s="225"/>
      <c r="R2104"/>
      <c r="S2104"/>
      <c r="T2104"/>
      <c r="U2104"/>
      <c r="V2104"/>
      <c r="W2104"/>
      <c r="X2104"/>
    </row>
    <row r="2105" spans="5:24" x14ac:dyDescent="0.3">
      <c r="E2105" s="173"/>
      <c r="F2105" s="173"/>
      <c r="I2105"/>
      <c r="J2105"/>
      <c r="K2105"/>
      <c r="L2105"/>
      <c r="M2105"/>
      <c r="N2105"/>
      <c r="O2105"/>
      <c r="P2105" s="225"/>
      <c r="Q2105" s="225"/>
      <c r="R2105"/>
      <c r="S2105"/>
      <c r="T2105"/>
      <c r="U2105"/>
      <c r="V2105"/>
      <c r="W2105"/>
      <c r="X2105"/>
    </row>
    <row r="2106" spans="5:24" x14ac:dyDescent="0.3">
      <c r="E2106" s="173"/>
      <c r="F2106" s="173"/>
      <c r="I2106"/>
      <c r="J2106"/>
      <c r="K2106"/>
      <c r="L2106"/>
      <c r="M2106"/>
      <c r="N2106"/>
      <c r="O2106"/>
      <c r="P2106" s="225"/>
      <c r="Q2106" s="225"/>
      <c r="R2106"/>
      <c r="S2106"/>
      <c r="T2106"/>
      <c r="U2106"/>
      <c r="V2106"/>
      <c r="W2106"/>
      <c r="X2106"/>
    </row>
    <row r="2107" spans="5:24" x14ac:dyDescent="0.3">
      <c r="E2107" s="173"/>
      <c r="F2107" s="173"/>
      <c r="I2107"/>
      <c r="J2107"/>
      <c r="K2107"/>
      <c r="L2107"/>
      <c r="M2107"/>
      <c r="N2107"/>
      <c r="O2107"/>
      <c r="P2107" s="225"/>
      <c r="Q2107" s="225"/>
      <c r="R2107"/>
      <c r="S2107"/>
      <c r="T2107"/>
      <c r="U2107"/>
      <c r="V2107"/>
      <c r="W2107"/>
      <c r="X2107"/>
    </row>
    <row r="2108" spans="5:24" x14ac:dyDescent="0.3">
      <c r="E2108" s="173"/>
      <c r="F2108" s="173"/>
      <c r="I2108"/>
      <c r="J2108"/>
      <c r="K2108"/>
      <c r="L2108"/>
      <c r="M2108"/>
      <c r="N2108"/>
      <c r="O2108"/>
      <c r="P2108" s="225"/>
      <c r="Q2108" s="225"/>
      <c r="R2108"/>
      <c r="S2108"/>
      <c r="T2108"/>
      <c r="U2108"/>
      <c r="V2108"/>
      <c r="W2108"/>
      <c r="X2108"/>
    </row>
    <row r="2109" spans="5:24" x14ac:dyDescent="0.3">
      <c r="E2109" s="173"/>
      <c r="F2109" s="173"/>
      <c r="I2109"/>
      <c r="J2109"/>
      <c r="K2109"/>
      <c r="L2109"/>
      <c r="M2109"/>
      <c r="N2109"/>
      <c r="O2109"/>
      <c r="P2109" s="225"/>
      <c r="Q2109" s="225"/>
      <c r="R2109"/>
      <c r="S2109"/>
      <c r="T2109"/>
      <c r="U2109"/>
      <c r="V2109"/>
      <c r="W2109"/>
      <c r="X2109"/>
    </row>
    <row r="2110" spans="5:24" x14ac:dyDescent="0.3">
      <c r="E2110" s="173"/>
      <c r="F2110" s="173"/>
      <c r="I2110"/>
      <c r="J2110"/>
      <c r="K2110"/>
      <c r="L2110"/>
      <c r="M2110"/>
      <c r="N2110"/>
      <c r="O2110"/>
      <c r="P2110" s="225"/>
      <c r="Q2110" s="225"/>
      <c r="R2110"/>
      <c r="S2110"/>
      <c r="T2110"/>
      <c r="U2110"/>
      <c r="V2110"/>
      <c r="W2110"/>
      <c r="X2110"/>
    </row>
    <row r="2111" spans="5:24" x14ac:dyDescent="0.3">
      <c r="E2111" s="173"/>
      <c r="F2111" s="173"/>
      <c r="I2111"/>
      <c r="J2111"/>
      <c r="K2111"/>
      <c r="L2111"/>
      <c r="M2111"/>
      <c r="N2111"/>
      <c r="O2111"/>
      <c r="P2111" s="225"/>
      <c r="Q2111" s="225"/>
      <c r="R2111"/>
      <c r="S2111"/>
      <c r="T2111"/>
      <c r="U2111"/>
      <c r="V2111"/>
      <c r="W2111"/>
      <c r="X2111"/>
    </row>
    <row r="2112" spans="5:24" x14ac:dyDescent="0.3">
      <c r="E2112" s="173"/>
      <c r="F2112" s="173"/>
      <c r="I2112"/>
      <c r="J2112"/>
      <c r="K2112"/>
      <c r="L2112"/>
      <c r="M2112"/>
      <c r="N2112"/>
      <c r="O2112"/>
      <c r="P2112" s="225"/>
      <c r="Q2112" s="225"/>
      <c r="R2112"/>
      <c r="S2112"/>
      <c r="T2112"/>
      <c r="U2112"/>
      <c r="V2112"/>
      <c r="W2112"/>
      <c r="X2112"/>
    </row>
    <row r="2113" spans="5:24" x14ac:dyDescent="0.3">
      <c r="E2113" s="173"/>
      <c r="F2113" s="173"/>
      <c r="I2113"/>
      <c r="J2113"/>
      <c r="K2113"/>
      <c r="L2113"/>
      <c r="M2113"/>
      <c r="N2113"/>
      <c r="O2113"/>
      <c r="P2113" s="225"/>
      <c r="Q2113" s="225"/>
      <c r="R2113"/>
      <c r="S2113"/>
      <c r="T2113"/>
      <c r="U2113"/>
      <c r="V2113"/>
      <c r="W2113"/>
      <c r="X2113"/>
    </row>
    <row r="2114" spans="5:24" x14ac:dyDescent="0.3">
      <c r="E2114" s="173"/>
      <c r="F2114" s="173"/>
      <c r="I2114"/>
      <c r="J2114"/>
      <c r="K2114"/>
      <c r="L2114"/>
      <c r="M2114"/>
      <c r="N2114"/>
      <c r="O2114"/>
      <c r="P2114" s="225"/>
      <c r="Q2114" s="225"/>
      <c r="R2114"/>
      <c r="S2114"/>
      <c r="T2114"/>
      <c r="U2114"/>
      <c r="V2114"/>
      <c r="W2114"/>
      <c r="X2114"/>
    </row>
    <row r="2115" spans="5:24" x14ac:dyDescent="0.3">
      <c r="E2115" s="173"/>
      <c r="F2115" s="173"/>
      <c r="I2115"/>
      <c r="J2115"/>
      <c r="K2115"/>
      <c r="L2115"/>
      <c r="M2115"/>
      <c r="N2115"/>
      <c r="O2115"/>
      <c r="P2115" s="225"/>
      <c r="Q2115" s="225"/>
      <c r="R2115"/>
      <c r="S2115"/>
      <c r="T2115"/>
      <c r="U2115"/>
      <c r="V2115"/>
      <c r="W2115"/>
      <c r="X2115"/>
    </row>
    <row r="2116" spans="5:24" x14ac:dyDescent="0.3">
      <c r="E2116" s="173"/>
      <c r="F2116" s="173"/>
      <c r="I2116"/>
      <c r="J2116"/>
      <c r="K2116"/>
      <c r="L2116"/>
      <c r="M2116"/>
      <c r="N2116"/>
      <c r="O2116"/>
      <c r="P2116" s="225"/>
      <c r="Q2116" s="225"/>
      <c r="R2116"/>
      <c r="S2116"/>
      <c r="T2116"/>
      <c r="U2116"/>
      <c r="V2116"/>
      <c r="W2116"/>
      <c r="X2116"/>
    </row>
    <row r="2117" spans="5:24" x14ac:dyDescent="0.3">
      <c r="E2117" s="173"/>
      <c r="F2117" s="173"/>
      <c r="I2117"/>
      <c r="J2117"/>
      <c r="K2117"/>
      <c r="L2117"/>
      <c r="M2117"/>
      <c r="N2117"/>
      <c r="O2117"/>
      <c r="P2117" s="225"/>
      <c r="Q2117" s="225"/>
      <c r="R2117"/>
      <c r="S2117"/>
      <c r="T2117"/>
      <c r="U2117"/>
      <c r="V2117"/>
      <c r="W2117"/>
      <c r="X2117"/>
    </row>
    <row r="2118" spans="5:24" x14ac:dyDescent="0.3">
      <c r="E2118" s="173"/>
      <c r="F2118" s="173"/>
      <c r="I2118"/>
      <c r="J2118"/>
      <c r="K2118"/>
      <c r="L2118"/>
      <c r="M2118"/>
      <c r="N2118"/>
      <c r="O2118"/>
      <c r="P2118" s="225"/>
      <c r="Q2118" s="225"/>
      <c r="R2118"/>
      <c r="S2118"/>
      <c r="T2118"/>
      <c r="U2118"/>
      <c r="V2118"/>
      <c r="W2118"/>
      <c r="X2118"/>
    </row>
    <row r="2119" spans="5:24" x14ac:dyDescent="0.3">
      <c r="E2119" s="173"/>
      <c r="F2119" s="173"/>
      <c r="I2119"/>
      <c r="J2119"/>
      <c r="K2119"/>
      <c r="L2119"/>
      <c r="M2119"/>
      <c r="N2119"/>
      <c r="O2119"/>
      <c r="P2119" s="225"/>
      <c r="Q2119" s="225"/>
      <c r="R2119"/>
      <c r="S2119"/>
      <c r="T2119"/>
      <c r="U2119"/>
      <c r="V2119"/>
      <c r="W2119"/>
      <c r="X2119"/>
    </row>
    <row r="2120" spans="5:24" x14ac:dyDescent="0.3">
      <c r="E2120" s="173"/>
      <c r="F2120" s="173"/>
      <c r="I2120"/>
      <c r="J2120"/>
      <c r="K2120"/>
      <c r="L2120"/>
      <c r="M2120"/>
      <c r="N2120"/>
      <c r="O2120"/>
      <c r="P2120" s="225"/>
      <c r="Q2120" s="225"/>
      <c r="R2120"/>
      <c r="S2120"/>
      <c r="T2120"/>
      <c r="U2120"/>
      <c r="V2120"/>
      <c r="W2120"/>
      <c r="X2120"/>
    </row>
    <row r="2121" spans="5:24" x14ac:dyDescent="0.3">
      <c r="E2121" s="173"/>
      <c r="F2121" s="173"/>
      <c r="I2121"/>
      <c r="J2121"/>
      <c r="K2121"/>
      <c r="L2121"/>
      <c r="M2121"/>
      <c r="N2121"/>
      <c r="O2121"/>
      <c r="P2121" s="225"/>
      <c r="Q2121" s="225"/>
      <c r="R2121"/>
      <c r="S2121"/>
      <c r="T2121"/>
      <c r="U2121"/>
      <c r="V2121"/>
      <c r="W2121"/>
      <c r="X2121"/>
    </row>
    <row r="2122" spans="5:24" x14ac:dyDescent="0.3">
      <c r="E2122" s="173"/>
      <c r="F2122" s="173"/>
      <c r="I2122"/>
      <c r="J2122"/>
      <c r="K2122"/>
      <c r="L2122"/>
      <c r="M2122"/>
      <c r="N2122"/>
      <c r="O2122"/>
      <c r="P2122" s="225"/>
      <c r="Q2122" s="225"/>
      <c r="R2122"/>
      <c r="S2122"/>
      <c r="T2122"/>
      <c r="U2122"/>
      <c r="V2122"/>
      <c r="W2122"/>
      <c r="X2122"/>
    </row>
    <row r="2123" spans="5:24" x14ac:dyDescent="0.3">
      <c r="E2123" s="173"/>
      <c r="F2123" s="173"/>
      <c r="I2123"/>
      <c r="J2123"/>
      <c r="K2123"/>
      <c r="L2123"/>
      <c r="M2123"/>
      <c r="N2123"/>
      <c r="O2123"/>
      <c r="P2123" s="225"/>
      <c r="Q2123" s="225"/>
      <c r="R2123"/>
      <c r="S2123"/>
      <c r="T2123"/>
      <c r="U2123"/>
      <c r="V2123"/>
      <c r="W2123"/>
      <c r="X2123"/>
    </row>
    <row r="2124" spans="5:24" x14ac:dyDescent="0.3">
      <c r="E2124" s="173"/>
      <c r="F2124" s="173"/>
      <c r="I2124"/>
      <c r="J2124"/>
      <c r="K2124"/>
      <c r="L2124"/>
      <c r="M2124"/>
      <c r="N2124"/>
      <c r="O2124"/>
      <c r="P2124" s="225"/>
      <c r="Q2124" s="225"/>
      <c r="R2124"/>
      <c r="S2124"/>
      <c r="T2124"/>
      <c r="U2124"/>
      <c r="V2124"/>
      <c r="W2124"/>
      <c r="X2124"/>
    </row>
    <row r="2125" spans="5:24" x14ac:dyDescent="0.3">
      <c r="E2125" s="173"/>
      <c r="F2125" s="173"/>
      <c r="I2125"/>
      <c r="J2125"/>
      <c r="K2125"/>
      <c r="L2125"/>
      <c r="M2125"/>
      <c r="N2125"/>
      <c r="O2125"/>
      <c r="P2125" s="225"/>
      <c r="Q2125" s="225"/>
      <c r="R2125"/>
      <c r="S2125"/>
      <c r="T2125"/>
      <c r="U2125"/>
      <c r="V2125"/>
      <c r="W2125"/>
      <c r="X2125"/>
    </row>
    <row r="2126" spans="5:24" x14ac:dyDescent="0.3">
      <c r="E2126" s="173"/>
      <c r="F2126" s="173"/>
      <c r="I2126"/>
      <c r="J2126"/>
      <c r="K2126"/>
      <c r="L2126"/>
      <c r="M2126"/>
      <c r="N2126"/>
      <c r="O2126"/>
      <c r="P2126" s="225"/>
      <c r="Q2126" s="225"/>
      <c r="R2126"/>
      <c r="S2126"/>
      <c r="T2126"/>
      <c r="U2126"/>
      <c r="V2126"/>
      <c r="W2126"/>
      <c r="X2126"/>
    </row>
    <row r="2127" spans="5:24" x14ac:dyDescent="0.3">
      <c r="E2127" s="173"/>
      <c r="F2127" s="173"/>
      <c r="I2127"/>
      <c r="J2127"/>
      <c r="K2127"/>
      <c r="L2127"/>
      <c r="M2127"/>
      <c r="N2127"/>
      <c r="O2127"/>
      <c r="P2127" s="225"/>
      <c r="Q2127" s="225"/>
      <c r="R2127"/>
      <c r="S2127"/>
      <c r="T2127"/>
      <c r="U2127"/>
      <c r="V2127"/>
      <c r="W2127"/>
      <c r="X2127"/>
    </row>
    <row r="2128" spans="5:24" x14ac:dyDescent="0.3">
      <c r="E2128" s="173"/>
      <c r="F2128" s="173"/>
      <c r="I2128"/>
      <c r="J2128"/>
      <c r="K2128"/>
      <c r="L2128"/>
      <c r="M2128"/>
      <c r="N2128"/>
      <c r="O2128"/>
      <c r="P2128" s="225"/>
      <c r="Q2128" s="225"/>
      <c r="R2128"/>
      <c r="S2128"/>
      <c r="T2128"/>
      <c r="U2128"/>
      <c r="V2128"/>
      <c r="W2128"/>
      <c r="X2128"/>
    </row>
    <row r="2129" spans="5:24" x14ac:dyDescent="0.3">
      <c r="E2129" s="173"/>
      <c r="F2129" s="173"/>
      <c r="I2129"/>
      <c r="J2129"/>
      <c r="K2129"/>
      <c r="L2129"/>
      <c r="M2129"/>
      <c r="N2129"/>
      <c r="O2129"/>
      <c r="P2129" s="225"/>
      <c r="Q2129" s="225"/>
      <c r="R2129"/>
      <c r="S2129"/>
      <c r="T2129"/>
      <c r="U2129"/>
      <c r="V2129"/>
      <c r="W2129"/>
      <c r="X2129"/>
    </row>
    <row r="2130" spans="5:24" x14ac:dyDescent="0.3">
      <c r="E2130" s="173"/>
      <c r="F2130" s="173"/>
      <c r="I2130"/>
      <c r="J2130"/>
      <c r="K2130"/>
      <c r="L2130"/>
      <c r="M2130"/>
      <c r="N2130"/>
      <c r="O2130"/>
      <c r="P2130" s="225"/>
      <c r="Q2130" s="225"/>
      <c r="R2130"/>
      <c r="S2130"/>
      <c r="T2130"/>
      <c r="U2130"/>
      <c r="V2130"/>
      <c r="W2130"/>
      <c r="X2130"/>
    </row>
    <row r="2131" spans="5:24" x14ac:dyDescent="0.3">
      <c r="E2131" s="173"/>
      <c r="F2131" s="173"/>
      <c r="I2131"/>
      <c r="J2131"/>
      <c r="K2131"/>
      <c r="L2131"/>
      <c r="M2131"/>
      <c r="N2131"/>
      <c r="O2131"/>
      <c r="P2131" s="225"/>
      <c r="Q2131" s="225"/>
      <c r="R2131"/>
      <c r="S2131"/>
      <c r="T2131"/>
      <c r="U2131"/>
      <c r="V2131"/>
      <c r="W2131"/>
      <c r="X2131"/>
    </row>
    <row r="2132" spans="5:24" x14ac:dyDescent="0.3">
      <c r="E2132" s="173"/>
      <c r="F2132" s="173"/>
      <c r="I2132"/>
      <c r="J2132"/>
      <c r="K2132"/>
      <c r="L2132"/>
      <c r="M2132"/>
      <c r="N2132"/>
      <c r="O2132"/>
      <c r="P2132" s="225"/>
      <c r="Q2132" s="225"/>
      <c r="R2132"/>
      <c r="S2132"/>
      <c r="T2132"/>
      <c r="U2132"/>
      <c r="V2132"/>
      <c r="W2132"/>
      <c r="X2132"/>
    </row>
    <row r="2133" spans="5:24" x14ac:dyDescent="0.3">
      <c r="E2133" s="173"/>
      <c r="F2133" s="173"/>
      <c r="I2133"/>
      <c r="J2133"/>
      <c r="K2133"/>
      <c r="L2133"/>
      <c r="M2133"/>
      <c r="N2133"/>
      <c r="O2133"/>
      <c r="P2133" s="225"/>
      <c r="Q2133" s="225"/>
      <c r="R2133"/>
      <c r="S2133"/>
      <c r="T2133"/>
      <c r="U2133"/>
      <c r="V2133"/>
      <c r="W2133"/>
      <c r="X2133"/>
    </row>
    <row r="2134" spans="5:24" x14ac:dyDescent="0.3">
      <c r="E2134" s="173"/>
      <c r="F2134" s="173"/>
      <c r="I2134"/>
      <c r="J2134"/>
      <c r="K2134"/>
      <c r="L2134"/>
      <c r="M2134"/>
      <c r="N2134"/>
      <c r="O2134"/>
      <c r="P2134" s="225"/>
      <c r="Q2134" s="225"/>
      <c r="R2134"/>
      <c r="S2134"/>
      <c r="T2134"/>
      <c r="U2134"/>
      <c r="V2134"/>
      <c r="W2134"/>
      <c r="X2134"/>
    </row>
    <row r="2135" spans="5:24" x14ac:dyDescent="0.3">
      <c r="E2135" s="173"/>
      <c r="F2135" s="173"/>
      <c r="I2135"/>
      <c r="J2135"/>
      <c r="K2135"/>
      <c r="L2135"/>
      <c r="M2135"/>
      <c r="N2135"/>
      <c r="O2135"/>
      <c r="P2135" s="225"/>
      <c r="Q2135" s="225"/>
      <c r="R2135"/>
      <c r="S2135"/>
      <c r="T2135"/>
      <c r="U2135"/>
      <c r="V2135"/>
      <c r="W2135"/>
      <c r="X2135"/>
    </row>
    <row r="2136" spans="5:24" x14ac:dyDescent="0.3">
      <c r="E2136" s="173"/>
      <c r="F2136" s="173"/>
      <c r="I2136"/>
      <c r="J2136"/>
      <c r="K2136"/>
      <c r="L2136"/>
      <c r="M2136"/>
      <c r="N2136"/>
      <c r="O2136"/>
      <c r="P2136" s="225"/>
      <c r="Q2136" s="225"/>
      <c r="R2136"/>
      <c r="S2136"/>
      <c r="T2136"/>
      <c r="U2136"/>
      <c r="V2136"/>
      <c r="W2136"/>
      <c r="X2136"/>
    </row>
    <row r="2137" spans="5:24" x14ac:dyDescent="0.3">
      <c r="E2137" s="173"/>
      <c r="F2137" s="173"/>
      <c r="I2137"/>
      <c r="J2137"/>
      <c r="K2137"/>
      <c r="L2137"/>
      <c r="M2137"/>
      <c r="N2137"/>
      <c r="O2137"/>
      <c r="P2137" s="225"/>
      <c r="Q2137" s="225"/>
      <c r="R2137"/>
      <c r="S2137"/>
      <c r="T2137"/>
      <c r="U2137"/>
      <c r="V2137"/>
      <c r="W2137"/>
      <c r="X2137"/>
    </row>
    <row r="2138" spans="5:24" x14ac:dyDescent="0.3">
      <c r="E2138" s="173"/>
      <c r="F2138" s="173"/>
      <c r="I2138"/>
      <c r="J2138"/>
      <c r="K2138"/>
      <c r="L2138"/>
      <c r="M2138"/>
      <c r="N2138"/>
      <c r="O2138"/>
      <c r="P2138" s="225"/>
      <c r="Q2138" s="225"/>
      <c r="R2138"/>
      <c r="S2138"/>
      <c r="T2138"/>
      <c r="U2138"/>
      <c r="V2138"/>
      <c r="W2138"/>
      <c r="X2138"/>
    </row>
    <row r="2139" spans="5:24" x14ac:dyDescent="0.3">
      <c r="E2139" s="173"/>
      <c r="F2139" s="173"/>
      <c r="I2139"/>
      <c r="J2139"/>
      <c r="K2139"/>
      <c r="L2139"/>
      <c r="M2139"/>
      <c r="N2139"/>
      <c r="O2139"/>
      <c r="P2139" s="225"/>
      <c r="Q2139" s="225"/>
      <c r="R2139"/>
      <c r="S2139"/>
      <c r="T2139"/>
      <c r="U2139"/>
      <c r="V2139"/>
      <c r="W2139"/>
      <c r="X2139"/>
    </row>
    <row r="2140" spans="5:24" x14ac:dyDescent="0.3">
      <c r="E2140" s="173"/>
      <c r="F2140" s="173"/>
      <c r="I2140"/>
      <c r="J2140"/>
      <c r="K2140"/>
      <c r="L2140"/>
      <c r="M2140"/>
      <c r="N2140"/>
      <c r="O2140"/>
      <c r="P2140" s="225"/>
      <c r="Q2140" s="225"/>
      <c r="R2140"/>
      <c r="S2140"/>
      <c r="T2140"/>
      <c r="U2140"/>
      <c r="V2140"/>
      <c r="W2140"/>
      <c r="X2140"/>
    </row>
    <row r="2141" spans="5:24" x14ac:dyDescent="0.3">
      <c r="E2141" s="173"/>
      <c r="F2141" s="173"/>
      <c r="I2141"/>
      <c r="J2141"/>
      <c r="K2141"/>
      <c r="L2141"/>
      <c r="M2141"/>
      <c r="N2141"/>
      <c r="O2141"/>
      <c r="P2141" s="225"/>
      <c r="Q2141" s="225"/>
      <c r="R2141"/>
      <c r="S2141"/>
      <c r="T2141"/>
      <c r="U2141"/>
      <c r="V2141"/>
      <c r="W2141"/>
      <c r="X2141"/>
    </row>
    <row r="2142" spans="5:24" x14ac:dyDescent="0.3">
      <c r="E2142" s="173"/>
      <c r="F2142" s="173"/>
      <c r="I2142"/>
      <c r="J2142"/>
      <c r="K2142"/>
      <c r="L2142"/>
      <c r="M2142"/>
      <c r="N2142"/>
      <c r="O2142"/>
      <c r="P2142" s="225"/>
      <c r="Q2142" s="225"/>
      <c r="R2142"/>
      <c r="S2142"/>
      <c r="T2142"/>
      <c r="U2142"/>
      <c r="V2142"/>
      <c r="W2142"/>
      <c r="X2142"/>
    </row>
    <row r="2143" spans="5:24" x14ac:dyDescent="0.3">
      <c r="E2143" s="173"/>
      <c r="F2143" s="173"/>
      <c r="I2143"/>
      <c r="J2143"/>
      <c r="K2143"/>
      <c r="L2143"/>
      <c r="M2143"/>
      <c r="N2143"/>
      <c r="O2143"/>
      <c r="P2143" s="225"/>
      <c r="Q2143" s="225"/>
      <c r="R2143"/>
      <c r="S2143"/>
      <c r="T2143"/>
      <c r="U2143"/>
      <c r="V2143"/>
      <c r="W2143"/>
      <c r="X2143"/>
    </row>
    <row r="2144" spans="5:24" x14ac:dyDescent="0.3">
      <c r="E2144" s="173"/>
      <c r="F2144" s="173"/>
      <c r="I2144"/>
      <c r="J2144"/>
      <c r="K2144"/>
      <c r="L2144"/>
      <c r="M2144"/>
      <c r="N2144"/>
      <c r="O2144"/>
      <c r="P2144" s="225"/>
      <c r="Q2144" s="225"/>
      <c r="R2144"/>
      <c r="S2144"/>
      <c r="T2144"/>
      <c r="U2144"/>
      <c r="V2144"/>
      <c r="W2144"/>
      <c r="X2144"/>
    </row>
    <row r="2145" spans="5:24" x14ac:dyDescent="0.3">
      <c r="E2145" s="173"/>
      <c r="F2145" s="173"/>
      <c r="I2145"/>
      <c r="J2145"/>
      <c r="K2145"/>
      <c r="L2145"/>
      <c r="M2145"/>
      <c r="N2145"/>
      <c r="O2145"/>
      <c r="P2145" s="225"/>
      <c r="Q2145" s="225"/>
      <c r="R2145"/>
      <c r="S2145"/>
      <c r="T2145"/>
      <c r="U2145"/>
      <c r="V2145"/>
      <c r="W2145"/>
      <c r="X2145"/>
    </row>
    <row r="2146" spans="5:24" x14ac:dyDescent="0.3">
      <c r="E2146" s="173"/>
      <c r="F2146" s="173"/>
      <c r="I2146"/>
      <c r="J2146"/>
      <c r="K2146"/>
      <c r="L2146"/>
      <c r="M2146"/>
      <c r="N2146"/>
      <c r="O2146"/>
      <c r="P2146" s="225"/>
      <c r="Q2146" s="225"/>
      <c r="R2146"/>
      <c r="S2146"/>
      <c r="T2146"/>
      <c r="U2146"/>
      <c r="V2146"/>
      <c r="W2146"/>
      <c r="X2146"/>
    </row>
    <row r="2147" spans="5:24" x14ac:dyDescent="0.3">
      <c r="E2147" s="173"/>
      <c r="F2147" s="173"/>
      <c r="I2147"/>
      <c r="J2147"/>
      <c r="K2147"/>
      <c r="L2147"/>
      <c r="M2147"/>
      <c r="N2147"/>
      <c r="O2147"/>
      <c r="P2147" s="225"/>
      <c r="Q2147" s="225"/>
      <c r="R2147"/>
      <c r="S2147"/>
      <c r="T2147"/>
      <c r="U2147"/>
      <c r="V2147"/>
      <c r="W2147"/>
      <c r="X2147"/>
    </row>
    <row r="2148" spans="5:24" x14ac:dyDescent="0.3">
      <c r="E2148" s="173"/>
      <c r="F2148" s="173"/>
      <c r="I2148"/>
      <c r="J2148"/>
      <c r="K2148"/>
      <c r="L2148"/>
      <c r="M2148"/>
      <c r="N2148"/>
      <c r="O2148"/>
      <c r="P2148" s="225"/>
      <c r="Q2148" s="225"/>
      <c r="R2148"/>
      <c r="S2148"/>
      <c r="T2148"/>
      <c r="U2148"/>
      <c r="V2148"/>
      <c r="W2148"/>
      <c r="X2148"/>
    </row>
    <row r="2149" spans="5:24" x14ac:dyDescent="0.3">
      <c r="E2149" s="173"/>
      <c r="F2149" s="173"/>
      <c r="I2149"/>
      <c r="J2149"/>
      <c r="K2149"/>
      <c r="L2149"/>
      <c r="M2149"/>
      <c r="N2149"/>
      <c r="O2149"/>
      <c r="P2149" s="225"/>
      <c r="Q2149" s="225"/>
      <c r="R2149"/>
      <c r="S2149"/>
      <c r="T2149"/>
      <c r="U2149"/>
      <c r="V2149"/>
      <c r="W2149"/>
      <c r="X2149"/>
    </row>
    <row r="2150" spans="5:24" x14ac:dyDescent="0.3">
      <c r="E2150" s="173"/>
      <c r="F2150" s="173"/>
      <c r="I2150"/>
      <c r="J2150"/>
      <c r="K2150"/>
      <c r="L2150"/>
      <c r="M2150"/>
      <c r="N2150"/>
      <c r="O2150"/>
      <c r="P2150" s="225"/>
      <c r="Q2150" s="225"/>
      <c r="R2150"/>
      <c r="S2150"/>
      <c r="T2150"/>
      <c r="U2150"/>
      <c r="V2150"/>
      <c r="W2150"/>
      <c r="X2150"/>
    </row>
    <row r="2151" spans="5:24" x14ac:dyDescent="0.3">
      <c r="E2151" s="173"/>
      <c r="F2151" s="173"/>
      <c r="I2151"/>
      <c r="J2151"/>
      <c r="K2151"/>
      <c r="L2151"/>
      <c r="M2151"/>
      <c r="N2151"/>
      <c r="O2151"/>
      <c r="P2151" s="225"/>
      <c r="Q2151" s="225"/>
      <c r="R2151"/>
      <c r="S2151"/>
      <c r="T2151"/>
      <c r="U2151"/>
      <c r="V2151"/>
      <c r="W2151"/>
      <c r="X2151"/>
    </row>
    <row r="2152" spans="5:24" x14ac:dyDescent="0.3">
      <c r="E2152" s="173"/>
      <c r="F2152" s="173"/>
      <c r="I2152"/>
      <c r="J2152"/>
      <c r="K2152"/>
      <c r="L2152"/>
      <c r="M2152"/>
      <c r="N2152"/>
      <c r="O2152"/>
      <c r="P2152" s="225"/>
      <c r="Q2152" s="225"/>
      <c r="R2152"/>
      <c r="S2152"/>
      <c r="T2152"/>
      <c r="U2152"/>
      <c r="V2152"/>
      <c r="W2152"/>
      <c r="X2152"/>
    </row>
    <row r="2153" spans="5:24" x14ac:dyDescent="0.3">
      <c r="E2153" s="173"/>
      <c r="F2153" s="173"/>
      <c r="I2153"/>
      <c r="J2153"/>
      <c r="K2153"/>
      <c r="L2153"/>
      <c r="M2153"/>
      <c r="N2153"/>
      <c r="O2153"/>
      <c r="P2153" s="225"/>
      <c r="Q2153" s="225"/>
      <c r="R2153"/>
      <c r="S2153"/>
      <c r="T2153"/>
      <c r="U2153"/>
      <c r="V2153"/>
      <c r="W2153"/>
      <c r="X2153"/>
    </row>
    <row r="2154" spans="5:24" x14ac:dyDescent="0.3">
      <c r="E2154" s="173"/>
      <c r="F2154" s="173"/>
      <c r="I2154"/>
      <c r="J2154"/>
      <c r="K2154"/>
      <c r="L2154"/>
      <c r="M2154"/>
      <c r="N2154"/>
      <c r="O2154"/>
      <c r="P2154" s="225"/>
      <c r="Q2154" s="225"/>
      <c r="R2154"/>
      <c r="S2154"/>
      <c r="T2154"/>
      <c r="U2154"/>
      <c r="V2154"/>
      <c r="W2154"/>
      <c r="X2154"/>
    </row>
    <row r="2155" spans="5:24" x14ac:dyDescent="0.3">
      <c r="E2155" s="173"/>
      <c r="F2155" s="173"/>
      <c r="I2155"/>
      <c r="J2155"/>
      <c r="K2155"/>
      <c r="L2155"/>
      <c r="M2155"/>
      <c r="N2155"/>
      <c r="O2155"/>
      <c r="P2155" s="225"/>
      <c r="Q2155" s="225"/>
      <c r="R2155"/>
      <c r="S2155"/>
      <c r="T2155"/>
      <c r="U2155"/>
      <c r="V2155"/>
      <c r="W2155"/>
      <c r="X2155"/>
    </row>
    <row r="2156" spans="5:24" x14ac:dyDescent="0.3">
      <c r="E2156" s="173"/>
      <c r="F2156" s="173"/>
      <c r="I2156"/>
      <c r="J2156"/>
      <c r="K2156"/>
      <c r="L2156"/>
      <c r="M2156"/>
      <c r="N2156"/>
      <c r="O2156"/>
      <c r="P2156" s="225"/>
      <c r="Q2156" s="225"/>
      <c r="R2156"/>
      <c r="S2156"/>
      <c r="T2156"/>
      <c r="U2156"/>
      <c r="V2156"/>
      <c r="W2156"/>
      <c r="X2156"/>
    </row>
    <row r="2157" spans="5:24" x14ac:dyDescent="0.3">
      <c r="E2157" s="173"/>
      <c r="F2157" s="173"/>
      <c r="I2157"/>
      <c r="J2157"/>
      <c r="K2157"/>
      <c r="L2157"/>
      <c r="M2157"/>
      <c r="N2157"/>
      <c r="O2157"/>
      <c r="P2157" s="225"/>
      <c r="Q2157" s="225"/>
      <c r="R2157"/>
      <c r="S2157"/>
      <c r="T2157"/>
      <c r="U2157"/>
      <c r="V2157"/>
      <c r="W2157"/>
      <c r="X2157"/>
    </row>
    <row r="2158" spans="5:24" x14ac:dyDescent="0.3">
      <c r="E2158" s="173"/>
      <c r="F2158" s="173"/>
      <c r="I2158"/>
      <c r="J2158"/>
      <c r="K2158"/>
      <c r="L2158"/>
      <c r="M2158"/>
      <c r="N2158"/>
      <c r="O2158"/>
      <c r="P2158" s="225"/>
      <c r="Q2158" s="225"/>
      <c r="R2158"/>
      <c r="S2158"/>
      <c r="T2158"/>
      <c r="U2158"/>
      <c r="V2158"/>
      <c r="W2158"/>
      <c r="X2158"/>
    </row>
    <row r="2159" spans="5:24" x14ac:dyDescent="0.3">
      <c r="E2159" s="173"/>
      <c r="F2159" s="173"/>
      <c r="I2159"/>
      <c r="J2159"/>
      <c r="K2159"/>
      <c r="L2159"/>
      <c r="M2159"/>
      <c r="N2159"/>
      <c r="O2159"/>
      <c r="P2159" s="225"/>
      <c r="Q2159" s="225"/>
      <c r="R2159"/>
      <c r="S2159"/>
      <c r="T2159"/>
      <c r="U2159"/>
      <c r="V2159"/>
      <c r="W2159"/>
      <c r="X2159"/>
    </row>
    <row r="2160" spans="5:24" x14ac:dyDescent="0.3">
      <c r="E2160" s="173"/>
      <c r="F2160" s="173"/>
      <c r="I2160"/>
      <c r="J2160"/>
      <c r="K2160"/>
      <c r="L2160"/>
      <c r="M2160"/>
      <c r="N2160"/>
      <c r="O2160"/>
      <c r="P2160" s="225"/>
      <c r="Q2160" s="225"/>
      <c r="R2160"/>
      <c r="S2160"/>
      <c r="T2160"/>
      <c r="U2160"/>
      <c r="V2160"/>
      <c r="W2160"/>
      <c r="X2160"/>
    </row>
    <row r="2161" spans="5:24" x14ac:dyDescent="0.3">
      <c r="E2161" s="173"/>
      <c r="F2161" s="173"/>
      <c r="I2161"/>
      <c r="J2161"/>
      <c r="K2161"/>
      <c r="L2161"/>
      <c r="M2161"/>
      <c r="N2161"/>
      <c r="O2161"/>
      <c r="P2161" s="225"/>
      <c r="Q2161" s="225"/>
      <c r="R2161"/>
      <c r="S2161"/>
      <c r="T2161"/>
      <c r="U2161"/>
      <c r="V2161"/>
      <c r="W2161"/>
      <c r="X2161"/>
    </row>
    <row r="2162" spans="5:24" x14ac:dyDescent="0.3">
      <c r="E2162" s="173"/>
      <c r="F2162" s="173"/>
      <c r="I2162"/>
      <c r="J2162"/>
      <c r="K2162"/>
      <c r="L2162"/>
      <c r="M2162"/>
      <c r="N2162"/>
      <c r="O2162"/>
      <c r="P2162" s="225"/>
      <c r="Q2162" s="225"/>
      <c r="R2162"/>
      <c r="S2162"/>
      <c r="T2162"/>
      <c r="U2162"/>
      <c r="V2162"/>
      <c r="W2162"/>
      <c r="X2162"/>
    </row>
    <row r="2163" spans="5:24" x14ac:dyDescent="0.3">
      <c r="E2163" s="173"/>
      <c r="F2163" s="173"/>
      <c r="I2163"/>
      <c r="J2163"/>
      <c r="K2163"/>
      <c r="L2163"/>
      <c r="M2163"/>
      <c r="N2163"/>
      <c r="O2163"/>
      <c r="P2163" s="225"/>
      <c r="Q2163" s="225"/>
      <c r="R2163"/>
      <c r="S2163"/>
      <c r="T2163"/>
      <c r="U2163"/>
      <c r="V2163"/>
      <c r="W2163"/>
      <c r="X2163"/>
    </row>
    <row r="2164" spans="5:24" x14ac:dyDescent="0.3">
      <c r="E2164" s="173"/>
      <c r="F2164" s="173"/>
      <c r="I2164"/>
      <c r="J2164"/>
      <c r="K2164"/>
      <c r="L2164"/>
      <c r="M2164"/>
      <c r="N2164"/>
      <c r="O2164"/>
      <c r="P2164" s="225"/>
      <c r="Q2164" s="225"/>
      <c r="R2164"/>
      <c r="S2164"/>
      <c r="T2164"/>
      <c r="U2164"/>
      <c r="V2164"/>
      <c r="W2164"/>
      <c r="X2164"/>
    </row>
    <row r="2165" spans="5:24" x14ac:dyDescent="0.3">
      <c r="E2165" s="173"/>
      <c r="F2165" s="173"/>
      <c r="I2165"/>
      <c r="J2165"/>
      <c r="K2165"/>
      <c r="L2165"/>
      <c r="M2165"/>
      <c r="N2165"/>
      <c r="O2165"/>
      <c r="P2165" s="225"/>
      <c r="Q2165" s="225"/>
      <c r="R2165"/>
      <c r="S2165"/>
      <c r="T2165"/>
      <c r="U2165"/>
      <c r="V2165"/>
      <c r="W2165"/>
      <c r="X2165"/>
    </row>
    <row r="2166" spans="5:24" x14ac:dyDescent="0.3">
      <c r="E2166" s="173"/>
      <c r="F2166" s="173"/>
      <c r="I2166"/>
      <c r="J2166"/>
      <c r="K2166"/>
      <c r="L2166"/>
      <c r="M2166"/>
      <c r="N2166"/>
      <c r="O2166"/>
      <c r="P2166" s="225"/>
      <c r="Q2166" s="225"/>
      <c r="R2166"/>
      <c r="S2166"/>
      <c r="T2166"/>
      <c r="U2166"/>
      <c r="V2166"/>
      <c r="W2166"/>
      <c r="X2166"/>
    </row>
    <row r="2167" spans="5:24" x14ac:dyDescent="0.3">
      <c r="E2167" s="173"/>
      <c r="F2167" s="173"/>
      <c r="I2167"/>
      <c r="J2167"/>
      <c r="K2167"/>
      <c r="L2167"/>
      <c r="M2167"/>
      <c r="N2167"/>
      <c r="O2167"/>
      <c r="P2167" s="225"/>
      <c r="Q2167" s="225"/>
      <c r="R2167"/>
      <c r="S2167"/>
      <c r="T2167"/>
      <c r="U2167"/>
      <c r="V2167"/>
      <c r="W2167"/>
      <c r="X2167"/>
    </row>
    <row r="2168" spans="5:24" x14ac:dyDescent="0.3">
      <c r="E2168" s="173"/>
      <c r="F2168" s="173"/>
      <c r="I2168"/>
      <c r="J2168"/>
      <c r="K2168"/>
      <c r="L2168"/>
      <c r="M2168"/>
      <c r="N2168"/>
      <c r="O2168"/>
      <c r="P2168" s="225"/>
      <c r="Q2168" s="225"/>
      <c r="R2168"/>
      <c r="S2168"/>
      <c r="T2168"/>
      <c r="U2168"/>
      <c r="V2168"/>
      <c r="W2168"/>
      <c r="X2168"/>
    </row>
    <row r="2169" spans="5:24" x14ac:dyDescent="0.3">
      <c r="E2169" s="173"/>
      <c r="F2169" s="173"/>
      <c r="I2169"/>
      <c r="J2169"/>
      <c r="K2169"/>
      <c r="L2169"/>
      <c r="M2169"/>
      <c r="N2169"/>
      <c r="O2169"/>
      <c r="P2169" s="225"/>
      <c r="Q2169" s="225"/>
      <c r="R2169"/>
      <c r="S2169"/>
      <c r="T2169"/>
      <c r="U2169"/>
      <c r="V2169"/>
      <c r="W2169"/>
      <c r="X2169"/>
    </row>
    <row r="2170" spans="5:24" x14ac:dyDescent="0.3">
      <c r="E2170" s="173"/>
      <c r="F2170" s="173"/>
      <c r="I2170"/>
      <c r="J2170"/>
      <c r="K2170"/>
      <c r="L2170"/>
      <c r="M2170"/>
      <c r="N2170"/>
      <c r="O2170"/>
      <c r="P2170" s="225"/>
      <c r="Q2170" s="225"/>
      <c r="R2170"/>
      <c r="S2170"/>
      <c r="T2170"/>
      <c r="U2170"/>
      <c r="V2170"/>
      <c r="W2170"/>
      <c r="X2170"/>
    </row>
    <row r="2171" spans="5:24" x14ac:dyDescent="0.3">
      <c r="E2171" s="173"/>
      <c r="F2171" s="173"/>
      <c r="I2171"/>
      <c r="J2171"/>
      <c r="K2171"/>
      <c r="L2171"/>
      <c r="M2171"/>
      <c r="N2171"/>
      <c r="O2171"/>
      <c r="P2171" s="225"/>
      <c r="Q2171" s="225"/>
      <c r="R2171"/>
      <c r="S2171"/>
      <c r="T2171"/>
      <c r="U2171"/>
      <c r="V2171"/>
      <c r="W2171"/>
      <c r="X2171"/>
    </row>
    <row r="2172" spans="5:24" x14ac:dyDescent="0.3">
      <c r="E2172" s="173"/>
      <c r="F2172" s="173"/>
      <c r="I2172"/>
      <c r="J2172"/>
      <c r="K2172"/>
      <c r="L2172"/>
      <c r="M2172"/>
      <c r="N2172"/>
      <c r="O2172"/>
      <c r="P2172" s="225"/>
      <c r="Q2172" s="225"/>
      <c r="R2172"/>
      <c r="S2172"/>
      <c r="T2172"/>
      <c r="U2172"/>
      <c r="V2172"/>
      <c r="W2172"/>
      <c r="X2172"/>
    </row>
    <row r="2173" spans="5:24" x14ac:dyDescent="0.3">
      <c r="E2173" s="173"/>
      <c r="F2173" s="173"/>
      <c r="I2173"/>
      <c r="J2173"/>
      <c r="K2173"/>
      <c r="L2173"/>
      <c r="M2173"/>
      <c r="N2173"/>
      <c r="O2173"/>
      <c r="P2173" s="225"/>
      <c r="Q2173" s="225"/>
      <c r="R2173"/>
      <c r="S2173"/>
      <c r="T2173"/>
      <c r="U2173"/>
      <c r="V2173"/>
      <c r="W2173"/>
      <c r="X2173"/>
    </row>
    <row r="2174" spans="5:24" x14ac:dyDescent="0.3">
      <c r="E2174" s="173"/>
      <c r="F2174" s="173"/>
      <c r="I2174"/>
      <c r="J2174"/>
      <c r="K2174"/>
      <c r="L2174"/>
      <c r="M2174"/>
      <c r="N2174"/>
      <c r="O2174"/>
      <c r="P2174" s="225"/>
      <c r="Q2174" s="225"/>
      <c r="R2174"/>
      <c r="S2174"/>
      <c r="T2174"/>
      <c r="U2174"/>
      <c r="V2174"/>
      <c r="W2174"/>
      <c r="X2174"/>
    </row>
    <row r="2175" spans="5:24" x14ac:dyDescent="0.3">
      <c r="E2175" s="173"/>
      <c r="F2175" s="173"/>
      <c r="I2175"/>
      <c r="J2175"/>
      <c r="K2175"/>
      <c r="L2175"/>
      <c r="M2175"/>
      <c r="N2175"/>
      <c r="O2175"/>
      <c r="P2175" s="225"/>
      <c r="Q2175" s="225"/>
      <c r="R2175"/>
      <c r="S2175"/>
      <c r="T2175"/>
      <c r="U2175"/>
      <c r="V2175"/>
      <c r="W2175"/>
      <c r="X2175"/>
    </row>
    <row r="2176" spans="5:24" x14ac:dyDescent="0.3">
      <c r="E2176" s="173"/>
      <c r="F2176" s="173"/>
      <c r="I2176"/>
      <c r="J2176"/>
      <c r="K2176"/>
      <c r="L2176"/>
      <c r="M2176"/>
      <c r="N2176"/>
      <c r="O2176"/>
      <c r="P2176" s="225"/>
      <c r="Q2176" s="225"/>
      <c r="R2176"/>
      <c r="S2176"/>
      <c r="T2176"/>
      <c r="U2176"/>
      <c r="V2176"/>
      <c r="W2176"/>
      <c r="X2176"/>
    </row>
    <row r="2177" spans="5:24" x14ac:dyDescent="0.3">
      <c r="E2177" s="173"/>
      <c r="F2177" s="173"/>
      <c r="I2177"/>
      <c r="J2177"/>
      <c r="K2177"/>
      <c r="L2177"/>
      <c r="M2177"/>
      <c r="N2177"/>
      <c r="O2177"/>
      <c r="P2177" s="225"/>
      <c r="Q2177" s="225"/>
      <c r="R2177"/>
      <c r="S2177"/>
      <c r="T2177"/>
      <c r="U2177"/>
      <c r="V2177"/>
      <c r="W2177"/>
      <c r="X2177"/>
    </row>
    <row r="2178" spans="5:24" x14ac:dyDescent="0.3">
      <c r="E2178" s="173"/>
      <c r="F2178" s="173"/>
      <c r="I2178"/>
      <c r="J2178"/>
      <c r="K2178"/>
      <c r="L2178"/>
      <c r="M2178"/>
      <c r="N2178"/>
      <c r="O2178"/>
      <c r="P2178" s="225"/>
      <c r="Q2178" s="225"/>
      <c r="R2178"/>
      <c r="S2178"/>
      <c r="T2178"/>
      <c r="U2178"/>
      <c r="V2178"/>
      <c r="W2178"/>
      <c r="X2178"/>
    </row>
    <row r="2179" spans="5:24" x14ac:dyDescent="0.3">
      <c r="E2179" s="173"/>
      <c r="F2179" s="173"/>
      <c r="I2179"/>
      <c r="J2179"/>
      <c r="K2179"/>
      <c r="L2179"/>
      <c r="M2179"/>
      <c r="N2179"/>
      <c r="O2179"/>
      <c r="P2179" s="225"/>
      <c r="Q2179" s="225"/>
      <c r="R2179"/>
      <c r="S2179"/>
      <c r="T2179"/>
      <c r="U2179"/>
      <c r="V2179"/>
      <c r="W2179"/>
      <c r="X2179"/>
    </row>
    <row r="2180" spans="5:24" x14ac:dyDescent="0.3">
      <c r="E2180" s="173"/>
      <c r="F2180" s="173"/>
      <c r="I2180"/>
      <c r="J2180"/>
      <c r="K2180"/>
      <c r="L2180"/>
      <c r="M2180"/>
      <c r="N2180"/>
      <c r="O2180"/>
      <c r="P2180" s="225"/>
      <c r="Q2180" s="225"/>
      <c r="R2180"/>
      <c r="S2180"/>
      <c r="T2180"/>
      <c r="U2180"/>
      <c r="V2180"/>
      <c r="W2180"/>
      <c r="X2180"/>
    </row>
    <row r="2181" spans="5:24" x14ac:dyDescent="0.3">
      <c r="E2181" s="173"/>
      <c r="F2181" s="173"/>
      <c r="I2181"/>
      <c r="J2181"/>
      <c r="K2181"/>
      <c r="L2181"/>
      <c r="M2181"/>
      <c r="N2181"/>
      <c r="O2181"/>
      <c r="P2181" s="225"/>
      <c r="Q2181" s="225"/>
      <c r="R2181"/>
      <c r="S2181"/>
      <c r="T2181"/>
      <c r="U2181"/>
      <c r="V2181"/>
      <c r="W2181"/>
      <c r="X2181"/>
    </row>
    <row r="2182" spans="5:24" x14ac:dyDescent="0.3">
      <c r="E2182" s="173"/>
      <c r="F2182" s="173"/>
      <c r="I2182"/>
      <c r="J2182"/>
      <c r="K2182"/>
      <c r="L2182"/>
      <c r="M2182"/>
      <c r="N2182"/>
      <c r="O2182"/>
      <c r="P2182" s="225"/>
      <c r="Q2182" s="225"/>
      <c r="R2182"/>
      <c r="S2182"/>
      <c r="T2182"/>
      <c r="U2182"/>
      <c r="V2182"/>
      <c r="W2182"/>
      <c r="X2182"/>
    </row>
    <row r="2183" spans="5:24" x14ac:dyDescent="0.3">
      <c r="E2183" s="173"/>
      <c r="F2183" s="173"/>
      <c r="I2183"/>
      <c r="J2183"/>
      <c r="K2183"/>
      <c r="L2183"/>
      <c r="M2183"/>
      <c r="N2183"/>
      <c r="O2183"/>
      <c r="P2183" s="225"/>
      <c r="Q2183" s="225"/>
      <c r="R2183"/>
      <c r="S2183"/>
      <c r="T2183"/>
      <c r="U2183"/>
      <c r="V2183"/>
      <c r="W2183"/>
      <c r="X2183"/>
    </row>
    <row r="2184" spans="5:24" x14ac:dyDescent="0.3">
      <c r="E2184" s="173"/>
      <c r="F2184" s="173"/>
      <c r="I2184"/>
      <c r="J2184"/>
      <c r="K2184"/>
      <c r="L2184"/>
      <c r="M2184"/>
      <c r="N2184"/>
      <c r="O2184"/>
      <c r="P2184" s="225"/>
      <c r="Q2184" s="225"/>
      <c r="R2184"/>
      <c r="S2184"/>
      <c r="T2184"/>
      <c r="U2184"/>
      <c r="V2184"/>
      <c r="W2184"/>
      <c r="X2184"/>
    </row>
    <row r="2185" spans="5:24" x14ac:dyDescent="0.3">
      <c r="E2185" s="173"/>
      <c r="F2185" s="173"/>
      <c r="I2185"/>
      <c r="J2185"/>
      <c r="K2185"/>
      <c r="L2185"/>
      <c r="M2185"/>
      <c r="N2185"/>
      <c r="O2185"/>
      <c r="P2185" s="225"/>
      <c r="Q2185" s="225"/>
      <c r="R2185"/>
      <c r="S2185"/>
      <c r="T2185"/>
      <c r="U2185"/>
      <c r="V2185"/>
      <c r="W2185"/>
      <c r="X2185"/>
    </row>
    <row r="2186" spans="5:24" x14ac:dyDescent="0.3">
      <c r="E2186" s="173"/>
      <c r="F2186" s="173"/>
      <c r="I2186"/>
      <c r="J2186"/>
      <c r="K2186"/>
      <c r="L2186"/>
      <c r="M2186"/>
      <c r="N2186"/>
      <c r="O2186"/>
      <c r="P2186" s="225"/>
      <c r="Q2186" s="225"/>
      <c r="R2186"/>
      <c r="S2186"/>
      <c r="T2186"/>
      <c r="U2186"/>
      <c r="V2186"/>
      <c r="W2186"/>
      <c r="X2186"/>
    </row>
    <row r="2187" spans="5:24" x14ac:dyDescent="0.3">
      <c r="E2187" s="173"/>
      <c r="F2187" s="173"/>
      <c r="I2187"/>
      <c r="J2187"/>
      <c r="K2187"/>
      <c r="L2187"/>
      <c r="M2187"/>
      <c r="N2187"/>
      <c r="O2187"/>
      <c r="P2187" s="225"/>
      <c r="Q2187" s="225"/>
      <c r="R2187"/>
      <c r="S2187"/>
      <c r="T2187"/>
      <c r="U2187"/>
      <c r="V2187"/>
      <c r="W2187"/>
      <c r="X2187"/>
    </row>
    <row r="2188" spans="5:24" x14ac:dyDescent="0.3">
      <c r="E2188" s="173"/>
      <c r="F2188" s="173"/>
      <c r="I2188"/>
      <c r="J2188"/>
      <c r="K2188"/>
      <c r="L2188"/>
      <c r="M2188"/>
      <c r="N2188"/>
      <c r="O2188"/>
      <c r="P2188" s="225"/>
      <c r="Q2188" s="225"/>
      <c r="R2188"/>
      <c r="S2188"/>
      <c r="T2188"/>
      <c r="U2188"/>
      <c r="V2188"/>
      <c r="W2188"/>
      <c r="X2188"/>
    </row>
    <row r="2189" spans="5:24" x14ac:dyDescent="0.3">
      <c r="E2189" s="173"/>
      <c r="F2189" s="173"/>
      <c r="I2189"/>
      <c r="J2189"/>
      <c r="K2189"/>
      <c r="L2189"/>
      <c r="M2189"/>
      <c r="N2189"/>
      <c r="O2189"/>
      <c r="P2189" s="225"/>
      <c r="Q2189" s="225"/>
      <c r="R2189"/>
      <c r="S2189"/>
      <c r="T2189"/>
      <c r="U2189"/>
      <c r="V2189"/>
      <c r="W2189"/>
      <c r="X2189"/>
    </row>
    <row r="2190" spans="5:24" x14ac:dyDescent="0.3">
      <c r="E2190" s="173"/>
      <c r="F2190" s="173"/>
      <c r="I2190"/>
      <c r="J2190"/>
      <c r="K2190"/>
      <c r="L2190"/>
      <c r="M2190"/>
      <c r="N2190"/>
      <c r="O2190"/>
      <c r="P2190" s="225"/>
      <c r="Q2190" s="225"/>
      <c r="R2190"/>
      <c r="S2190"/>
      <c r="T2190"/>
      <c r="U2190"/>
      <c r="V2190"/>
      <c r="W2190"/>
      <c r="X2190"/>
    </row>
    <row r="2191" spans="5:24" x14ac:dyDescent="0.3">
      <c r="E2191" s="173"/>
      <c r="F2191" s="173"/>
      <c r="I2191"/>
      <c r="J2191"/>
      <c r="K2191"/>
      <c r="L2191"/>
      <c r="M2191"/>
      <c r="N2191"/>
      <c r="O2191"/>
      <c r="P2191" s="225"/>
      <c r="Q2191" s="225"/>
      <c r="R2191"/>
      <c r="S2191"/>
      <c r="T2191"/>
      <c r="U2191"/>
      <c r="V2191"/>
      <c r="W2191"/>
      <c r="X2191"/>
    </row>
    <row r="2192" spans="5:24" x14ac:dyDescent="0.3">
      <c r="E2192" s="173"/>
      <c r="F2192" s="173"/>
      <c r="I2192"/>
      <c r="J2192"/>
      <c r="K2192"/>
      <c r="L2192"/>
      <c r="M2192"/>
      <c r="N2192"/>
      <c r="O2192"/>
      <c r="P2192" s="225"/>
      <c r="Q2192" s="225"/>
      <c r="R2192"/>
      <c r="S2192"/>
      <c r="T2192"/>
      <c r="U2192"/>
      <c r="V2192"/>
      <c r="W2192"/>
      <c r="X2192"/>
    </row>
    <row r="2193" spans="5:24" x14ac:dyDescent="0.3">
      <c r="E2193" s="173"/>
      <c r="F2193" s="173"/>
      <c r="I2193"/>
      <c r="J2193"/>
      <c r="K2193"/>
      <c r="L2193"/>
      <c r="M2193"/>
      <c r="N2193"/>
      <c r="O2193"/>
      <c r="P2193" s="225"/>
      <c r="Q2193" s="225"/>
      <c r="R2193"/>
      <c r="S2193"/>
      <c r="T2193"/>
      <c r="U2193"/>
      <c r="V2193"/>
      <c r="W2193"/>
      <c r="X2193"/>
    </row>
    <row r="2194" spans="5:24" x14ac:dyDescent="0.3">
      <c r="E2194" s="173"/>
      <c r="F2194" s="173"/>
      <c r="I2194"/>
      <c r="J2194"/>
      <c r="K2194"/>
      <c r="L2194"/>
      <c r="M2194"/>
      <c r="N2194"/>
      <c r="O2194"/>
      <c r="P2194" s="225"/>
      <c r="Q2194" s="225"/>
      <c r="R2194"/>
      <c r="S2194"/>
      <c r="T2194"/>
      <c r="U2194"/>
      <c r="V2194"/>
      <c r="W2194"/>
      <c r="X2194"/>
    </row>
    <row r="2195" spans="5:24" x14ac:dyDescent="0.3">
      <c r="E2195" s="173"/>
      <c r="F2195" s="173"/>
      <c r="I2195"/>
      <c r="J2195"/>
      <c r="K2195"/>
      <c r="L2195"/>
      <c r="M2195"/>
      <c r="N2195"/>
      <c r="O2195"/>
      <c r="P2195" s="225"/>
      <c r="Q2195" s="225"/>
      <c r="R2195"/>
      <c r="S2195"/>
      <c r="T2195"/>
      <c r="U2195"/>
      <c r="V2195"/>
      <c r="W2195"/>
      <c r="X2195"/>
    </row>
    <row r="2196" spans="5:24" x14ac:dyDescent="0.3">
      <c r="E2196" s="173"/>
      <c r="F2196" s="173"/>
      <c r="I2196"/>
      <c r="J2196"/>
      <c r="K2196"/>
      <c r="L2196"/>
      <c r="M2196"/>
      <c r="N2196"/>
      <c r="O2196"/>
      <c r="P2196" s="225"/>
      <c r="Q2196" s="225"/>
      <c r="R2196"/>
      <c r="S2196"/>
      <c r="T2196"/>
      <c r="U2196"/>
      <c r="V2196"/>
      <c r="W2196"/>
      <c r="X2196"/>
    </row>
    <row r="2197" spans="5:24" x14ac:dyDescent="0.3">
      <c r="E2197" s="173"/>
      <c r="F2197" s="173"/>
      <c r="I2197"/>
      <c r="J2197"/>
      <c r="K2197"/>
      <c r="L2197"/>
      <c r="M2197"/>
      <c r="N2197"/>
      <c r="O2197"/>
      <c r="P2197" s="225"/>
      <c r="Q2197" s="225"/>
      <c r="R2197"/>
      <c r="S2197"/>
      <c r="T2197"/>
      <c r="U2197"/>
      <c r="V2197"/>
      <c r="W2197"/>
      <c r="X2197"/>
    </row>
    <row r="2198" spans="5:24" x14ac:dyDescent="0.3">
      <c r="E2198" s="173"/>
      <c r="F2198" s="173"/>
      <c r="I2198"/>
      <c r="J2198"/>
      <c r="K2198"/>
      <c r="L2198"/>
      <c r="M2198"/>
      <c r="N2198"/>
      <c r="O2198"/>
      <c r="P2198" s="225"/>
      <c r="Q2198" s="225"/>
      <c r="R2198"/>
      <c r="S2198"/>
      <c r="T2198"/>
      <c r="U2198"/>
      <c r="V2198"/>
      <c r="W2198"/>
      <c r="X2198"/>
    </row>
    <row r="2199" spans="5:24" x14ac:dyDescent="0.3">
      <c r="E2199" s="173"/>
      <c r="F2199" s="173"/>
      <c r="I2199"/>
      <c r="J2199"/>
      <c r="K2199"/>
      <c r="L2199"/>
      <c r="M2199"/>
      <c r="N2199"/>
      <c r="O2199"/>
      <c r="P2199" s="225"/>
      <c r="Q2199" s="225"/>
      <c r="R2199"/>
      <c r="S2199"/>
      <c r="T2199"/>
      <c r="U2199"/>
      <c r="V2199"/>
      <c r="W2199"/>
      <c r="X2199"/>
    </row>
    <row r="2200" spans="5:24" x14ac:dyDescent="0.3">
      <c r="E2200" s="173"/>
      <c r="F2200" s="173"/>
      <c r="I2200"/>
      <c r="J2200"/>
      <c r="K2200"/>
      <c r="L2200"/>
      <c r="M2200"/>
      <c r="N2200"/>
      <c r="O2200"/>
      <c r="P2200" s="225"/>
      <c r="Q2200" s="225"/>
      <c r="R2200"/>
      <c r="S2200"/>
      <c r="T2200"/>
      <c r="U2200"/>
      <c r="V2200"/>
      <c r="W2200"/>
      <c r="X2200"/>
    </row>
    <row r="2201" spans="5:24" x14ac:dyDescent="0.3">
      <c r="E2201" s="173"/>
      <c r="F2201" s="173"/>
      <c r="I2201"/>
      <c r="J2201"/>
      <c r="K2201"/>
      <c r="L2201"/>
      <c r="M2201"/>
      <c r="N2201"/>
      <c r="O2201"/>
      <c r="P2201" s="225"/>
      <c r="Q2201" s="225"/>
      <c r="R2201"/>
      <c r="S2201"/>
      <c r="T2201"/>
      <c r="U2201"/>
      <c r="V2201"/>
      <c r="W2201"/>
      <c r="X2201"/>
    </row>
    <row r="2202" spans="5:24" x14ac:dyDescent="0.3">
      <c r="E2202" s="173"/>
      <c r="F2202" s="173"/>
      <c r="I2202"/>
      <c r="J2202"/>
      <c r="K2202"/>
      <c r="L2202"/>
      <c r="M2202"/>
      <c r="N2202"/>
      <c r="O2202"/>
      <c r="P2202" s="225"/>
      <c r="Q2202" s="225"/>
      <c r="R2202"/>
      <c r="S2202"/>
      <c r="T2202"/>
      <c r="U2202"/>
      <c r="V2202"/>
      <c r="W2202"/>
      <c r="X2202"/>
    </row>
    <row r="2203" spans="5:24" x14ac:dyDescent="0.3">
      <c r="E2203" s="173"/>
      <c r="F2203" s="173"/>
      <c r="I2203"/>
      <c r="J2203"/>
      <c r="K2203"/>
      <c r="L2203"/>
      <c r="M2203"/>
      <c r="N2203"/>
      <c r="O2203"/>
      <c r="P2203" s="225"/>
      <c r="Q2203" s="225"/>
      <c r="R2203"/>
      <c r="S2203"/>
      <c r="T2203"/>
      <c r="U2203"/>
      <c r="V2203"/>
      <c r="W2203"/>
      <c r="X2203"/>
    </row>
    <row r="2204" spans="5:24" x14ac:dyDescent="0.3">
      <c r="E2204" s="173"/>
      <c r="F2204" s="173"/>
      <c r="I2204"/>
      <c r="J2204"/>
      <c r="K2204"/>
      <c r="L2204"/>
      <c r="M2204"/>
      <c r="N2204"/>
      <c r="O2204"/>
      <c r="P2204" s="225"/>
      <c r="Q2204" s="225"/>
      <c r="R2204"/>
      <c r="S2204"/>
      <c r="T2204"/>
      <c r="U2204"/>
      <c r="V2204"/>
      <c r="W2204"/>
      <c r="X2204"/>
    </row>
    <row r="2205" spans="5:24" x14ac:dyDescent="0.3">
      <c r="E2205" s="173"/>
      <c r="F2205" s="173"/>
      <c r="I2205"/>
      <c r="J2205"/>
      <c r="K2205"/>
      <c r="L2205"/>
      <c r="M2205"/>
      <c r="N2205"/>
      <c r="O2205"/>
      <c r="P2205" s="225"/>
      <c r="Q2205" s="225"/>
      <c r="R2205"/>
      <c r="S2205"/>
      <c r="T2205"/>
      <c r="U2205"/>
      <c r="V2205"/>
      <c r="W2205"/>
      <c r="X2205"/>
    </row>
    <row r="2206" spans="5:24" x14ac:dyDescent="0.3">
      <c r="E2206" s="173"/>
      <c r="F2206" s="173"/>
      <c r="I2206"/>
      <c r="J2206"/>
      <c r="K2206"/>
      <c r="L2206"/>
      <c r="M2206"/>
      <c r="N2206"/>
      <c r="O2206"/>
      <c r="P2206" s="225"/>
      <c r="Q2206" s="225"/>
      <c r="R2206"/>
      <c r="S2206"/>
      <c r="T2206"/>
      <c r="U2206"/>
      <c r="V2206"/>
      <c r="W2206"/>
      <c r="X2206"/>
    </row>
    <row r="2207" spans="5:24" x14ac:dyDescent="0.3">
      <c r="E2207" s="173"/>
      <c r="F2207" s="173"/>
      <c r="I2207"/>
      <c r="J2207"/>
      <c r="K2207"/>
      <c r="L2207"/>
      <c r="M2207"/>
      <c r="N2207"/>
      <c r="O2207"/>
      <c r="P2207" s="225"/>
      <c r="Q2207" s="225"/>
      <c r="R2207"/>
      <c r="S2207"/>
      <c r="T2207"/>
      <c r="U2207"/>
      <c r="V2207"/>
      <c r="W2207"/>
      <c r="X2207"/>
    </row>
    <row r="2208" spans="5:24" x14ac:dyDescent="0.3">
      <c r="E2208" s="173"/>
      <c r="F2208" s="173"/>
      <c r="I2208"/>
      <c r="J2208"/>
      <c r="K2208"/>
      <c r="L2208"/>
      <c r="M2208"/>
      <c r="N2208"/>
      <c r="O2208"/>
      <c r="P2208" s="225"/>
      <c r="Q2208" s="225"/>
      <c r="R2208"/>
      <c r="S2208"/>
      <c r="T2208"/>
      <c r="U2208"/>
      <c r="V2208"/>
      <c r="W2208"/>
      <c r="X2208"/>
    </row>
    <row r="2209" spans="5:24" x14ac:dyDescent="0.3">
      <c r="E2209" s="173"/>
      <c r="F2209" s="173"/>
      <c r="I2209"/>
      <c r="J2209"/>
      <c r="K2209"/>
      <c r="L2209"/>
      <c r="M2209"/>
      <c r="N2209"/>
      <c r="O2209"/>
      <c r="P2209" s="225"/>
      <c r="Q2209" s="225"/>
      <c r="R2209"/>
      <c r="S2209"/>
      <c r="T2209"/>
      <c r="U2209"/>
      <c r="V2209"/>
      <c r="W2209"/>
      <c r="X2209"/>
    </row>
    <row r="2210" spans="5:24" x14ac:dyDescent="0.3">
      <c r="E2210" s="173"/>
      <c r="F2210" s="173"/>
      <c r="I2210"/>
      <c r="J2210"/>
      <c r="K2210"/>
      <c r="L2210"/>
      <c r="M2210"/>
      <c r="N2210"/>
      <c r="O2210"/>
      <c r="P2210" s="225"/>
      <c r="Q2210" s="225"/>
      <c r="R2210"/>
      <c r="S2210"/>
      <c r="T2210"/>
      <c r="U2210"/>
      <c r="V2210"/>
      <c r="W2210"/>
      <c r="X2210"/>
    </row>
    <row r="2211" spans="5:24" x14ac:dyDescent="0.3">
      <c r="E2211" s="173"/>
      <c r="F2211" s="173"/>
      <c r="I2211"/>
      <c r="J2211"/>
      <c r="K2211"/>
      <c r="L2211"/>
      <c r="M2211"/>
      <c r="N2211"/>
      <c r="O2211"/>
      <c r="P2211" s="225"/>
      <c r="Q2211" s="225"/>
      <c r="R2211"/>
      <c r="S2211"/>
      <c r="T2211"/>
      <c r="U2211"/>
      <c r="V2211"/>
      <c r="W2211"/>
      <c r="X2211"/>
    </row>
    <row r="2212" spans="5:24" x14ac:dyDescent="0.3">
      <c r="E2212" s="173"/>
      <c r="F2212" s="173"/>
      <c r="I2212"/>
      <c r="J2212"/>
      <c r="K2212"/>
      <c r="L2212"/>
      <c r="M2212"/>
      <c r="N2212"/>
      <c r="O2212"/>
      <c r="P2212" s="225"/>
      <c r="Q2212" s="225"/>
      <c r="R2212"/>
      <c r="S2212"/>
      <c r="T2212"/>
      <c r="U2212"/>
      <c r="V2212"/>
      <c r="W2212"/>
      <c r="X2212"/>
    </row>
    <row r="2213" spans="5:24" x14ac:dyDescent="0.3">
      <c r="E2213" s="173"/>
      <c r="F2213" s="173"/>
      <c r="I2213"/>
      <c r="J2213"/>
      <c r="K2213"/>
      <c r="L2213"/>
      <c r="M2213"/>
      <c r="N2213"/>
      <c r="O2213"/>
      <c r="P2213" s="225"/>
      <c r="Q2213" s="225"/>
      <c r="R2213"/>
      <c r="S2213"/>
      <c r="T2213"/>
      <c r="U2213"/>
      <c r="V2213"/>
      <c r="W2213"/>
      <c r="X2213"/>
    </row>
    <row r="2214" spans="5:24" x14ac:dyDescent="0.3">
      <c r="E2214" s="173"/>
      <c r="F2214" s="173"/>
      <c r="I2214"/>
      <c r="J2214"/>
      <c r="K2214"/>
      <c r="L2214"/>
      <c r="M2214"/>
      <c r="N2214"/>
      <c r="O2214"/>
      <c r="P2214" s="225"/>
      <c r="Q2214" s="225"/>
      <c r="R2214"/>
      <c r="S2214"/>
      <c r="T2214"/>
      <c r="U2214"/>
      <c r="V2214"/>
      <c r="W2214"/>
      <c r="X2214"/>
    </row>
    <row r="2215" spans="5:24" x14ac:dyDescent="0.3">
      <c r="E2215" s="173"/>
      <c r="F2215" s="173"/>
      <c r="I2215"/>
      <c r="J2215"/>
      <c r="K2215"/>
      <c r="L2215"/>
      <c r="M2215"/>
      <c r="N2215"/>
      <c r="O2215"/>
      <c r="P2215" s="225"/>
      <c r="Q2215" s="225"/>
      <c r="R2215"/>
      <c r="S2215"/>
      <c r="T2215"/>
      <c r="U2215"/>
      <c r="V2215"/>
      <c r="W2215"/>
      <c r="X2215"/>
    </row>
    <row r="2216" spans="5:24" x14ac:dyDescent="0.3">
      <c r="E2216" s="173"/>
      <c r="F2216" s="173"/>
      <c r="I2216"/>
      <c r="J2216"/>
      <c r="K2216"/>
      <c r="L2216"/>
      <c r="M2216"/>
      <c r="N2216"/>
      <c r="O2216"/>
      <c r="P2216" s="225"/>
      <c r="Q2216" s="225"/>
      <c r="R2216"/>
      <c r="S2216"/>
      <c r="T2216"/>
      <c r="U2216"/>
      <c r="V2216"/>
      <c r="W2216"/>
      <c r="X2216"/>
    </row>
    <row r="2217" spans="5:24" x14ac:dyDescent="0.3">
      <c r="E2217" s="173"/>
      <c r="F2217" s="173"/>
      <c r="I2217"/>
      <c r="J2217"/>
      <c r="K2217"/>
      <c r="L2217"/>
      <c r="M2217"/>
      <c r="N2217"/>
      <c r="O2217"/>
      <c r="P2217" s="225"/>
      <c r="Q2217" s="225"/>
      <c r="R2217"/>
      <c r="S2217"/>
      <c r="T2217"/>
      <c r="U2217"/>
      <c r="V2217"/>
      <c r="W2217"/>
      <c r="X2217"/>
    </row>
    <row r="2218" spans="5:24" x14ac:dyDescent="0.3">
      <c r="E2218" s="173"/>
      <c r="F2218" s="173"/>
      <c r="I2218"/>
      <c r="J2218"/>
      <c r="K2218"/>
      <c r="L2218"/>
      <c r="M2218"/>
      <c r="N2218"/>
      <c r="O2218"/>
      <c r="P2218" s="225"/>
      <c r="Q2218" s="225"/>
      <c r="R2218"/>
      <c r="S2218"/>
      <c r="T2218"/>
      <c r="U2218"/>
      <c r="V2218"/>
      <c r="W2218"/>
      <c r="X2218"/>
    </row>
    <row r="2219" spans="5:24" x14ac:dyDescent="0.3">
      <c r="E2219" s="173"/>
      <c r="F2219" s="173"/>
      <c r="I2219"/>
      <c r="J2219"/>
      <c r="K2219"/>
      <c r="L2219"/>
      <c r="M2219"/>
      <c r="N2219"/>
      <c r="O2219"/>
      <c r="P2219" s="225"/>
      <c r="Q2219" s="225"/>
      <c r="R2219"/>
      <c r="S2219"/>
      <c r="T2219"/>
      <c r="U2219"/>
      <c r="V2219"/>
      <c r="W2219"/>
      <c r="X2219"/>
    </row>
    <row r="2220" spans="5:24" x14ac:dyDescent="0.3">
      <c r="E2220" s="173"/>
      <c r="F2220" s="173"/>
      <c r="I2220"/>
      <c r="J2220"/>
      <c r="K2220"/>
      <c r="L2220"/>
      <c r="M2220"/>
      <c r="N2220"/>
      <c r="O2220"/>
      <c r="P2220" s="225"/>
      <c r="Q2220" s="225"/>
      <c r="R2220"/>
      <c r="S2220"/>
      <c r="T2220"/>
      <c r="U2220"/>
      <c r="V2220"/>
      <c r="W2220"/>
      <c r="X2220"/>
    </row>
    <row r="2221" spans="5:24" x14ac:dyDescent="0.3">
      <c r="E2221" s="173"/>
      <c r="F2221" s="173"/>
      <c r="I2221"/>
      <c r="J2221"/>
      <c r="K2221"/>
      <c r="L2221"/>
      <c r="M2221"/>
      <c r="N2221"/>
      <c r="O2221"/>
      <c r="P2221" s="225"/>
      <c r="Q2221" s="225"/>
      <c r="R2221"/>
      <c r="S2221"/>
      <c r="T2221"/>
      <c r="U2221"/>
      <c r="V2221"/>
      <c r="W2221"/>
      <c r="X2221"/>
    </row>
    <row r="2222" spans="5:24" x14ac:dyDescent="0.3">
      <c r="E2222" s="173"/>
      <c r="F2222" s="173"/>
      <c r="I2222"/>
      <c r="J2222"/>
      <c r="K2222"/>
      <c r="L2222"/>
      <c r="M2222"/>
      <c r="N2222"/>
      <c r="O2222"/>
      <c r="P2222" s="225"/>
      <c r="Q2222" s="225"/>
      <c r="R2222"/>
      <c r="S2222"/>
      <c r="T2222"/>
      <c r="U2222"/>
      <c r="V2222"/>
      <c r="W2222"/>
      <c r="X2222"/>
    </row>
    <row r="2223" spans="5:24" x14ac:dyDescent="0.3">
      <c r="E2223" s="173"/>
      <c r="F2223" s="173"/>
      <c r="I2223"/>
      <c r="J2223"/>
      <c r="K2223"/>
      <c r="L2223"/>
      <c r="M2223"/>
      <c r="N2223"/>
      <c r="O2223"/>
      <c r="P2223" s="225"/>
      <c r="Q2223" s="225"/>
      <c r="R2223"/>
      <c r="S2223"/>
      <c r="T2223"/>
      <c r="U2223"/>
      <c r="V2223"/>
      <c r="W2223"/>
      <c r="X2223"/>
    </row>
    <row r="2224" spans="5:24" x14ac:dyDescent="0.3">
      <c r="E2224" s="173"/>
      <c r="F2224" s="173"/>
      <c r="I2224"/>
      <c r="J2224"/>
      <c r="K2224"/>
      <c r="L2224"/>
      <c r="M2224"/>
      <c r="N2224"/>
      <c r="O2224"/>
      <c r="P2224" s="225"/>
      <c r="Q2224" s="225"/>
      <c r="R2224"/>
      <c r="S2224"/>
      <c r="T2224"/>
      <c r="U2224"/>
      <c r="V2224"/>
      <c r="W2224"/>
      <c r="X2224"/>
    </row>
    <row r="2225" spans="5:24" x14ac:dyDescent="0.3">
      <c r="E2225" s="173"/>
      <c r="F2225" s="173"/>
      <c r="I2225"/>
      <c r="J2225"/>
      <c r="K2225"/>
      <c r="L2225"/>
      <c r="M2225"/>
      <c r="N2225"/>
      <c r="O2225"/>
      <c r="P2225" s="225"/>
      <c r="Q2225" s="225"/>
      <c r="R2225"/>
      <c r="S2225"/>
      <c r="T2225"/>
      <c r="U2225"/>
      <c r="V2225"/>
      <c r="W2225"/>
      <c r="X2225"/>
    </row>
    <row r="2226" spans="5:24" x14ac:dyDescent="0.3">
      <c r="E2226" s="173"/>
      <c r="F2226" s="173"/>
      <c r="I2226"/>
      <c r="J2226"/>
      <c r="K2226"/>
      <c r="L2226"/>
      <c r="M2226"/>
      <c r="N2226"/>
      <c r="O2226"/>
      <c r="P2226" s="225"/>
      <c r="Q2226" s="225"/>
      <c r="R2226"/>
      <c r="S2226"/>
      <c r="T2226"/>
      <c r="U2226"/>
      <c r="V2226"/>
      <c r="W2226"/>
      <c r="X2226"/>
    </row>
    <row r="2227" spans="5:24" x14ac:dyDescent="0.3">
      <c r="E2227" s="173"/>
      <c r="F2227" s="173"/>
      <c r="I2227"/>
      <c r="J2227"/>
      <c r="K2227"/>
      <c r="L2227"/>
      <c r="M2227"/>
      <c r="N2227"/>
      <c r="O2227"/>
      <c r="P2227" s="225"/>
      <c r="Q2227" s="225"/>
      <c r="R2227"/>
      <c r="S2227"/>
      <c r="T2227"/>
      <c r="U2227"/>
      <c r="V2227"/>
      <c r="W2227"/>
      <c r="X2227"/>
    </row>
    <row r="2228" spans="5:24" x14ac:dyDescent="0.3">
      <c r="E2228" s="173"/>
      <c r="F2228" s="173"/>
      <c r="I2228"/>
      <c r="J2228"/>
      <c r="K2228"/>
      <c r="L2228"/>
      <c r="M2228"/>
      <c r="N2228"/>
      <c r="O2228"/>
      <c r="P2228" s="225"/>
      <c r="Q2228" s="225"/>
      <c r="R2228"/>
      <c r="S2228"/>
      <c r="T2228"/>
      <c r="U2228"/>
      <c r="V2228"/>
      <c r="W2228"/>
      <c r="X2228"/>
    </row>
    <row r="2229" spans="5:24" x14ac:dyDescent="0.3">
      <c r="E2229" s="173"/>
      <c r="F2229" s="173"/>
      <c r="I2229"/>
      <c r="J2229"/>
      <c r="K2229"/>
      <c r="L2229"/>
      <c r="M2229"/>
      <c r="N2229"/>
      <c r="O2229"/>
      <c r="P2229" s="225"/>
      <c r="Q2229" s="225"/>
      <c r="R2229"/>
      <c r="S2229"/>
      <c r="T2229"/>
      <c r="U2229"/>
      <c r="V2229"/>
      <c r="W2229"/>
      <c r="X2229"/>
    </row>
    <row r="2230" spans="5:24" x14ac:dyDescent="0.3">
      <c r="E2230" s="173"/>
      <c r="F2230" s="173"/>
      <c r="I2230"/>
      <c r="J2230"/>
      <c r="K2230"/>
      <c r="L2230"/>
      <c r="M2230"/>
      <c r="N2230"/>
      <c r="O2230"/>
      <c r="P2230" s="225"/>
      <c r="Q2230" s="225"/>
      <c r="R2230"/>
      <c r="S2230"/>
      <c r="T2230"/>
      <c r="U2230"/>
      <c r="V2230"/>
      <c r="W2230"/>
      <c r="X2230"/>
    </row>
    <row r="2231" spans="5:24" x14ac:dyDescent="0.3">
      <c r="E2231" s="173"/>
      <c r="F2231" s="173"/>
      <c r="I2231"/>
      <c r="J2231"/>
      <c r="K2231"/>
      <c r="L2231"/>
      <c r="M2231"/>
      <c r="N2231"/>
      <c r="O2231"/>
      <c r="P2231" s="225"/>
      <c r="Q2231" s="225"/>
      <c r="R2231"/>
      <c r="S2231"/>
      <c r="T2231"/>
      <c r="U2231"/>
      <c r="V2231"/>
      <c r="W2231"/>
      <c r="X2231"/>
    </row>
    <row r="2232" spans="5:24" x14ac:dyDescent="0.3">
      <c r="E2232" s="173"/>
      <c r="F2232" s="173"/>
      <c r="I2232"/>
      <c r="J2232"/>
      <c r="K2232"/>
      <c r="L2232"/>
      <c r="M2232"/>
      <c r="N2232"/>
      <c r="O2232"/>
      <c r="P2232" s="225"/>
      <c r="Q2232" s="225"/>
      <c r="R2232"/>
      <c r="S2232"/>
      <c r="T2232"/>
      <c r="U2232"/>
      <c r="V2232"/>
      <c r="W2232"/>
      <c r="X2232"/>
    </row>
    <row r="2233" spans="5:24" x14ac:dyDescent="0.3">
      <c r="E2233" s="173"/>
      <c r="F2233" s="173"/>
      <c r="I2233"/>
      <c r="J2233"/>
      <c r="K2233"/>
      <c r="L2233"/>
      <c r="M2233"/>
      <c r="N2233"/>
      <c r="O2233"/>
      <c r="P2233" s="225"/>
      <c r="Q2233" s="225"/>
      <c r="R2233"/>
      <c r="S2233"/>
      <c r="T2233"/>
      <c r="U2233"/>
      <c r="V2233"/>
      <c r="W2233"/>
      <c r="X2233"/>
    </row>
    <row r="2234" spans="5:24" x14ac:dyDescent="0.3">
      <c r="E2234" s="173"/>
      <c r="F2234" s="173"/>
      <c r="I2234"/>
      <c r="J2234"/>
      <c r="K2234"/>
      <c r="L2234"/>
      <c r="M2234"/>
      <c r="N2234"/>
      <c r="O2234"/>
      <c r="P2234" s="225"/>
      <c r="Q2234" s="225"/>
      <c r="R2234"/>
      <c r="S2234"/>
      <c r="T2234"/>
      <c r="U2234"/>
      <c r="V2234"/>
      <c r="W2234"/>
      <c r="X2234"/>
    </row>
    <row r="2235" spans="5:24" x14ac:dyDescent="0.3">
      <c r="E2235" s="173"/>
      <c r="F2235" s="173"/>
      <c r="I2235"/>
      <c r="J2235"/>
      <c r="K2235"/>
      <c r="L2235"/>
      <c r="M2235"/>
      <c r="N2235"/>
      <c r="O2235"/>
      <c r="P2235" s="225"/>
      <c r="Q2235" s="225"/>
      <c r="R2235"/>
      <c r="S2235"/>
      <c r="T2235"/>
      <c r="U2235"/>
      <c r="V2235"/>
      <c r="W2235"/>
      <c r="X2235"/>
    </row>
    <row r="2236" spans="5:24" x14ac:dyDescent="0.3">
      <c r="E2236" s="173"/>
      <c r="F2236" s="173"/>
      <c r="I2236"/>
      <c r="J2236"/>
      <c r="K2236"/>
      <c r="L2236"/>
      <c r="M2236"/>
      <c r="N2236"/>
      <c r="O2236"/>
      <c r="P2236" s="225"/>
      <c r="Q2236" s="225"/>
      <c r="R2236"/>
      <c r="S2236"/>
      <c r="T2236"/>
      <c r="U2236"/>
      <c r="V2236"/>
      <c r="W2236"/>
      <c r="X2236"/>
    </row>
    <row r="2237" spans="5:24" x14ac:dyDescent="0.3">
      <c r="E2237" s="173"/>
      <c r="F2237" s="173"/>
      <c r="I2237"/>
      <c r="J2237"/>
      <c r="K2237"/>
      <c r="L2237"/>
      <c r="M2237"/>
      <c r="N2237"/>
      <c r="O2237"/>
      <c r="P2237" s="225"/>
      <c r="Q2237" s="225"/>
      <c r="R2237"/>
      <c r="S2237"/>
      <c r="T2237"/>
      <c r="U2237"/>
      <c r="V2237"/>
      <c r="W2237"/>
      <c r="X2237"/>
    </row>
    <row r="2238" spans="5:24" x14ac:dyDescent="0.3">
      <c r="E2238" s="173"/>
      <c r="F2238" s="173"/>
      <c r="I2238"/>
      <c r="J2238"/>
      <c r="K2238"/>
      <c r="L2238"/>
      <c r="M2238"/>
      <c r="N2238"/>
      <c r="O2238"/>
      <c r="P2238" s="225"/>
      <c r="Q2238" s="225"/>
      <c r="R2238"/>
      <c r="S2238"/>
      <c r="T2238"/>
      <c r="U2238"/>
      <c r="V2238"/>
      <c r="W2238"/>
      <c r="X2238"/>
    </row>
    <row r="2239" spans="5:24" x14ac:dyDescent="0.3">
      <c r="E2239" s="173"/>
      <c r="F2239" s="173"/>
      <c r="I2239"/>
      <c r="J2239"/>
      <c r="K2239"/>
      <c r="L2239"/>
      <c r="M2239"/>
      <c r="N2239"/>
      <c r="O2239"/>
      <c r="P2239" s="225"/>
      <c r="Q2239" s="225"/>
      <c r="R2239"/>
      <c r="S2239"/>
      <c r="T2239"/>
      <c r="U2239"/>
      <c r="V2239"/>
      <c r="W2239"/>
      <c r="X2239"/>
    </row>
    <row r="2240" spans="5:24" x14ac:dyDescent="0.3">
      <c r="E2240" s="173"/>
      <c r="F2240" s="173"/>
      <c r="I2240"/>
      <c r="J2240"/>
      <c r="K2240"/>
      <c r="L2240"/>
      <c r="M2240"/>
      <c r="N2240"/>
      <c r="O2240"/>
      <c r="P2240" s="225"/>
      <c r="Q2240" s="225"/>
      <c r="R2240"/>
      <c r="S2240"/>
      <c r="T2240"/>
      <c r="U2240"/>
      <c r="V2240"/>
      <c r="W2240"/>
      <c r="X2240"/>
    </row>
    <row r="2241" spans="5:24" x14ac:dyDescent="0.3">
      <c r="E2241" s="173"/>
      <c r="F2241" s="173"/>
      <c r="I2241"/>
      <c r="J2241"/>
      <c r="K2241"/>
      <c r="L2241"/>
      <c r="M2241"/>
      <c r="N2241"/>
      <c r="O2241"/>
      <c r="P2241" s="225"/>
      <c r="Q2241" s="225"/>
      <c r="R2241"/>
      <c r="S2241"/>
      <c r="T2241"/>
      <c r="U2241"/>
      <c r="V2241"/>
      <c r="W2241"/>
      <c r="X2241"/>
    </row>
    <row r="2242" spans="5:24" x14ac:dyDescent="0.3">
      <c r="E2242" s="173"/>
      <c r="F2242" s="173"/>
      <c r="I2242"/>
      <c r="J2242"/>
      <c r="K2242"/>
      <c r="L2242"/>
      <c r="M2242"/>
      <c r="N2242"/>
      <c r="O2242"/>
      <c r="P2242" s="225"/>
      <c r="Q2242" s="225"/>
      <c r="R2242"/>
      <c r="S2242"/>
      <c r="T2242"/>
      <c r="U2242"/>
      <c r="V2242"/>
      <c r="W2242"/>
      <c r="X2242"/>
    </row>
    <row r="2243" spans="5:24" x14ac:dyDescent="0.3">
      <c r="E2243" s="173"/>
      <c r="F2243" s="173"/>
      <c r="I2243"/>
      <c r="J2243"/>
      <c r="K2243"/>
      <c r="L2243"/>
      <c r="M2243"/>
      <c r="N2243"/>
      <c r="O2243"/>
      <c r="P2243" s="225"/>
      <c r="Q2243" s="225"/>
      <c r="R2243"/>
      <c r="S2243"/>
      <c r="T2243"/>
      <c r="U2243"/>
      <c r="V2243"/>
      <c r="W2243"/>
      <c r="X2243"/>
    </row>
    <row r="2244" spans="5:24" x14ac:dyDescent="0.3">
      <c r="E2244" s="173"/>
      <c r="F2244" s="173"/>
      <c r="I2244"/>
      <c r="J2244"/>
      <c r="K2244"/>
      <c r="L2244"/>
      <c r="M2244"/>
      <c r="N2244"/>
      <c r="O2244"/>
      <c r="P2244" s="225"/>
      <c r="Q2244" s="225"/>
      <c r="R2244"/>
      <c r="S2244"/>
      <c r="T2244"/>
      <c r="U2244"/>
      <c r="V2244"/>
      <c r="W2244"/>
      <c r="X2244"/>
    </row>
    <row r="2245" spans="5:24" x14ac:dyDescent="0.3">
      <c r="E2245" s="173"/>
      <c r="F2245" s="173"/>
      <c r="I2245"/>
      <c r="J2245"/>
      <c r="K2245"/>
      <c r="L2245"/>
      <c r="M2245"/>
      <c r="N2245"/>
      <c r="O2245"/>
      <c r="P2245" s="225"/>
      <c r="Q2245" s="225"/>
      <c r="R2245"/>
      <c r="S2245"/>
      <c r="T2245"/>
      <c r="U2245"/>
      <c r="V2245"/>
      <c r="W2245"/>
      <c r="X2245"/>
    </row>
    <row r="2246" spans="5:24" x14ac:dyDescent="0.3">
      <c r="E2246" s="173"/>
      <c r="F2246" s="173"/>
      <c r="I2246"/>
      <c r="J2246"/>
      <c r="K2246"/>
      <c r="L2246"/>
      <c r="M2246"/>
      <c r="N2246"/>
      <c r="O2246"/>
      <c r="P2246" s="225"/>
      <c r="Q2246" s="225"/>
      <c r="R2246"/>
      <c r="S2246"/>
      <c r="T2246"/>
      <c r="U2246"/>
      <c r="V2246"/>
      <c r="W2246"/>
      <c r="X2246"/>
    </row>
    <row r="2247" spans="5:24" x14ac:dyDescent="0.3">
      <c r="E2247" s="173"/>
      <c r="F2247" s="173"/>
      <c r="I2247"/>
      <c r="J2247"/>
      <c r="K2247"/>
      <c r="L2247"/>
      <c r="M2247"/>
      <c r="N2247"/>
      <c r="O2247"/>
      <c r="P2247" s="225"/>
      <c r="Q2247" s="225"/>
      <c r="R2247"/>
      <c r="S2247"/>
      <c r="T2247"/>
      <c r="U2247"/>
      <c r="V2247"/>
      <c r="W2247"/>
      <c r="X2247"/>
    </row>
    <row r="2248" spans="5:24" x14ac:dyDescent="0.3">
      <c r="E2248" s="173"/>
      <c r="F2248" s="173"/>
      <c r="I2248"/>
      <c r="J2248"/>
      <c r="K2248"/>
      <c r="L2248"/>
      <c r="M2248"/>
      <c r="N2248"/>
      <c r="O2248"/>
      <c r="P2248" s="225"/>
      <c r="Q2248" s="225"/>
      <c r="R2248"/>
      <c r="S2248"/>
      <c r="T2248"/>
      <c r="U2248"/>
      <c r="V2248"/>
      <c r="W2248"/>
      <c r="X2248"/>
    </row>
    <row r="2249" spans="5:24" x14ac:dyDescent="0.3">
      <c r="E2249" s="173"/>
      <c r="F2249" s="173"/>
      <c r="I2249"/>
      <c r="J2249"/>
      <c r="K2249"/>
      <c r="L2249"/>
      <c r="M2249"/>
      <c r="N2249"/>
      <c r="O2249"/>
      <c r="P2249" s="225"/>
      <c r="Q2249" s="225"/>
      <c r="R2249"/>
      <c r="S2249"/>
      <c r="T2249"/>
      <c r="U2249"/>
      <c r="V2249"/>
      <c r="W2249"/>
      <c r="X2249"/>
    </row>
    <row r="2250" spans="5:24" x14ac:dyDescent="0.3">
      <c r="E2250" s="173"/>
      <c r="F2250" s="173"/>
      <c r="I2250"/>
      <c r="J2250"/>
      <c r="K2250"/>
      <c r="L2250"/>
      <c r="M2250"/>
      <c r="N2250"/>
      <c r="O2250"/>
      <c r="P2250" s="225"/>
      <c r="Q2250" s="225"/>
      <c r="R2250"/>
      <c r="S2250"/>
      <c r="T2250"/>
      <c r="U2250"/>
      <c r="V2250"/>
      <c r="W2250"/>
      <c r="X2250"/>
    </row>
    <row r="2251" spans="5:24" x14ac:dyDescent="0.3">
      <c r="E2251" s="173"/>
      <c r="F2251" s="173"/>
      <c r="I2251"/>
      <c r="J2251"/>
      <c r="K2251"/>
      <c r="L2251"/>
      <c r="M2251"/>
      <c r="N2251"/>
      <c r="O2251"/>
      <c r="P2251" s="225"/>
      <c r="Q2251" s="225"/>
      <c r="R2251"/>
      <c r="S2251"/>
      <c r="T2251"/>
      <c r="U2251"/>
      <c r="V2251"/>
      <c r="W2251"/>
      <c r="X2251"/>
    </row>
    <row r="2252" spans="5:24" x14ac:dyDescent="0.3">
      <c r="E2252" s="173"/>
      <c r="F2252" s="173"/>
      <c r="I2252"/>
      <c r="J2252"/>
      <c r="K2252"/>
      <c r="L2252"/>
      <c r="M2252"/>
      <c r="N2252"/>
      <c r="O2252"/>
      <c r="P2252" s="225"/>
      <c r="Q2252" s="225"/>
      <c r="R2252"/>
      <c r="S2252"/>
      <c r="T2252"/>
      <c r="U2252"/>
      <c r="V2252"/>
      <c r="W2252"/>
      <c r="X2252"/>
    </row>
    <row r="2253" spans="5:24" x14ac:dyDescent="0.3">
      <c r="E2253" s="173"/>
      <c r="F2253" s="173"/>
      <c r="I2253"/>
      <c r="J2253"/>
      <c r="K2253"/>
      <c r="L2253"/>
      <c r="M2253"/>
      <c r="N2253"/>
      <c r="O2253"/>
      <c r="P2253" s="225"/>
      <c r="Q2253" s="225"/>
      <c r="R2253"/>
      <c r="S2253"/>
      <c r="T2253"/>
      <c r="U2253"/>
      <c r="V2253"/>
      <c r="W2253"/>
      <c r="X2253"/>
    </row>
    <row r="2254" spans="5:24" x14ac:dyDescent="0.3">
      <c r="E2254" s="173"/>
      <c r="F2254" s="173"/>
      <c r="I2254"/>
      <c r="J2254"/>
      <c r="K2254"/>
      <c r="L2254"/>
      <c r="M2254"/>
      <c r="N2254"/>
      <c r="O2254"/>
      <c r="P2254" s="225"/>
      <c r="Q2254" s="225"/>
      <c r="R2254"/>
      <c r="S2254"/>
      <c r="T2254"/>
      <c r="U2254"/>
      <c r="V2254"/>
      <c r="W2254"/>
      <c r="X2254"/>
    </row>
    <row r="2255" spans="5:24" x14ac:dyDescent="0.3">
      <c r="E2255" s="173"/>
      <c r="F2255" s="173"/>
      <c r="I2255"/>
      <c r="J2255"/>
      <c r="K2255"/>
      <c r="L2255"/>
      <c r="M2255"/>
      <c r="N2255"/>
      <c r="O2255"/>
      <c r="P2255" s="225"/>
      <c r="Q2255" s="225"/>
      <c r="R2255"/>
      <c r="S2255"/>
      <c r="T2255"/>
      <c r="U2255"/>
      <c r="V2255"/>
      <c r="W2255"/>
      <c r="X2255"/>
    </row>
    <row r="2256" spans="5:24" x14ac:dyDescent="0.3">
      <c r="E2256" s="173"/>
      <c r="F2256" s="173"/>
      <c r="I2256"/>
      <c r="J2256"/>
      <c r="K2256"/>
      <c r="L2256"/>
      <c r="M2256"/>
      <c r="N2256"/>
      <c r="O2256"/>
      <c r="P2256" s="225"/>
      <c r="Q2256" s="225"/>
      <c r="R2256"/>
      <c r="S2256"/>
      <c r="T2256"/>
      <c r="U2256"/>
      <c r="V2256"/>
      <c r="W2256"/>
      <c r="X2256"/>
    </row>
    <row r="2257" spans="5:24" x14ac:dyDescent="0.3">
      <c r="E2257" s="173"/>
      <c r="F2257" s="173"/>
      <c r="I2257"/>
      <c r="J2257"/>
      <c r="K2257"/>
      <c r="L2257"/>
      <c r="M2257"/>
      <c r="N2257"/>
      <c r="O2257"/>
      <c r="P2257" s="225"/>
      <c r="Q2257" s="225"/>
      <c r="R2257"/>
      <c r="S2257"/>
      <c r="T2257"/>
      <c r="U2257"/>
      <c r="V2257"/>
      <c r="W2257"/>
      <c r="X2257"/>
    </row>
    <row r="2258" spans="5:24" x14ac:dyDescent="0.3">
      <c r="E2258" s="173"/>
      <c r="F2258" s="173"/>
      <c r="I2258"/>
      <c r="J2258"/>
      <c r="K2258"/>
      <c r="L2258"/>
      <c r="M2258"/>
      <c r="N2258"/>
      <c r="O2258"/>
      <c r="P2258" s="225"/>
      <c r="Q2258" s="225"/>
      <c r="R2258"/>
      <c r="S2258"/>
      <c r="T2258"/>
      <c r="U2258"/>
      <c r="V2258"/>
      <c r="W2258"/>
      <c r="X2258"/>
    </row>
    <row r="2259" spans="5:24" x14ac:dyDescent="0.3">
      <c r="E2259" s="173"/>
      <c r="F2259" s="173"/>
      <c r="I2259"/>
      <c r="J2259"/>
      <c r="K2259"/>
      <c r="L2259"/>
      <c r="M2259"/>
      <c r="N2259"/>
      <c r="O2259"/>
      <c r="P2259" s="225"/>
      <c r="Q2259" s="225"/>
      <c r="R2259"/>
      <c r="S2259"/>
      <c r="T2259"/>
      <c r="U2259"/>
      <c r="V2259"/>
      <c r="W2259"/>
      <c r="X2259"/>
    </row>
    <row r="2260" spans="5:24" x14ac:dyDescent="0.3">
      <c r="E2260" s="173"/>
      <c r="F2260" s="173"/>
      <c r="I2260"/>
      <c r="J2260"/>
      <c r="K2260"/>
      <c r="L2260"/>
      <c r="M2260"/>
      <c r="N2260"/>
      <c r="O2260"/>
      <c r="P2260" s="225"/>
      <c r="Q2260" s="225"/>
      <c r="R2260"/>
      <c r="S2260"/>
      <c r="T2260"/>
      <c r="U2260"/>
      <c r="V2260"/>
      <c r="W2260"/>
      <c r="X2260"/>
    </row>
    <row r="2261" spans="5:24" x14ac:dyDescent="0.3">
      <c r="E2261" s="173"/>
      <c r="F2261" s="173"/>
      <c r="I2261"/>
      <c r="J2261"/>
      <c r="K2261"/>
      <c r="L2261"/>
      <c r="M2261"/>
      <c r="N2261"/>
      <c r="O2261"/>
      <c r="P2261" s="225"/>
      <c r="Q2261" s="225"/>
      <c r="R2261"/>
      <c r="S2261"/>
      <c r="T2261"/>
      <c r="U2261"/>
      <c r="V2261"/>
      <c r="W2261"/>
      <c r="X2261"/>
    </row>
    <row r="2262" spans="5:24" x14ac:dyDescent="0.3">
      <c r="E2262" s="173"/>
      <c r="F2262" s="173"/>
      <c r="I2262"/>
      <c r="J2262"/>
      <c r="K2262"/>
      <c r="L2262"/>
      <c r="M2262"/>
      <c r="N2262"/>
      <c r="O2262"/>
      <c r="P2262" s="225"/>
      <c r="Q2262" s="225"/>
      <c r="R2262"/>
      <c r="S2262"/>
      <c r="T2262"/>
      <c r="U2262"/>
      <c r="V2262"/>
      <c r="W2262"/>
      <c r="X2262"/>
    </row>
    <row r="2263" spans="5:24" x14ac:dyDescent="0.3">
      <c r="E2263" s="173"/>
      <c r="F2263" s="173"/>
      <c r="I2263"/>
      <c r="J2263"/>
      <c r="K2263"/>
      <c r="L2263"/>
      <c r="M2263"/>
      <c r="N2263"/>
      <c r="O2263"/>
      <c r="P2263" s="225"/>
      <c r="Q2263" s="225"/>
      <c r="R2263"/>
      <c r="S2263"/>
      <c r="T2263"/>
      <c r="U2263"/>
      <c r="V2263"/>
      <c r="W2263"/>
      <c r="X2263"/>
    </row>
    <row r="2264" spans="5:24" x14ac:dyDescent="0.3">
      <c r="E2264" s="173"/>
      <c r="F2264" s="173"/>
      <c r="I2264"/>
      <c r="J2264"/>
      <c r="K2264"/>
      <c r="L2264"/>
      <c r="M2264"/>
      <c r="N2264"/>
      <c r="O2264"/>
      <c r="P2264" s="225"/>
      <c r="Q2264" s="225"/>
      <c r="R2264"/>
      <c r="S2264"/>
      <c r="T2264"/>
      <c r="U2264"/>
      <c r="V2264"/>
      <c r="W2264"/>
      <c r="X2264"/>
    </row>
    <row r="2265" spans="5:24" x14ac:dyDescent="0.3">
      <c r="E2265" s="173"/>
      <c r="F2265" s="173"/>
      <c r="I2265"/>
      <c r="J2265"/>
      <c r="K2265"/>
      <c r="L2265"/>
      <c r="M2265"/>
      <c r="N2265"/>
      <c r="O2265"/>
      <c r="P2265" s="225"/>
      <c r="Q2265" s="225"/>
      <c r="R2265"/>
      <c r="S2265"/>
      <c r="T2265"/>
      <c r="U2265"/>
      <c r="V2265"/>
      <c r="W2265"/>
      <c r="X2265"/>
    </row>
    <row r="2266" spans="5:24" x14ac:dyDescent="0.3">
      <c r="E2266" s="173"/>
      <c r="F2266" s="173"/>
      <c r="I2266"/>
      <c r="J2266"/>
      <c r="K2266"/>
      <c r="L2266"/>
      <c r="M2266"/>
      <c r="N2266"/>
      <c r="O2266"/>
      <c r="P2266" s="225"/>
      <c r="Q2266" s="225"/>
      <c r="R2266"/>
      <c r="S2266"/>
      <c r="T2266"/>
      <c r="U2266"/>
      <c r="V2266"/>
      <c r="W2266"/>
      <c r="X2266"/>
    </row>
    <row r="2267" spans="5:24" x14ac:dyDescent="0.3">
      <c r="E2267" s="173"/>
      <c r="F2267" s="173"/>
      <c r="I2267"/>
      <c r="J2267"/>
      <c r="K2267"/>
      <c r="L2267"/>
      <c r="M2267"/>
      <c r="N2267"/>
      <c r="O2267"/>
      <c r="P2267" s="225"/>
      <c r="Q2267" s="225"/>
      <c r="R2267"/>
      <c r="S2267"/>
      <c r="T2267"/>
      <c r="U2267"/>
      <c r="V2267"/>
      <c r="W2267"/>
      <c r="X2267"/>
    </row>
    <row r="2268" spans="5:24" x14ac:dyDescent="0.3">
      <c r="E2268" s="173"/>
      <c r="F2268" s="173"/>
      <c r="I2268"/>
      <c r="J2268"/>
      <c r="K2268"/>
      <c r="L2268"/>
      <c r="M2268"/>
      <c r="N2268"/>
      <c r="O2268"/>
      <c r="P2268" s="225"/>
      <c r="Q2268" s="225"/>
      <c r="R2268"/>
      <c r="S2268"/>
      <c r="T2268"/>
      <c r="U2268"/>
      <c r="V2268"/>
      <c r="W2268"/>
      <c r="X2268"/>
    </row>
    <row r="2269" spans="5:24" x14ac:dyDescent="0.3">
      <c r="E2269" s="173"/>
      <c r="F2269" s="173"/>
      <c r="I2269"/>
      <c r="J2269"/>
      <c r="K2269"/>
      <c r="L2269"/>
      <c r="M2269"/>
      <c r="N2269"/>
      <c r="O2269"/>
      <c r="P2269" s="225"/>
      <c r="Q2269" s="225"/>
      <c r="R2269"/>
      <c r="S2269"/>
      <c r="T2269"/>
      <c r="U2269"/>
      <c r="V2269"/>
      <c r="W2269"/>
      <c r="X2269"/>
    </row>
    <row r="2270" spans="5:24" x14ac:dyDescent="0.3">
      <c r="E2270" s="173"/>
      <c r="F2270" s="173"/>
      <c r="I2270"/>
      <c r="J2270"/>
      <c r="K2270"/>
      <c r="L2270"/>
      <c r="M2270"/>
      <c r="N2270"/>
      <c r="O2270"/>
      <c r="P2270" s="225"/>
      <c r="Q2270" s="225"/>
      <c r="R2270"/>
      <c r="S2270"/>
      <c r="T2270"/>
      <c r="U2270"/>
      <c r="V2270"/>
      <c r="W2270"/>
      <c r="X2270"/>
    </row>
    <row r="2271" spans="5:24" x14ac:dyDescent="0.3">
      <c r="E2271" s="173"/>
      <c r="F2271" s="173"/>
      <c r="I2271"/>
      <c r="J2271"/>
      <c r="K2271"/>
      <c r="L2271"/>
      <c r="M2271"/>
      <c r="N2271"/>
      <c r="O2271"/>
      <c r="P2271" s="225"/>
      <c r="Q2271" s="225"/>
      <c r="R2271"/>
      <c r="S2271"/>
      <c r="T2271"/>
      <c r="U2271"/>
      <c r="V2271"/>
      <c r="W2271"/>
      <c r="X2271"/>
    </row>
    <row r="2272" spans="5:24" x14ac:dyDescent="0.3">
      <c r="E2272" s="173"/>
      <c r="F2272" s="173"/>
      <c r="I2272"/>
      <c r="J2272"/>
      <c r="K2272"/>
      <c r="L2272"/>
      <c r="M2272"/>
      <c r="N2272"/>
      <c r="O2272"/>
      <c r="P2272" s="225"/>
      <c r="Q2272" s="225"/>
      <c r="R2272"/>
      <c r="S2272"/>
      <c r="T2272"/>
      <c r="U2272"/>
      <c r="V2272"/>
      <c r="W2272"/>
      <c r="X2272"/>
    </row>
    <row r="2273" spans="5:24" x14ac:dyDescent="0.3">
      <c r="E2273" s="173"/>
      <c r="F2273" s="173"/>
      <c r="I2273"/>
      <c r="J2273"/>
      <c r="K2273"/>
      <c r="L2273"/>
      <c r="M2273"/>
      <c r="N2273"/>
      <c r="O2273"/>
      <c r="P2273" s="225"/>
      <c r="Q2273" s="225"/>
      <c r="R2273"/>
      <c r="S2273"/>
      <c r="T2273"/>
      <c r="U2273"/>
      <c r="V2273"/>
      <c r="W2273"/>
      <c r="X2273"/>
    </row>
    <row r="2274" spans="5:24" x14ac:dyDescent="0.3">
      <c r="E2274" s="173"/>
      <c r="F2274" s="173"/>
      <c r="I2274"/>
      <c r="J2274"/>
      <c r="K2274"/>
      <c r="L2274"/>
      <c r="M2274"/>
      <c r="N2274"/>
      <c r="O2274"/>
      <c r="P2274" s="225"/>
      <c r="Q2274" s="225"/>
      <c r="R2274"/>
      <c r="S2274"/>
      <c r="T2274"/>
      <c r="U2274"/>
      <c r="V2274"/>
      <c r="W2274"/>
      <c r="X2274"/>
    </row>
    <row r="2275" spans="5:24" x14ac:dyDescent="0.3">
      <c r="E2275" s="173"/>
      <c r="F2275" s="173"/>
      <c r="I2275"/>
      <c r="J2275"/>
      <c r="K2275"/>
      <c r="L2275"/>
      <c r="M2275"/>
      <c r="N2275"/>
      <c r="O2275"/>
      <c r="P2275" s="225"/>
      <c r="Q2275" s="225"/>
      <c r="R2275"/>
      <c r="S2275"/>
      <c r="T2275"/>
      <c r="U2275"/>
      <c r="V2275"/>
      <c r="W2275"/>
      <c r="X2275"/>
    </row>
    <row r="2276" spans="5:24" x14ac:dyDescent="0.3">
      <c r="E2276" s="173"/>
      <c r="F2276" s="173"/>
      <c r="I2276"/>
      <c r="J2276"/>
      <c r="K2276"/>
      <c r="L2276"/>
      <c r="M2276"/>
      <c r="N2276"/>
      <c r="O2276"/>
      <c r="P2276" s="225"/>
      <c r="Q2276" s="225"/>
      <c r="R2276"/>
      <c r="S2276"/>
      <c r="T2276"/>
      <c r="U2276"/>
      <c r="V2276"/>
      <c r="W2276"/>
      <c r="X2276"/>
    </row>
    <row r="2277" spans="5:24" x14ac:dyDescent="0.3">
      <c r="E2277" s="173"/>
      <c r="F2277" s="173"/>
      <c r="I2277"/>
      <c r="J2277"/>
      <c r="K2277"/>
      <c r="L2277"/>
      <c r="M2277"/>
      <c r="N2277"/>
      <c r="O2277"/>
      <c r="P2277" s="225"/>
      <c r="Q2277" s="225"/>
      <c r="R2277"/>
      <c r="S2277"/>
      <c r="T2277"/>
      <c r="U2277"/>
      <c r="V2277"/>
      <c r="W2277"/>
      <c r="X2277"/>
    </row>
    <row r="2278" spans="5:24" x14ac:dyDescent="0.3">
      <c r="E2278" s="173"/>
      <c r="F2278" s="173"/>
      <c r="I2278"/>
      <c r="J2278"/>
      <c r="K2278"/>
      <c r="L2278"/>
      <c r="M2278"/>
      <c r="N2278"/>
      <c r="O2278"/>
      <c r="P2278" s="225"/>
      <c r="Q2278" s="225"/>
      <c r="R2278"/>
      <c r="S2278"/>
      <c r="T2278"/>
      <c r="U2278"/>
      <c r="V2278"/>
      <c r="W2278"/>
      <c r="X2278"/>
    </row>
    <row r="2279" spans="5:24" x14ac:dyDescent="0.3">
      <c r="E2279" s="173"/>
      <c r="F2279" s="173"/>
      <c r="I2279"/>
      <c r="J2279"/>
      <c r="K2279"/>
      <c r="L2279"/>
      <c r="M2279"/>
      <c r="N2279"/>
      <c r="O2279"/>
      <c r="P2279" s="225"/>
      <c r="Q2279" s="225"/>
      <c r="R2279"/>
      <c r="S2279"/>
      <c r="T2279"/>
      <c r="U2279"/>
      <c r="V2279"/>
      <c r="W2279"/>
      <c r="X2279"/>
    </row>
    <row r="2280" spans="5:24" x14ac:dyDescent="0.3">
      <c r="E2280" s="173"/>
      <c r="F2280" s="173"/>
      <c r="I2280"/>
      <c r="J2280"/>
      <c r="K2280"/>
      <c r="L2280"/>
      <c r="M2280"/>
      <c r="N2280"/>
      <c r="O2280"/>
      <c r="P2280" s="225"/>
      <c r="Q2280" s="225"/>
      <c r="R2280"/>
      <c r="S2280"/>
      <c r="T2280"/>
      <c r="U2280"/>
      <c r="V2280"/>
      <c r="W2280"/>
      <c r="X2280"/>
    </row>
    <row r="2281" spans="5:24" x14ac:dyDescent="0.3">
      <c r="E2281" s="173"/>
      <c r="F2281" s="173"/>
      <c r="I2281"/>
      <c r="J2281"/>
      <c r="K2281"/>
      <c r="L2281"/>
      <c r="M2281"/>
      <c r="N2281"/>
      <c r="O2281"/>
      <c r="P2281" s="225"/>
      <c r="Q2281" s="225"/>
      <c r="R2281"/>
      <c r="S2281"/>
      <c r="T2281"/>
      <c r="U2281"/>
      <c r="V2281"/>
      <c r="W2281"/>
      <c r="X2281"/>
    </row>
    <row r="2282" spans="5:24" x14ac:dyDescent="0.3">
      <c r="E2282" s="173"/>
      <c r="F2282" s="173"/>
      <c r="I2282"/>
      <c r="J2282"/>
      <c r="K2282"/>
      <c r="L2282"/>
      <c r="M2282"/>
      <c r="N2282"/>
      <c r="O2282"/>
      <c r="P2282" s="225"/>
      <c r="Q2282" s="225"/>
      <c r="R2282"/>
      <c r="S2282"/>
      <c r="T2282"/>
      <c r="U2282"/>
      <c r="V2282"/>
      <c r="W2282"/>
      <c r="X2282"/>
    </row>
    <row r="2283" spans="5:24" x14ac:dyDescent="0.3">
      <c r="E2283" s="173"/>
      <c r="F2283" s="173"/>
      <c r="I2283"/>
      <c r="J2283"/>
      <c r="K2283"/>
      <c r="L2283"/>
      <c r="M2283"/>
      <c r="N2283"/>
      <c r="O2283"/>
      <c r="P2283" s="225"/>
      <c r="Q2283" s="225"/>
      <c r="R2283"/>
      <c r="S2283"/>
      <c r="T2283"/>
      <c r="U2283"/>
      <c r="V2283"/>
      <c r="W2283"/>
      <c r="X2283"/>
    </row>
    <row r="2284" spans="5:24" x14ac:dyDescent="0.3">
      <c r="E2284" s="173"/>
      <c r="F2284" s="173"/>
      <c r="I2284"/>
      <c r="J2284"/>
      <c r="K2284"/>
      <c r="L2284"/>
      <c r="M2284"/>
      <c r="N2284"/>
      <c r="O2284"/>
      <c r="P2284" s="225"/>
      <c r="Q2284" s="225"/>
      <c r="R2284"/>
      <c r="S2284"/>
      <c r="T2284"/>
      <c r="U2284"/>
      <c r="V2284"/>
      <c r="W2284"/>
      <c r="X2284"/>
    </row>
    <row r="2285" spans="5:24" x14ac:dyDescent="0.3">
      <c r="E2285" s="173"/>
      <c r="F2285" s="173"/>
      <c r="I2285"/>
      <c r="J2285"/>
      <c r="K2285"/>
      <c r="L2285"/>
      <c r="M2285"/>
      <c r="N2285"/>
      <c r="O2285"/>
      <c r="P2285" s="225"/>
      <c r="Q2285" s="225"/>
      <c r="R2285"/>
      <c r="S2285"/>
      <c r="T2285"/>
      <c r="U2285"/>
      <c r="V2285"/>
      <c r="W2285"/>
      <c r="X2285"/>
    </row>
    <row r="2286" spans="5:24" x14ac:dyDescent="0.3">
      <c r="E2286" s="173"/>
      <c r="F2286" s="173"/>
      <c r="I2286"/>
      <c r="J2286"/>
      <c r="K2286"/>
      <c r="L2286"/>
      <c r="M2286"/>
      <c r="N2286"/>
      <c r="O2286"/>
      <c r="P2286" s="225"/>
      <c r="Q2286" s="225"/>
      <c r="R2286"/>
      <c r="S2286"/>
      <c r="T2286"/>
      <c r="U2286"/>
      <c r="V2286"/>
      <c r="W2286"/>
      <c r="X2286"/>
    </row>
    <row r="2287" spans="5:24" x14ac:dyDescent="0.3">
      <c r="E2287" s="173"/>
      <c r="F2287" s="173"/>
      <c r="I2287"/>
      <c r="J2287"/>
      <c r="K2287"/>
      <c r="L2287"/>
      <c r="M2287"/>
      <c r="N2287"/>
      <c r="O2287"/>
      <c r="P2287" s="225"/>
      <c r="Q2287" s="225"/>
      <c r="R2287"/>
      <c r="S2287"/>
      <c r="T2287"/>
      <c r="U2287"/>
      <c r="V2287"/>
      <c r="W2287"/>
      <c r="X2287"/>
    </row>
    <row r="2288" spans="5:24" x14ac:dyDescent="0.3">
      <c r="E2288" s="173"/>
      <c r="F2288" s="173"/>
      <c r="I2288"/>
      <c r="J2288"/>
      <c r="K2288"/>
      <c r="L2288"/>
      <c r="M2288"/>
      <c r="N2288"/>
      <c r="O2288"/>
      <c r="P2288" s="225"/>
      <c r="Q2288" s="225"/>
      <c r="R2288"/>
      <c r="S2288"/>
      <c r="T2288"/>
      <c r="U2288"/>
      <c r="V2288"/>
      <c r="W2288"/>
      <c r="X2288"/>
    </row>
    <row r="2289" spans="5:24" x14ac:dyDescent="0.3">
      <c r="E2289" s="173"/>
      <c r="F2289" s="173"/>
      <c r="I2289"/>
      <c r="J2289"/>
      <c r="K2289"/>
      <c r="L2289"/>
      <c r="M2289"/>
      <c r="N2289"/>
      <c r="O2289"/>
      <c r="P2289" s="225"/>
      <c r="Q2289" s="225"/>
      <c r="R2289"/>
      <c r="S2289"/>
      <c r="T2289"/>
      <c r="U2289"/>
      <c r="V2289"/>
      <c r="W2289"/>
      <c r="X2289"/>
    </row>
    <row r="2290" spans="5:24" x14ac:dyDescent="0.3">
      <c r="E2290" s="173"/>
      <c r="F2290" s="173"/>
      <c r="I2290"/>
      <c r="J2290"/>
      <c r="K2290"/>
      <c r="L2290"/>
      <c r="M2290"/>
      <c r="N2290"/>
      <c r="O2290"/>
      <c r="P2290" s="225"/>
      <c r="Q2290" s="225"/>
      <c r="R2290"/>
      <c r="S2290"/>
      <c r="T2290"/>
      <c r="U2290"/>
      <c r="V2290"/>
      <c r="W2290"/>
      <c r="X2290"/>
    </row>
    <row r="2291" spans="5:24" x14ac:dyDescent="0.3">
      <c r="E2291" s="173"/>
      <c r="F2291" s="173"/>
      <c r="I2291"/>
      <c r="J2291"/>
      <c r="K2291"/>
      <c r="L2291"/>
      <c r="M2291"/>
      <c r="N2291"/>
      <c r="O2291"/>
      <c r="P2291" s="225"/>
      <c r="Q2291" s="225"/>
      <c r="R2291"/>
      <c r="S2291"/>
      <c r="T2291"/>
      <c r="U2291"/>
      <c r="V2291"/>
      <c r="W2291"/>
      <c r="X2291"/>
    </row>
    <row r="2292" spans="5:24" x14ac:dyDescent="0.3">
      <c r="E2292" s="173"/>
      <c r="F2292" s="173"/>
      <c r="I2292"/>
      <c r="J2292"/>
      <c r="K2292"/>
      <c r="L2292"/>
      <c r="M2292"/>
      <c r="N2292"/>
      <c r="O2292"/>
      <c r="P2292" s="225"/>
      <c r="Q2292" s="225"/>
      <c r="R2292"/>
      <c r="S2292"/>
      <c r="T2292"/>
      <c r="U2292"/>
      <c r="V2292"/>
      <c r="W2292"/>
      <c r="X2292"/>
    </row>
    <row r="2293" spans="5:24" x14ac:dyDescent="0.3">
      <c r="E2293" s="173"/>
      <c r="F2293" s="173"/>
      <c r="I2293"/>
      <c r="J2293"/>
      <c r="K2293"/>
      <c r="L2293"/>
      <c r="M2293"/>
      <c r="N2293"/>
      <c r="O2293"/>
      <c r="P2293" s="225"/>
      <c r="Q2293" s="225"/>
      <c r="R2293"/>
      <c r="S2293"/>
      <c r="T2293"/>
      <c r="U2293"/>
      <c r="V2293"/>
      <c r="W2293"/>
      <c r="X2293"/>
    </row>
    <row r="2294" spans="5:24" x14ac:dyDescent="0.3">
      <c r="E2294" s="173"/>
      <c r="F2294" s="173"/>
      <c r="I2294"/>
      <c r="J2294"/>
      <c r="K2294"/>
      <c r="L2294"/>
      <c r="M2294"/>
      <c r="N2294"/>
      <c r="O2294"/>
      <c r="P2294" s="225"/>
      <c r="Q2294" s="225"/>
      <c r="R2294"/>
      <c r="S2294"/>
      <c r="T2294"/>
      <c r="U2294"/>
      <c r="V2294"/>
      <c r="W2294"/>
      <c r="X2294"/>
    </row>
    <row r="2295" spans="5:24" x14ac:dyDescent="0.3">
      <c r="E2295" s="173"/>
      <c r="F2295" s="173"/>
      <c r="I2295"/>
      <c r="J2295"/>
      <c r="K2295"/>
      <c r="L2295"/>
      <c r="M2295"/>
      <c r="N2295"/>
      <c r="O2295"/>
      <c r="P2295" s="225"/>
      <c r="Q2295" s="225"/>
      <c r="R2295"/>
      <c r="S2295"/>
      <c r="T2295"/>
      <c r="U2295"/>
      <c r="V2295"/>
      <c r="W2295"/>
      <c r="X2295"/>
    </row>
    <row r="2296" spans="5:24" x14ac:dyDescent="0.3">
      <c r="E2296" s="173"/>
      <c r="F2296" s="173"/>
      <c r="I2296"/>
      <c r="J2296"/>
      <c r="K2296"/>
      <c r="L2296"/>
      <c r="M2296"/>
      <c r="N2296"/>
      <c r="O2296"/>
      <c r="P2296" s="225"/>
      <c r="Q2296" s="225"/>
      <c r="R2296"/>
      <c r="S2296"/>
      <c r="T2296"/>
      <c r="U2296"/>
      <c r="V2296"/>
      <c r="W2296"/>
      <c r="X2296"/>
    </row>
    <row r="2297" spans="5:24" x14ac:dyDescent="0.3">
      <c r="E2297" s="173"/>
      <c r="F2297" s="173"/>
      <c r="I2297"/>
      <c r="J2297"/>
      <c r="K2297"/>
      <c r="L2297"/>
      <c r="M2297"/>
      <c r="N2297"/>
      <c r="O2297"/>
      <c r="P2297" s="225"/>
      <c r="Q2297" s="225"/>
      <c r="R2297"/>
      <c r="S2297"/>
      <c r="T2297"/>
      <c r="U2297"/>
      <c r="V2297"/>
      <c r="W2297"/>
      <c r="X2297"/>
    </row>
    <row r="2298" spans="5:24" x14ac:dyDescent="0.3">
      <c r="E2298" s="173"/>
      <c r="F2298" s="173"/>
      <c r="I2298"/>
      <c r="J2298"/>
      <c r="K2298"/>
      <c r="L2298"/>
      <c r="M2298"/>
      <c r="N2298"/>
      <c r="O2298"/>
      <c r="P2298" s="225"/>
      <c r="Q2298" s="225"/>
      <c r="R2298"/>
      <c r="S2298"/>
      <c r="T2298"/>
      <c r="U2298"/>
      <c r="V2298"/>
      <c r="W2298"/>
      <c r="X2298"/>
    </row>
    <row r="2299" spans="5:24" x14ac:dyDescent="0.3">
      <c r="E2299" s="173"/>
      <c r="F2299" s="173"/>
      <c r="I2299"/>
      <c r="J2299"/>
      <c r="K2299"/>
      <c r="L2299"/>
      <c r="M2299"/>
      <c r="N2299"/>
      <c r="O2299"/>
      <c r="P2299" s="225"/>
      <c r="Q2299" s="225"/>
      <c r="R2299"/>
      <c r="S2299"/>
      <c r="T2299"/>
      <c r="U2299"/>
      <c r="V2299"/>
      <c r="W2299"/>
      <c r="X2299"/>
    </row>
    <row r="2300" spans="5:24" x14ac:dyDescent="0.3">
      <c r="E2300" s="173"/>
      <c r="F2300" s="173"/>
      <c r="I2300"/>
      <c r="J2300"/>
      <c r="K2300"/>
      <c r="L2300"/>
      <c r="M2300"/>
      <c r="N2300"/>
      <c r="O2300"/>
      <c r="P2300" s="225"/>
      <c r="Q2300" s="225"/>
      <c r="R2300"/>
      <c r="S2300"/>
      <c r="T2300"/>
      <c r="U2300"/>
      <c r="V2300"/>
      <c r="W2300"/>
      <c r="X2300"/>
    </row>
    <row r="2301" spans="5:24" x14ac:dyDescent="0.3">
      <c r="E2301" s="173"/>
      <c r="F2301" s="173"/>
      <c r="I2301"/>
      <c r="J2301"/>
      <c r="K2301"/>
      <c r="L2301"/>
      <c r="M2301"/>
      <c r="N2301"/>
      <c r="O2301"/>
      <c r="P2301" s="225"/>
      <c r="Q2301" s="225"/>
      <c r="R2301"/>
      <c r="S2301"/>
      <c r="T2301"/>
      <c r="U2301"/>
      <c r="V2301"/>
      <c r="W2301"/>
      <c r="X2301"/>
    </row>
    <row r="2302" spans="5:24" x14ac:dyDescent="0.3">
      <c r="E2302" s="173"/>
      <c r="F2302" s="173"/>
      <c r="I2302"/>
      <c r="J2302"/>
      <c r="K2302"/>
      <c r="L2302"/>
      <c r="M2302"/>
      <c r="N2302"/>
      <c r="O2302"/>
      <c r="P2302" s="225"/>
      <c r="Q2302" s="225"/>
      <c r="R2302"/>
      <c r="S2302"/>
      <c r="T2302"/>
      <c r="U2302"/>
      <c r="V2302"/>
      <c r="W2302"/>
      <c r="X2302"/>
    </row>
    <row r="2303" spans="5:24" x14ac:dyDescent="0.3">
      <c r="E2303" s="173"/>
      <c r="F2303" s="173"/>
      <c r="I2303"/>
      <c r="J2303"/>
      <c r="K2303"/>
      <c r="L2303"/>
      <c r="M2303"/>
      <c r="N2303"/>
      <c r="O2303"/>
      <c r="P2303" s="225"/>
      <c r="Q2303" s="225"/>
      <c r="R2303"/>
      <c r="S2303"/>
      <c r="T2303"/>
      <c r="U2303"/>
      <c r="V2303"/>
      <c r="W2303"/>
      <c r="X2303"/>
    </row>
    <row r="2304" spans="5:24" x14ac:dyDescent="0.3">
      <c r="E2304" s="173"/>
      <c r="F2304" s="173"/>
      <c r="I2304"/>
      <c r="J2304"/>
      <c r="K2304"/>
      <c r="L2304"/>
      <c r="M2304"/>
      <c r="N2304"/>
      <c r="O2304"/>
      <c r="P2304" s="225"/>
      <c r="Q2304" s="225"/>
      <c r="R2304"/>
      <c r="S2304"/>
      <c r="T2304"/>
      <c r="U2304"/>
      <c r="V2304"/>
      <c r="W2304"/>
      <c r="X2304"/>
    </row>
    <row r="2305" spans="5:24" x14ac:dyDescent="0.3">
      <c r="E2305" s="173"/>
      <c r="F2305" s="173"/>
      <c r="I2305"/>
      <c r="J2305"/>
      <c r="K2305"/>
      <c r="L2305"/>
      <c r="M2305"/>
      <c r="N2305"/>
      <c r="O2305"/>
      <c r="P2305" s="225"/>
      <c r="Q2305" s="225"/>
      <c r="R2305"/>
      <c r="S2305"/>
      <c r="T2305"/>
      <c r="U2305"/>
      <c r="V2305"/>
      <c r="W2305"/>
      <c r="X2305"/>
    </row>
    <row r="2306" spans="5:24" x14ac:dyDescent="0.3">
      <c r="E2306" s="173"/>
      <c r="F2306" s="173"/>
      <c r="I2306"/>
      <c r="J2306"/>
      <c r="K2306"/>
      <c r="L2306"/>
      <c r="M2306"/>
      <c r="N2306"/>
      <c r="O2306"/>
      <c r="P2306" s="225"/>
      <c r="Q2306" s="225"/>
      <c r="R2306"/>
      <c r="S2306"/>
      <c r="T2306"/>
      <c r="U2306"/>
      <c r="V2306"/>
      <c r="W2306"/>
      <c r="X2306"/>
    </row>
    <row r="2307" spans="5:24" x14ac:dyDescent="0.3">
      <c r="E2307" s="173"/>
      <c r="F2307" s="173"/>
      <c r="I2307"/>
      <c r="J2307"/>
      <c r="K2307"/>
      <c r="L2307"/>
      <c r="M2307"/>
      <c r="N2307"/>
      <c r="O2307"/>
      <c r="P2307" s="225"/>
      <c r="Q2307" s="225"/>
      <c r="R2307"/>
      <c r="S2307"/>
      <c r="T2307"/>
      <c r="U2307"/>
      <c r="V2307"/>
      <c r="W2307"/>
      <c r="X2307"/>
    </row>
    <row r="2308" spans="5:24" x14ac:dyDescent="0.3">
      <c r="E2308" s="173"/>
      <c r="F2308" s="173"/>
      <c r="I2308"/>
      <c r="J2308"/>
      <c r="K2308"/>
      <c r="L2308"/>
      <c r="M2308"/>
      <c r="N2308"/>
      <c r="O2308"/>
      <c r="P2308" s="225"/>
      <c r="Q2308" s="225"/>
      <c r="R2308"/>
      <c r="S2308"/>
      <c r="T2308"/>
      <c r="U2308"/>
      <c r="V2308"/>
      <c r="W2308"/>
      <c r="X2308"/>
    </row>
    <row r="2309" spans="5:24" x14ac:dyDescent="0.3">
      <c r="E2309" s="173"/>
      <c r="F2309" s="173"/>
      <c r="I2309"/>
      <c r="J2309"/>
      <c r="K2309"/>
      <c r="L2309"/>
      <c r="M2309"/>
      <c r="N2309"/>
      <c r="O2309"/>
      <c r="P2309" s="225"/>
      <c r="Q2309" s="225"/>
      <c r="R2309"/>
      <c r="S2309"/>
      <c r="T2309"/>
      <c r="U2309"/>
      <c r="V2309"/>
      <c r="W2309"/>
      <c r="X2309"/>
    </row>
    <row r="2310" spans="5:24" x14ac:dyDescent="0.3">
      <c r="E2310" s="173"/>
      <c r="F2310" s="173"/>
      <c r="I2310"/>
      <c r="J2310"/>
      <c r="K2310"/>
      <c r="L2310"/>
      <c r="M2310"/>
      <c r="N2310"/>
      <c r="O2310"/>
      <c r="P2310" s="225"/>
      <c r="Q2310" s="225"/>
      <c r="R2310"/>
      <c r="S2310"/>
      <c r="T2310"/>
      <c r="U2310"/>
      <c r="V2310"/>
      <c r="W2310"/>
      <c r="X2310"/>
    </row>
    <row r="2311" spans="5:24" x14ac:dyDescent="0.3">
      <c r="E2311" s="173"/>
      <c r="F2311" s="173"/>
      <c r="I2311"/>
      <c r="J2311"/>
      <c r="K2311"/>
      <c r="L2311"/>
      <c r="M2311"/>
      <c r="N2311"/>
      <c r="O2311"/>
      <c r="P2311" s="225"/>
      <c r="Q2311" s="225"/>
      <c r="R2311"/>
      <c r="S2311"/>
      <c r="T2311"/>
      <c r="U2311"/>
      <c r="V2311"/>
      <c r="W2311"/>
      <c r="X2311"/>
    </row>
    <row r="2312" spans="5:24" x14ac:dyDescent="0.3">
      <c r="E2312" s="173"/>
      <c r="F2312" s="173"/>
      <c r="I2312"/>
      <c r="J2312"/>
      <c r="K2312"/>
      <c r="L2312"/>
      <c r="M2312"/>
      <c r="N2312"/>
      <c r="O2312"/>
      <c r="P2312" s="225"/>
      <c r="Q2312" s="225"/>
      <c r="R2312"/>
      <c r="S2312"/>
      <c r="T2312"/>
      <c r="U2312"/>
      <c r="V2312"/>
      <c r="W2312"/>
      <c r="X2312"/>
    </row>
    <row r="2313" spans="5:24" x14ac:dyDescent="0.3">
      <c r="E2313" s="173"/>
      <c r="F2313" s="173"/>
      <c r="I2313"/>
      <c r="J2313"/>
      <c r="K2313"/>
      <c r="L2313"/>
      <c r="M2313"/>
      <c r="N2313"/>
      <c r="O2313"/>
      <c r="P2313" s="225"/>
      <c r="Q2313" s="225"/>
      <c r="R2313"/>
      <c r="S2313"/>
      <c r="T2313"/>
      <c r="U2313"/>
      <c r="V2313"/>
      <c r="W2313"/>
      <c r="X2313"/>
    </row>
    <row r="2314" spans="5:24" x14ac:dyDescent="0.3">
      <c r="E2314" s="173"/>
      <c r="F2314" s="173"/>
      <c r="I2314"/>
      <c r="J2314"/>
      <c r="K2314"/>
      <c r="L2314"/>
      <c r="M2314"/>
      <c r="N2314"/>
      <c r="O2314"/>
      <c r="P2314" s="225"/>
      <c r="Q2314" s="225"/>
      <c r="R2314"/>
      <c r="S2314"/>
      <c r="T2314"/>
      <c r="U2314"/>
      <c r="V2314"/>
      <c r="W2314"/>
      <c r="X2314"/>
    </row>
    <row r="2315" spans="5:24" x14ac:dyDescent="0.3">
      <c r="E2315" s="173"/>
      <c r="F2315" s="173"/>
      <c r="I2315"/>
      <c r="J2315"/>
      <c r="K2315"/>
      <c r="L2315"/>
      <c r="M2315"/>
      <c r="N2315"/>
      <c r="O2315"/>
      <c r="P2315" s="225"/>
      <c r="Q2315" s="225"/>
      <c r="R2315"/>
      <c r="S2315"/>
      <c r="T2315"/>
      <c r="U2315"/>
      <c r="V2315"/>
      <c r="W2315"/>
      <c r="X2315"/>
    </row>
    <row r="2316" spans="5:24" x14ac:dyDescent="0.3">
      <c r="E2316" s="173"/>
      <c r="F2316" s="173"/>
      <c r="I2316"/>
      <c r="J2316"/>
      <c r="K2316"/>
      <c r="L2316"/>
      <c r="M2316"/>
      <c r="N2316"/>
      <c r="O2316"/>
      <c r="P2316" s="225"/>
      <c r="Q2316" s="225"/>
      <c r="R2316"/>
      <c r="S2316"/>
      <c r="T2316"/>
      <c r="U2316"/>
      <c r="V2316"/>
      <c r="W2316"/>
      <c r="X2316"/>
    </row>
    <row r="2317" spans="5:24" x14ac:dyDescent="0.3">
      <c r="E2317" s="173"/>
      <c r="F2317" s="173"/>
      <c r="I2317"/>
      <c r="J2317"/>
      <c r="K2317"/>
      <c r="L2317"/>
      <c r="M2317"/>
      <c r="N2317"/>
      <c r="O2317"/>
      <c r="P2317" s="225"/>
      <c r="Q2317" s="225"/>
      <c r="R2317"/>
      <c r="S2317"/>
      <c r="T2317"/>
      <c r="U2317"/>
      <c r="V2317"/>
      <c r="W2317"/>
      <c r="X2317"/>
    </row>
    <row r="2318" spans="5:24" x14ac:dyDescent="0.3">
      <c r="E2318" s="173"/>
      <c r="F2318" s="173"/>
      <c r="I2318"/>
      <c r="J2318"/>
      <c r="K2318"/>
      <c r="L2318"/>
      <c r="M2318"/>
      <c r="N2318"/>
      <c r="O2318"/>
      <c r="P2318" s="225"/>
      <c r="Q2318" s="225"/>
      <c r="R2318"/>
      <c r="S2318"/>
      <c r="T2318"/>
      <c r="U2318"/>
      <c r="V2318"/>
      <c r="W2318"/>
      <c r="X2318"/>
    </row>
    <row r="2319" spans="5:24" x14ac:dyDescent="0.3">
      <c r="E2319" s="173"/>
      <c r="F2319" s="173"/>
      <c r="I2319"/>
      <c r="J2319"/>
      <c r="K2319"/>
      <c r="L2319"/>
      <c r="M2319"/>
      <c r="N2319"/>
      <c r="O2319"/>
      <c r="P2319" s="225"/>
      <c r="Q2319" s="225"/>
      <c r="R2319"/>
      <c r="S2319"/>
      <c r="T2319"/>
      <c r="U2319"/>
      <c r="V2319"/>
      <c r="W2319"/>
      <c r="X2319"/>
    </row>
    <row r="2320" spans="5:24" x14ac:dyDescent="0.3">
      <c r="E2320" s="173"/>
      <c r="F2320" s="173"/>
      <c r="I2320"/>
      <c r="J2320"/>
      <c r="K2320"/>
      <c r="L2320"/>
      <c r="M2320"/>
      <c r="N2320"/>
      <c r="O2320"/>
      <c r="P2320" s="225"/>
      <c r="Q2320" s="225"/>
      <c r="R2320"/>
      <c r="S2320"/>
      <c r="T2320"/>
      <c r="U2320"/>
      <c r="V2320"/>
      <c r="W2320"/>
      <c r="X2320"/>
    </row>
    <row r="2321" spans="5:24" x14ac:dyDescent="0.3">
      <c r="E2321" s="173"/>
      <c r="F2321" s="173"/>
      <c r="I2321"/>
      <c r="J2321"/>
      <c r="K2321"/>
      <c r="L2321"/>
      <c r="M2321"/>
      <c r="N2321"/>
      <c r="O2321"/>
      <c r="P2321" s="225"/>
      <c r="Q2321" s="225"/>
      <c r="R2321"/>
      <c r="S2321"/>
      <c r="T2321"/>
      <c r="U2321"/>
      <c r="V2321"/>
      <c r="W2321"/>
      <c r="X2321"/>
    </row>
    <row r="2322" spans="5:24" x14ac:dyDescent="0.3">
      <c r="E2322" s="173"/>
      <c r="F2322" s="173"/>
      <c r="I2322"/>
      <c r="J2322"/>
      <c r="K2322"/>
      <c r="L2322"/>
      <c r="M2322"/>
      <c r="N2322"/>
      <c r="O2322"/>
      <c r="P2322" s="225"/>
      <c r="Q2322" s="225"/>
      <c r="R2322"/>
      <c r="S2322"/>
      <c r="T2322"/>
      <c r="U2322"/>
      <c r="V2322"/>
      <c r="W2322"/>
      <c r="X2322"/>
    </row>
    <row r="2323" spans="5:24" x14ac:dyDescent="0.3">
      <c r="E2323" s="173"/>
      <c r="F2323" s="173"/>
      <c r="I2323"/>
      <c r="J2323"/>
      <c r="K2323"/>
      <c r="L2323"/>
      <c r="M2323"/>
      <c r="N2323"/>
      <c r="O2323"/>
      <c r="P2323" s="225"/>
      <c r="Q2323" s="225"/>
      <c r="R2323"/>
      <c r="S2323"/>
      <c r="T2323"/>
      <c r="U2323"/>
      <c r="V2323"/>
      <c r="W2323"/>
      <c r="X2323"/>
    </row>
    <row r="2324" spans="5:24" x14ac:dyDescent="0.3">
      <c r="E2324" s="173"/>
      <c r="F2324" s="173"/>
      <c r="I2324"/>
      <c r="J2324"/>
      <c r="K2324"/>
      <c r="L2324"/>
      <c r="M2324"/>
      <c r="N2324"/>
      <c r="O2324"/>
      <c r="P2324" s="225"/>
      <c r="Q2324" s="225"/>
      <c r="R2324"/>
      <c r="S2324"/>
      <c r="T2324"/>
      <c r="U2324"/>
      <c r="V2324"/>
      <c r="W2324"/>
      <c r="X2324"/>
    </row>
    <row r="2325" spans="5:24" x14ac:dyDescent="0.3">
      <c r="E2325" s="173"/>
      <c r="F2325" s="173"/>
      <c r="I2325"/>
      <c r="J2325"/>
      <c r="K2325"/>
      <c r="L2325"/>
      <c r="M2325"/>
      <c r="N2325"/>
      <c r="O2325"/>
      <c r="P2325" s="225"/>
      <c r="Q2325" s="225"/>
      <c r="R2325"/>
      <c r="S2325"/>
      <c r="T2325"/>
      <c r="U2325"/>
      <c r="V2325"/>
      <c r="W2325"/>
      <c r="X2325"/>
    </row>
    <row r="2326" spans="5:24" x14ac:dyDescent="0.3">
      <c r="E2326" s="173"/>
      <c r="F2326" s="173"/>
      <c r="I2326"/>
      <c r="J2326"/>
      <c r="K2326"/>
      <c r="L2326"/>
      <c r="M2326"/>
      <c r="N2326"/>
      <c r="O2326"/>
      <c r="P2326" s="225"/>
      <c r="Q2326" s="225"/>
      <c r="R2326"/>
      <c r="S2326"/>
      <c r="T2326"/>
      <c r="U2326"/>
      <c r="V2326"/>
      <c r="W2326"/>
      <c r="X2326"/>
    </row>
    <row r="2327" spans="5:24" x14ac:dyDescent="0.3">
      <c r="E2327" s="173"/>
      <c r="F2327" s="173"/>
      <c r="I2327"/>
      <c r="J2327"/>
      <c r="K2327"/>
      <c r="L2327"/>
      <c r="M2327"/>
      <c r="N2327"/>
      <c r="O2327"/>
      <c r="P2327" s="225"/>
      <c r="Q2327" s="225"/>
      <c r="R2327"/>
      <c r="S2327"/>
      <c r="T2327"/>
      <c r="U2327"/>
      <c r="V2327"/>
      <c r="W2327"/>
      <c r="X2327"/>
    </row>
    <row r="2328" spans="5:24" x14ac:dyDescent="0.3">
      <c r="E2328" s="173"/>
      <c r="F2328" s="173"/>
      <c r="I2328"/>
      <c r="J2328"/>
      <c r="K2328"/>
      <c r="L2328"/>
      <c r="M2328"/>
      <c r="N2328"/>
      <c r="O2328"/>
      <c r="P2328" s="225"/>
      <c r="Q2328" s="225"/>
      <c r="R2328"/>
      <c r="S2328"/>
      <c r="T2328"/>
      <c r="U2328"/>
      <c r="V2328"/>
      <c r="W2328"/>
      <c r="X2328"/>
    </row>
    <row r="2329" spans="5:24" x14ac:dyDescent="0.3">
      <c r="E2329" s="173"/>
      <c r="F2329" s="173"/>
      <c r="I2329"/>
      <c r="J2329"/>
      <c r="K2329"/>
      <c r="L2329"/>
      <c r="M2329"/>
      <c r="N2329"/>
      <c r="O2329"/>
      <c r="P2329" s="225"/>
      <c r="Q2329" s="225"/>
      <c r="R2329"/>
      <c r="S2329"/>
      <c r="T2329"/>
      <c r="U2329"/>
      <c r="V2329"/>
      <c r="W2329"/>
      <c r="X2329"/>
    </row>
    <row r="2330" spans="5:24" x14ac:dyDescent="0.3">
      <c r="E2330" s="173"/>
      <c r="F2330" s="173"/>
      <c r="I2330"/>
      <c r="J2330"/>
      <c r="K2330"/>
      <c r="L2330"/>
      <c r="M2330"/>
      <c r="N2330"/>
      <c r="O2330"/>
      <c r="P2330" s="225"/>
      <c r="Q2330" s="225"/>
      <c r="R2330"/>
      <c r="S2330"/>
      <c r="T2330"/>
      <c r="U2330"/>
      <c r="V2330"/>
      <c r="W2330"/>
      <c r="X2330"/>
    </row>
    <row r="2331" spans="5:24" x14ac:dyDescent="0.3">
      <c r="E2331" s="173"/>
      <c r="F2331" s="173"/>
      <c r="I2331"/>
      <c r="J2331"/>
      <c r="K2331"/>
      <c r="L2331"/>
      <c r="M2331"/>
      <c r="N2331"/>
      <c r="O2331"/>
      <c r="P2331" s="225"/>
      <c r="Q2331" s="225"/>
      <c r="R2331"/>
      <c r="S2331"/>
      <c r="T2331"/>
      <c r="U2331"/>
      <c r="V2331"/>
      <c r="W2331"/>
      <c r="X2331"/>
    </row>
    <row r="2332" spans="5:24" x14ac:dyDescent="0.3">
      <c r="E2332" s="173"/>
      <c r="F2332" s="173"/>
      <c r="I2332"/>
      <c r="J2332"/>
      <c r="K2332"/>
      <c r="L2332"/>
      <c r="M2332"/>
      <c r="N2332"/>
      <c r="O2332"/>
      <c r="P2332" s="225"/>
      <c r="Q2332" s="225"/>
      <c r="R2332"/>
      <c r="S2332"/>
      <c r="T2332"/>
      <c r="U2332"/>
      <c r="V2332"/>
      <c r="W2332"/>
      <c r="X2332"/>
    </row>
    <row r="2333" spans="5:24" x14ac:dyDescent="0.3">
      <c r="E2333" s="173"/>
      <c r="F2333" s="173"/>
      <c r="I2333"/>
      <c r="J2333"/>
      <c r="K2333"/>
      <c r="L2333"/>
      <c r="M2333"/>
      <c r="N2333"/>
      <c r="O2333"/>
      <c r="P2333" s="225"/>
      <c r="Q2333" s="225"/>
      <c r="R2333"/>
      <c r="S2333"/>
      <c r="T2333"/>
      <c r="U2333"/>
      <c r="V2333"/>
      <c r="W2333"/>
      <c r="X2333"/>
    </row>
    <row r="2334" spans="5:24" x14ac:dyDescent="0.3">
      <c r="E2334" s="173"/>
      <c r="F2334" s="173"/>
      <c r="I2334"/>
      <c r="J2334"/>
      <c r="K2334"/>
      <c r="L2334"/>
      <c r="M2334"/>
      <c r="N2334"/>
      <c r="O2334"/>
      <c r="P2334" s="225"/>
      <c r="Q2334" s="225"/>
      <c r="R2334"/>
      <c r="S2334"/>
      <c r="T2334"/>
      <c r="U2334"/>
      <c r="V2334"/>
      <c r="W2334"/>
      <c r="X2334"/>
    </row>
    <row r="2335" spans="5:24" x14ac:dyDescent="0.3">
      <c r="E2335" s="173"/>
      <c r="F2335" s="173"/>
      <c r="I2335"/>
      <c r="J2335"/>
      <c r="K2335"/>
      <c r="L2335"/>
      <c r="M2335"/>
      <c r="N2335"/>
      <c r="O2335"/>
      <c r="P2335" s="225"/>
      <c r="Q2335" s="225"/>
      <c r="R2335"/>
      <c r="S2335"/>
      <c r="T2335"/>
      <c r="U2335"/>
      <c r="V2335"/>
      <c r="W2335"/>
      <c r="X2335"/>
    </row>
    <row r="2336" spans="5:24" x14ac:dyDescent="0.3">
      <c r="E2336" s="173"/>
      <c r="F2336" s="173"/>
      <c r="I2336"/>
      <c r="J2336"/>
      <c r="K2336"/>
      <c r="L2336"/>
      <c r="M2336"/>
      <c r="N2336"/>
      <c r="O2336"/>
      <c r="P2336" s="225"/>
      <c r="Q2336" s="225"/>
      <c r="R2336"/>
      <c r="S2336"/>
      <c r="T2336"/>
      <c r="U2336"/>
      <c r="V2336"/>
      <c r="W2336"/>
      <c r="X2336"/>
    </row>
    <row r="2337" spans="5:24" x14ac:dyDescent="0.3">
      <c r="E2337" s="173"/>
      <c r="F2337" s="173"/>
      <c r="I2337"/>
      <c r="J2337"/>
      <c r="K2337"/>
      <c r="L2337"/>
      <c r="M2337"/>
      <c r="N2337"/>
      <c r="O2337"/>
      <c r="P2337" s="225"/>
      <c r="Q2337" s="225"/>
      <c r="R2337"/>
      <c r="S2337"/>
      <c r="T2337"/>
      <c r="U2337"/>
      <c r="V2337"/>
      <c r="W2337"/>
      <c r="X2337"/>
    </row>
    <row r="2338" spans="5:24" x14ac:dyDescent="0.3">
      <c r="E2338" s="173"/>
      <c r="F2338" s="173"/>
      <c r="I2338"/>
      <c r="J2338"/>
      <c r="K2338"/>
      <c r="L2338"/>
      <c r="M2338"/>
      <c r="N2338"/>
      <c r="O2338"/>
      <c r="P2338" s="225"/>
      <c r="Q2338" s="225"/>
      <c r="R2338"/>
      <c r="S2338"/>
      <c r="T2338"/>
      <c r="U2338"/>
      <c r="V2338"/>
      <c r="W2338"/>
      <c r="X2338"/>
    </row>
    <row r="2339" spans="5:24" x14ac:dyDescent="0.3">
      <c r="E2339" s="173"/>
      <c r="F2339" s="173"/>
      <c r="I2339"/>
      <c r="J2339"/>
      <c r="K2339"/>
      <c r="L2339"/>
      <c r="M2339"/>
      <c r="N2339"/>
      <c r="O2339"/>
      <c r="P2339" s="225"/>
      <c r="Q2339" s="225"/>
      <c r="R2339"/>
      <c r="S2339"/>
      <c r="T2339"/>
      <c r="U2339"/>
      <c r="V2339"/>
      <c r="W2339"/>
      <c r="X2339"/>
    </row>
    <row r="2340" spans="5:24" x14ac:dyDescent="0.3">
      <c r="E2340" s="173"/>
      <c r="F2340" s="173"/>
      <c r="I2340"/>
      <c r="J2340"/>
      <c r="K2340"/>
      <c r="L2340"/>
      <c r="M2340"/>
      <c r="N2340"/>
      <c r="O2340"/>
      <c r="P2340" s="225"/>
      <c r="Q2340" s="225"/>
      <c r="R2340"/>
      <c r="S2340"/>
      <c r="T2340"/>
      <c r="U2340"/>
      <c r="V2340"/>
      <c r="W2340"/>
      <c r="X2340"/>
    </row>
    <row r="2341" spans="5:24" x14ac:dyDescent="0.3">
      <c r="E2341" s="173"/>
      <c r="F2341" s="173"/>
      <c r="I2341"/>
      <c r="J2341"/>
      <c r="K2341"/>
      <c r="L2341"/>
      <c r="M2341"/>
      <c r="N2341"/>
      <c r="O2341"/>
      <c r="P2341" s="225"/>
      <c r="Q2341" s="225"/>
      <c r="R2341"/>
      <c r="S2341"/>
      <c r="T2341"/>
      <c r="U2341"/>
      <c r="V2341"/>
      <c r="W2341"/>
      <c r="X2341"/>
    </row>
    <row r="2342" spans="5:24" x14ac:dyDescent="0.3">
      <c r="E2342" s="173"/>
      <c r="F2342" s="173"/>
      <c r="I2342"/>
      <c r="J2342"/>
      <c r="K2342"/>
      <c r="L2342"/>
      <c r="M2342"/>
      <c r="N2342"/>
      <c r="O2342"/>
      <c r="P2342" s="225"/>
      <c r="Q2342" s="225"/>
      <c r="R2342"/>
      <c r="S2342"/>
      <c r="T2342"/>
      <c r="U2342"/>
      <c r="V2342"/>
      <c r="W2342"/>
      <c r="X2342"/>
    </row>
    <row r="2343" spans="5:24" x14ac:dyDescent="0.3">
      <c r="E2343" s="173"/>
      <c r="F2343" s="173"/>
      <c r="I2343"/>
      <c r="J2343"/>
      <c r="K2343"/>
      <c r="L2343"/>
      <c r="M2343"/>
      <c r="N2343"/>
      <c r="O2343"/>
      <c r="P2343" s="225"/>
      <c r="Q2343" s="225"/>
      <c r="R2343"/>
      <c r="S2343"/>
      <c r="T2343"/>
      <c r="U2343"/>
      <c r="V2343"/>
      <c r="W2343"/>
      <c r="X2343"/>
    </row>
    <row r="2344" spans="5:24" x14ac:dyDescent="0.3">
      <c r="E2344" s="173"/>
      <c r="F2344" s="173"/>
      <c r="I2344"/>
      <c r="J2344"/>
      <c r="K2344"/>
      <c r="L2344"/>
      <c r="M2344"/>
      <c r="N2344"/>
      <c r="O2344"/>
      <c r="P2344" s="225"/>
      <c r="Q2344" s="225"/>
      <c r="R2344"/>
      <c r="S2344"/>
      <c r="T2344"/>
      <c r="U2344"/>
      <c r="V2344"/>
      <c r="W2344"/>
      <c r="X2344"/>
    </row>
    <row r="2345" spans="5:24" x14ac:dyDescent="0.3">
      <c r="E2345" s="173"/>
      <c r="F2345" s="173"/>
      <c r="I2345"/>
      <c r="J2345"/>
      <c r="K2345"/>
      <c r="L2345"/>
      <c r="M2345"/>
      <c r="N2345"/>
      <c r="O2345"/>
      <c r="P2345" s="225"/>
      <c r="Q2345" s="225"/>
      <c r="R2345"/>
      <c r="S2345"/>
      <c r="T2345"/>
      <c r="U2345"/>
      <c r="V2345"/>
      <c r="W2345"/>
      <c r="X2345"/>
    </row>
    <row r="2346" spans="5:24" x14ac:dyDescent="0.3">
      <c r="E2346" s="173"/>
      <c r="F2346" s="173"/>
      <c r="I2346"/>
      <c r="J2346"/>
      <c r="K2346"/>
      <c r="L2346"/>
      <c r="M2346"/>
      <c r="N2346"/>
      <c r="O2346"/>
      <c r="P2346" s="225"/>
      <c r="Q2346" s="225"/>
      <c r="R2346"/>
      <c r="S2346"/>
      <c r="T2346"/>
      <c r="U2346"/>
      <c r="V2346"/>
      <c r="W2346"/>
      <c r="X2346"/>
    </row>
    <row r="2347" spans="5:24" x14ac:dyDescent="0.3">
      <c r="E2347" s="173"/>
      <c r="F2347" s="173"/>
      <c r="I2347"/>
      <c r="J2347"/>
      <c r="K2347"/>
      <c r="L2347"/>
      <c r="M2347"/>
      <c r="N2347"/>
      <c r="O2347"/>
      <c r="P2347" s="225"/>
      <c r="Q2347" s="225"/>
      <c r="R2347"/>
      <c r="S2347"/>
      <c r="T2347"/>
      <c r="U2347"/>
      <c r="V2347"/>
      <c r="W2347"/>
      <c r="X2347"/>
    </row>
    <row r="2348" spans="5:24" x14ac:dyDescent="0.3">
      <c r="E2348" s="173"/>
      <c r="F2348" s="173"/>
      <c r="I2348"/>
      <c r="J2348"/>
      <c r="K2348"/>
      <c r="L2348"/>
      <c r="M2348"/>
      <c r="N2348"/>
      <c r="O2348"/>
      <c r="P2348" s="225"/>
      <c r="Q2348" s="225"/>
      <c r="R2348"/>
      <c r="S2348"/>
      <c r="T2348"/>
      <c r="U2348"/>
      <c r="V2348"/>
      <c r="W2348"/>
      <c r="X2348"/>
    </row>
    <row r="2349" spans="5:24" x14ac:dyDescent="0.3">
      <c r="E2349" s="173"/>
      <c r="F2349" s="173"/>
      <c r="I2349"/>
      <c r="J2349"/>
      <c r="K2349"/>
      <c r="L2349"/>
      <c r="M2349"/>
      <c r="N2349"/>
      <c r="O2349"/>
      <c r="P2349" s="225"/>
      <c r="Q2349" s="225"/>
      <c r="R2349"/>
      <c r="S2349"/>
      <c r="T2349"/>
      <c r="U2349"/>
      <c r="V2349"/>
      <c r="W2349"/>
      <c r="X2349"/>
    </row>
    <row r="2350" spans="5:24" x14ac:dyDescent="0.3">
      <c r="E2350" s="173"/>
      <c r="F2350" s="173"/>
      <c r="I2350"/>
      <c r="J2350"/>
      <c r="K2350"/>
      <c r="L2350"/>
      <c r="M2350"/>
      <c r="N2350"/>
      <c r="O2350"/>
      <c r="P2350" s="225"/>
      <c r="Q2350" s="225"/>
      <c r="R2350"/>
      <c r="S2350"/>
      <c r="T2350"/>
      <c r="U2350"/>
      <c r="V2350"/>
      <c r="W2350"/>
      <c r="X2350"/>
    </row>
    <row r="2351" spans="5:24" x14ac:dyDescent="0.3">
      <c r="E2351" s="173"/>
      <c r="F2351" s="173"/>
      <c r="I2351"/>
      <c r="J2351"/>
      <c r="K2351"/>
      <c r="L2351"/>
      <c r="M2351"/>
      <c r="N2351"/>
      <c r="O2351"/>
      <c r="P2351" s="225"/>
      <c r="Q2351" s="225"/>
      <c r="R2351"/>
      <c r="S2351"/>
      <c r="T2351"/>
      <c r="U2351"/>
      <c r="V2351"/>
      <c r="W2351"/>
      <c r="X2351"/>
    </row>
    <row r="2352" spans="5:24" x14ac:dyDescent="0.3">
      <c r="E2352" s="173"/>
      <c r="F2352" s="173"/>
      <c r="I2352"/>
      <c r="J2352"/>
      <c r="K2352"/>
      <c r="L2352"/>
      <c r="M2352"/>
      <c r="N2352"/>
      <c r="O2352"/>
      <c r="P2352" s="225"/>
      <c r="Q2352" s="225"/>
      <c r="R2352"/>
      <c r="S2352"/>
      <c r="T2352"/>
      <c r="U2352"/>
      <c r="V2352"/>
      <c r="W2352"/>
      <c r="X2352"/>
    </row>
    <row r="2353" spans="5:24" x14ac:dyDescent="0.3">
      <c r="E2353" s="173"/>
      <c r="F2353" s="173"/>
      <c r="I2353"/>
      <c r="J2353"/>
      <c r="K2353"/>
      <c r="L2353"/>
      <c r="M2353"/>
      <c r="N2353"/>
      <c r="O2353"/>
      <c r="P2353" s="225"/>
      <c r="Q2353" s="225"/>
      <c r="R2353"/>
      <c r="S2353"/>
      <c r="T2353"/>
      <c r="U2353"/>
      <c r="V2353"/>
      <c r="W2353"/>
      <c r="X2353"/>
    </row>
    <row r="2354" spans="5:24" x14ac:dyDescent="0.3">
      <c r="E2354" s="173"/>
      <c r="F2354" s="173"/>
      <c r="I2354"/>
      <c r="J2354"/>
      <c r="K2354"/>
      <c r="L2354"/>
      <c r="M2354"/>
      <c r="N2354"/>
      <c r="O2354"/>
      <c r="P2354" s="225"/>
      <c r="Q2354" s="225"/>
      <c r="R2354"/>
      <c r="S2354"/>
      <c r="T2354"/>
      <c r="U2354"/>
      <c r="V2354"/>
      <c r="W2354"/>
      <c r="X2354"/>
    </row>
    <row r="2355" spans="5:24" x14ac:dyDescent="0.3">
      <c r="E2355" s="173"/>
      <c r="F2355" s="173"/>
      <c r="I2355"/>
      <c r="J2355"/>
      <c r="K2355"/>
      <c r="L2355"/>
      <c r="M2355"/>
      <c r="N2355"/>
      <c r="O2355"/>
      <c r="P2355" s="225"/>
      <c r="Q2355" s="225"/>
      <c r="R2355"/>
      <c r="S2355"/>
      <c r="T2355"/>
      <c r="U2355"/>
      <c r="V2355"/>
      <c r="W2355"/>
      <c r="X2355"/>
    </row>
    <row r="2356" spans="5:24" x14ac:dyDescent="0.3">
      <c r="E2356" s="173"/>
      <c r="F2356" s="173"/>
      <c r="I2356"/>
      <c r="J2356"/>
      <c r="K2356"/>
      <c r="L2356"/>
      <c r="M2356"/>
      <c r="N2356"/>
      <c r="O2356"/>
      <c r="P2356" s="225"/>
      <c r="Q2356" s="225"/>
      <c r="R2356"/>
      <c r="S2356"/>
      <c r="T2356"/>
      <c r="U2356"/>
      <c r="V2356"/>
      <c r="W2356"/>
      <c r="X2356"/>
    </row>
    <row r="2357" spans="5:24" x14ac:dyDescent="0.3">
      <c r="E2357" s="173"/>
      <c r="F2357" s="173"/>
      <c r="I2357"/>
      <c r="J2357"/>
      <c r="K2357"/>
      <c r="L2357"/>
      <c r="M2357"/>
      <c r="N2357"/>
      <c r="O2357"/>
      <c r="P2357" s="225"/>
      <c r="Q2357" s="225"/>
      <c r="R2357"/>
      <c r="S2357"/>
      <c r="T2357"/>
      <c r="U2357"/>
      <c r="V2357"/>
      <c r="W2357"/>
      <c r="X2357"/>
    </row>
    <row r="2358" spans="5:24" x14ac:dyDescent="0.3">
      <c r="E2358" s="173"/>
      <c r="F2358" s="173"/>
      <c r="I2358"/>
      <c r="J2358"/>
      <c r="K2358"/>
      <c r="L2358"/>
      <c r="M2358"/>
      <c r="N2358"/>
      <c r="O2358"/>
      <c r="P2358" s="225"/>
      <c r="Q2358" s="225"/>
      <c r="R2358"/>
      <c r="S2358"/>
      <c r="T2358"/>
      <c r="U2358"/>
      <c r="V2358"/>
      <c r="W2358"/>
      <c r="X2358"/>
    </row>
    <row r="2359" spans="5:24" x14ac:dyDescent="0.3">
      <c r="E2359" s="173"/>
      <c r="F2359" s="173"/>
      <c r="I2359"/>
      <c r="J2359"/>
      <c r="K2359"/>
      <c r="L2359"/>
      <c r="M2359"/>
      <c r="N2359"/>
      <c r="O2359"/>
      <c r="P2359" s="225"/>
      <c r="Q2359" s="225"/>
      <c r="R2359"/>
      <c r="S2359"/>
      <c r="T2359"/>
      <c r="U2359"/>
      <c r="V2359"/>
      <c r="W2359"/>
      <c r="X2359"/>
    </row>
    <row r="2360" spans="5:24" x14ac:dyDescent="0.3">
      <c r="E2360" s="173"/>
      <c r="F2360" s="173"/>
      <c r="I2360"/>
      <c r="J2360"/>
      <c r="K2360"/>
      <c r="L2360"/>
      <c r="M2360"/>
      <c r="N2360"/>
      <c r="O2360"/>
      <c r="P2360" s="225"/>
      <c r="Q2360" s="225"/>
      <c r="R2360"/>
      <c r="S2360"/>
      <c r="T2360"/>
      <c r="U2360"/>
      <c r="V2360"/>
      <c r="W2360"/>
      <c r="X2360"/>
    </row>
    <row r="2361" spans="5:24" x14ac:dyDescent="0.3">
      <c r="E2361" s="173"/>
      <c r="F2361" s="173"/>
      <c r="I2361"/>
      <c r="J2361"/>
      <c r="K2361"/>
      <c r="L2361"/>
      <c r="M2361"/>
      <c r="N2361"/>
      <c r="O2361"/>
      <c r="P2361" s="225"/>
      <c r="Q2361" s="225"/>
      <c r="R2361"/>
      <c r="S2361"/>
      <c r="T2361"/>
      <c r="U2361"/>
      <c r="V2361"/>
      <c r="W2361"/>
      <c r="X2361"/>
    </row>
    <row r="2362" spans="5:24" x14ac:dyDescent="0.3">
      <c r="E2362" s="173"/>
      <c r="F2362" s="173"/>
      <c r="I2362"/>
      <c r="J2362"/>
      <c r="K2362"/>
      <c r="L2362"/>
      <c r="M2362"/>
      <c r="N2362"/>
      <c r="O2362"/>
      <c r="P2362" s="225"/>
      <c r="Q2362" s="225"/>
      <c r="R2362"/>
      <c r="S2362"/>
      <c r="T2362"/>
      <c r="U2362"/>
      <c r="V2362"/>
      <c r="W2362"/>
      <c r="X2362"/>
    </row>
    <row r="2363" spans="5:24" x14ac:dyDescent="0.3">
      <c r="E2363" s="173"/>
      <c r="F2363" s="173"/>
      <c r="I2363"/>
      <c r="J2363"/>
      <c r="K2363"/>
      <c r="L2363"/>
      <c r="M2363"/>
      <c r="N2363"/>
      <c r="O2363"/>
      <c r="P2363" s="225"/>
      <c r="Q2363" s="225"/>
      <c r="R2363"/>
      <c r="S2363"/>
      <c r="T2363"/>
      <c r="U2363"/>
      <c r="V2363"/>
      <c r="W2363"/>
      <c r="X2363"/>
    </row>
    <row r="2364" spans="5:24" x14ac:dyDescent="0.3">
      <c r="E2364" s="173"/>
      <c r="F2364" s="173"/>
      <c r="I2364"/>
      <c r="J2364"/>
      <c r="K2364"/>
      <c r="L2364"/>
      <c r="M2364"/>
      <c r="N2364"/>
      <c r="O2364"/>
      <c r="P2364" s="225"/>
      <c r="Q2364" s="225"/>
      <c r="R2364"/>
      <c r="S2364"/>
      <c r="T2364"/>
      <c r="U2364"/>
      <c r="V2364"/>
      <c r="W2364"/>
      <c r="X2364"/>
    </row>
    <row r="2365" spans="5:24" x14ac:dyDescent="0.3">
      <c r="E2365" s="173"/>
      <c r="F2365" s="173"/>
      <c r="I2365"/>
      <c r="J2365"/>
      <c r="K2365"/>
      <c r="L2365"/>
      <c r="M2365"/>
      <c r="N2365"/>
      <c r="O2365"/>
      <c r="P2365" s="225"/>
      <c r="Q2365" s="225"/>
      <c r="R2365"/>
      <c r="S2365"/>
      <c r="T2365"/>
      <c r="U2365"/>
      <c r="V2365"/>
      <c r="W2365"/>
      <c r="X2365"/>
    </row>
    <row r="2366" spans="5:24" x14ac:dyDescent="0.3">
      <c r="E2366" s="173"/>
      <c r="F2366" s="173"/>
      <c r="I2366"/>
      <c r="J2366"/>
      <c r="K2366"/>
      <c r="L2366"/>
      <c r="M2366"/>
      <c r="N2366"/>
      <c r="O2366"/>
      <c r="P2366" s="225"/>
      <c r="Q2366" s="225"/>
      <c r="R2366"/>
      <c r="S2366"/>
      <c r="T2366"/>
      <c r="U2366"/>
      <c r="V2366"/>
      <c r="W2366"/>
      <c r="X2366"/>
    </row>
    <row r="2367" spans="5:24" x14ac:dyDescent="0.3">
      <c r="E2367" s="173"/>
      <c r="F2367" s="173"/>
      <c r="I2367"/>
      <c r="J2367"/>
      <c r="K2367"/>
      <c r="L2367"/>
      <c r="M2367"/>
      <c r="N2367"/>
      <c r="O2367"/>
      <c r="P2367" s="225"/>
      <c r="Q2367" s="225"/>
      <c r="R2367"/>
      <c r="S2367"/>
      <c r="T2367"/>
      <c r="U2367"/>
      <c r="V2367"/>
      <c r="W2367"/>
      <c r="X2367"/>
    </row>
    <row r="2368" spans="5:24" x14ac:dyDescent="0.3">
      <c r="E2368" s="173"/>
      <c r="F2368" s="173"/>
      <c r="I2368"/>
      <c r="J2368"/>
      <c r="K2368"/>
      <c r="L2368"/>
      <c r="M2368"/>
      <c r="N2368"/>
      <c r="O2368"/>
      <c r="P2368" s="225"/>
      <c r="Q2368" s="225"/>
      <c r="R2368"/>
      <c r="S2368"/>
      <c r="T2368"/>
      <c r="U2368"/>
      <c r="V2368"/>
      <c r="W2368"/>
      <c r="X2368"/>
    </row>
    <row r="2369" spans="5:24" x14ac:dyDescent="0.3">
      <c r="E2369" s="173"/>
      <c r="F2369" s="173"/>
      <c r="I2369"/>
      <c r="J2369"/>
      <c r="K2369"/>
      <c r="L2369"/>
      <c r="M2369"/>
      <c r="N2369"/>
      <c r="O2369"/>
      <c r="P2369" s="225"/>
      <c r="Q2369" s="225"/>
      <c r="R2369"/>
      <c r="S2369"/>
      <c r="T2369"/>
      <c r="U2369"/>
      <c r="V2369"/>
      <c r="W2369"/>
      <c r="X2369"/>
    </row>
    <row r="2370" spans="5:24" x14ac:dyDescent="0.3">
      <c r="E2370" s="173"/>
      <c r="F2370" s="173"/>
      <c r="I2370"/>
      <c r="J2370"/>
      <c r="K2370"/>
      <c r="L2370"/>
      <c r="M2370"/>
      <c r="N2370"/>
      <c r="O2370"/>
      <c r="P2370" s="225"/>
      <c r="Q2370" s="225"/>
      <c r="R2370"/>
      <c r="S2370"/>
      <c r="T2370"/>
      <c r="U2370"/>
      <c r="V2370"/>
      <c r="W2370"/>
      <c r="X2370"/>
    </row>
    <row r="2371" spans="5:24" x14ac:dyDescent="0.3">
      <c r="E2371" s="173"/>
      <c r="F2371" s="173"/>
      <c r="I2371"/>
      <c r="J2371"/>
      <c r="K2371"/>
      <c r="L2371"/>
      <c r="M2371"/>
      <c r="N2371"/>
      <c r="O2371"/>
      <c r="P2371" s="225"/>
      <c r="Q2371" s="225"/>
      <c r="R2371"/>
      <c r="S2371"/>
      <c r="T2371"/>
      <c r="U2371"/>
      <c r="V2371"/>
      <c r="W2371"/>
      <c r="X2371"/>
    </row>
    <row r="2372" spans="5:24" x14ac:dyDescent="0.3">
      <c r="E2372" s="173"/>
      <c r="F2372" s="173"/>
      <c r="I2372"/>
      <c r="J2372"/>
      <c r="K2372"/>
      <c r="L2372"/>
      <c r="M2372"/>
      <c r="N2372"/>
      <c r="O2372"/>
      <c r="P2372" s="225"/>
      <c r="Q2372" s="225"/>
      <c r="R2372"/>
      <c r="S2372"/>
      <c r="T2372"/>
      <c r="U2372"/>
      <c r="V2372"/>
      <c r="W2372"/>
      <c r="X2372"/>
    </row>
    <row r="2373" spans="5:24" x14ac:dyDescent="0.3">
      <c r="E2373" s="173"/>
      <c r="F2373" s="173"/>
      <c r="I2373"/>
      <c r="J2373"/>
      <c r="K2373"/>
      <c r="L2373"/>
      <c r="M2373"/>
      <c r="N2373"/>
      <c r="O2373"/>
      <c r="P2373" s="225"/>
      <c r="Q2373" s="225"/>
      <c r="R2373"/>
      <c r="S2373"/>
      <c r="T2373"/>
      <c r="U2373"/>
      <c r="V2373"/>
      <c r="W2373"/>
      <c r="X2373"/>
    </row>
    <row r="2374" spans="5:24" x14ac:dyDescent="0.3">
      <c r="E2374" s="173"/>
      <c r="F2374" s="173"/>
      <c r="I2374"/>
      <c r="J2374"/>
      <c r="K2374"/>
      <c r="L2374"/>
      <c r="M2374"/>
      <c r="N2374"/>
      <c r="O2374"/>
      <c r="P2374" s="225"/>
      <c r="Q2374" s="225"/>
      <c r="R2374"/>
      <c r="S2374"/>
      <c r="T2374"/>
      <c r="U2374"/>
      <c r="V2374"/>
      <c r="W2374"/>
      <c r="X2374"/>
    </row>
    <row r="2375" spans="5:24" x14ac:dyDescent="0.3">
      <c r="E2375" s="173"/>
      <c r="F2375" s="173"/>
      <c r="I2375"/>
      <c r="J2375"/>
      <c r="K2375"/>
      <c r="L2375"/>
      <c r="M2375"/>
      <c r="N2375"/>
      <c r="O2375"/>
      <c r="P2375" s="225"/>
      <c r="Q2375" s="225"/>
      <c r="R2375"/>
      <c r="S2375"/>
      <c r="T2375"/>
      <c r="U2375"/>
      <c r="V2375"/>
      <c r="W2375"/>
      <c r="X2375"/>
    </row>
    <row r="2376" spans="5:24" x14ac:dyDescent="0.3">
      <c r="E2376" s="173"/>
      <c r="F2376" s="173"/>
      <c r="I2376"/>
      <c r="J2376"/>
      <c r="K2376"/>
      <c r="L2376"/>
      <c r="M2376"/>
      <c r="N2376"/>
      <c r="O2376"/>
      <c r="P2376" s="225"/>
      <c r="Q2376" s="225"/>
      <c r="R2376"/>
      <c r="S2376"/>
      <c r="T2376"/>
      <c r="U2376"/>
      <c r="V2376"/>
      <c r="W2376"/>
      <c r="X2376"/>
    </row>
    <row r="2377" spans="5:24" x14ac:dyDescent="0.3">
      <c r="E2377" s="173"/>
      <c r="F2377" s="173"/>
      <c r="I2377"/>
      <c r="J2377"/>
      <c r="K2377"/>
      <c r="L2377"/>
      <c r="M2377"/>
      <c r="N2377"/>
      <c r="O2377"/>
      <c r="P2377" s="225"/>
      <c r="Q2377" s="225"/>
      <c r="R2377"/>
      <c r="S2377"/>
      <c r="T2377"/>
      <c r="U2377"/>
      <c r="V2377"/>
      <c r="W2377"/>
      <c r="X2377"/>
    </row>
    <row r="2378" spans="5:24" x14ac:dyDescent="0.3">
      <c r="E2378" s="173"/>
      <c r="F2378" s="173"/>
      <c r="I2378"/>
      <c r="J2378"/>
      <c r="K2378"/>
      <c r="L2378"/>
      <c r="M2378"/>
      <c r="N2378"/>
      <c r="O2378"/>
      <c r="P2378" s="225"/>
      <c r="Q2378" s="225"/>
      <c r="R2378"/>
      <c r="S2378"/>
      <c r="T2378"/>
      <c r="U2378"/>
      <c r="V2378"/>
      <c r="W2378"/>
      <c r="X2378"/>
    </row>
    <row r="2379" spans="5:24" x14ac:dyDescent="0.3">
      <c r="E2379" s="173"/>
      <c r="F2379" s="173"/>
      <c r="I2379"/>
      <c r="J2379"/>
      <c r="K2379"/>
      <c r="L2379"/>
      <c r="M2379"/>
      <c r="N2379"/>
      <c r="O2379"/>
      <c r="P2379" s="225"/>
      <c r="Q2379" s="225"/>
      <c r="R2379"/>
      <c r="S2379"/>
      <c r="T2379"/>
      <c r="U2379"/>
      <c r="V2379"/>
      <c r="W2379"/>
      <c r="X2379"/>
    </row>
    <row r="2380" spans="5:24" x14ac:dyDescent="0.3">
      <c r="E2380" s="173"/>
      <c r="F2380" s="173"/>
      <c r="I2380"/>
      <c r="J2380"/>
      <c r="K2380"/>
      <c r="L2380"/>
      <c r="M2380"/>
      <c r="N2380"/>
      <c r="O2380"/>
      <c r="P2380" s="225"/>
      <c r="Q2380" s="225"/>
      <c r="R2380"/>
      <c r="S2380"/>
      <c r="T2380"/>
      <c r="U2380"/>
      <c r="V2380"/>
      <c r="W2380"/>
      <c r="X2380"/>
    </row>
    <row r="2381" spans="5:24" x14ac:dyDescent="0.3">
      <c r="E2381" s="173"/>
      <c r="F2381" s="173"/>
      <c r="I2381"/>
      <c r="J2381"/>
      <c r="K2381"/>
      <c r="L2381"/>
      <c r="M2381"/>
      <c r="N2381"/>
      <c r="O2381"/>
      <c r="P2381" s="225"/>
      <c r="Q2381" s="225"/>
      <c r="R2381"/>
      <c r="S2381"/>
      <c r="T2381"/>
      <c r="U2381"/>
      <c r="V2381"/>
      <c r="W2381"/>
      <c r="X2381"/>
    </row>
    <row r="2382" spans="5:24" x14ac:dyDescent="0.3">
      <c r="E2382" s="173"/>
      <c r="F2382" s="173"/>
      <c r="I2382"/>
      <c r="J2382"/>
      <c r="K2382"/>
      <c r="L2382"/>
      <c r="M2382"/>
      <c r="N2382"/>
      <c r="O2382"/>
      <c r="P2382" s="225"/>
      <c r="Q2382" s="225"/>
      <c r="R2382"/>
      <c r="S2382"/>
      <c r="T2382"/>
      <c r="U2382"/>
      <c r="V2382"/>
      <c r="W2382"/>
      <c r="X2382"/>
    </row>
    <row r="2383" spans="5:24" x14ac:dyDescent="0.3">
      <c r="E2383" s="173"/>
      <c r="F2383" s="173"/>
      <c r="I2383"/>
      <c r="J2383"/>
      <c r="K2383"/>
      <c r="L2383"/>
      <c r="M2383"/>
      <c r="N2383"/>
      <c r="O2383"/>
      <c r="P2383" s="225"/>
      <c r="Q2383" s="225"/>
      <c r="R2383"/>
      <c r="S2383"/>
      <c r="T2383"/>
      <c r="U2383"/>
      <c r="V2383"/>
      <c r="W2383"/>
      <c r="X2383"/>
    </row>
    <row r="2384" spans="5:24" x14ac:dyDescent="0.3">
      <c r="E2384" s="173"/>
      <c r="F2384" s="173"/>
      <c r="I2384"/>
      <c r="J2384"/>
      <c r="K2384"/>
      <c r="L2384"/>
      <c r="M2384"/>
      <c r="N2384"/>
      <c r="O2384"/>
      <c r="P2384" s="225"/>
      <c r="Q2384" s="225"/>
      <c r="R2384"/>
      <c r="S2384"/>
      <c r="T2384"/>
      <c r="U2384"/>
      <c r="V2384"/>
      <c r="W2384"/>
      <c r="X2384"/>
    </row>
    <row r="2385" spans="5:24" x14ac:dyDescent="0.3">
      <c r="E2385" s="173"/>
      <c r="F2385" s="173"/>
      <c r="I2385"/>
      <c r="J2385"/>
      <c r="K2385"/>
      <c r="L2385"/>
      <c r="M2385"/>
      <c r="N2385"/>
      <c r="O2385"/>
      <c r="P2385" s="225"/>
      <c r="Q2385" s="225"/>
      <c r="R2385"/>
      <c r="S2385"/>
      <c r="T2385"/>
      <c r="U2385"/>
      <c r="V2385"/>
      <c r="W2385"/>
      <c r="X2385"/>
    </row>
    <row r="2386" spans="5:24" x14ac:dyDescent="0.3">
      <c r="E2386" s="173"/>
      <c r="F2386" s="173"/>
      <c r="I2386"/>
      <c r="J2386"/>
      <c r="K2386"/>
      <c r="L2386"/>
      <c r="M2386"/>
      <c r="N2386"/>
      <c r="O2386"/>
      <c r="P2386" s="225"/>
      <c r="Q2386" s="225"/>
      <c r="R2386"/>
      <c r="S2386"/>
      <c r="T2386"/>
      <c r="U2386"/>
      <c r="V2386"/>
      <c r="W2386"/>
      <c r="X2386"/>
    </row>
    <row r="2387" spans="5:24" x14ac:dyDescent="0.3">
      <c r="E2387" s="173"/>
      <c r="F2387" s="173"/>
      <c r="I2387"/>
      <c r="J2387"/>
      <c r="K2387"/>
      <c r="L2387"/>
      <c r="M2387"/>
      <c r="N2387"/>
      <c r="O2387"/>
      <c r="P2387" s="225"/>
      <c r="Q2387" s="225"/>
      <c r="R2387"/>
      <c r="S2387"/>
      <c r="T2387"/>
      <c r="U2387"/>
      <c r="V2387"/>
      <c r="W2387"/>
      <c r="X2387"/>
    </row>
    <row r="2388" spans="5:24" x14ac:dyDescent="0.3">
      <c r="E2388" s="173"/>
      <c r="F2388" s="173"/>
      <c r="I2388"/>
      <c r="J2388"/>
      <c r="K2388"/>
      <c r="L2388"/>
      <c r="M2388"/>
      <c r="N2388"/>
      <c r="O2388"/>
      <c r="P2388" s="225"/>
      <c r="Q2388" s="225"/>
      <c r="R2388"/>
      <c r="S2388"/>
      <c r="T2388"/>
      <c r="U2388"/>
      <c r="V2388"/>
      <c r="W2388"/>
      <c r="X2388"/>
    </row>
    <row r="2389" spans="5:24" x14ac:dyDescent="0.3">
      <c r="E2389" s="173"/>
      <c r="F2389" s="173"/>
      <c r="I2389"/>
      <c r="J2389"/>
      <c r="K2389"/>
      <c r="L2389"/>
      <c r="M2389"/>
      <c r="N2389"/>
      <c r="O2389"/>
      <c r="P2389" s="225"/>
      <c r="Q2389" s="225"/>
      <c r="R2389"/>
      <c r="S2389"/>
      <c r="T2389"/>
      <c r="U2389"/>
      <c r="V2389"/>
      <c r="W2389"/>
      <c r="X2389"/>
    </row>
    <row r="2390" spans="5:24" x14ac:dyDescent="0.3">
      <c r="E2390" s="173"/>
      <c r="F2390" s="173"/>
      <c r="I2390"/>
      <c r="J2390"/>
      <c r="K2390"/>
      <c r="L2390"/>
      <c r="M2390"/>
      <c r="N2390"/>
      <c r="O2390"/>
      <c r="P2390" s="225"/>
      <c r="Q2390" s="225"/>
      <c r="R2390"/>
      <c r="S2390"/>
      <c r="T2390"/>
      <c r="U2390"/>
      <c r="V2390"/>
      <c r="W2390"/>
      <c r="X2390"/>
    </row>
    <row r="2391" spans="5:24" x14ac:dyDescent="0.3">
      <c r="E2391" s="173"/>
      <c r="F2391" s="173"/>
      <c r="I2391"/>
      <c r="J2391"/>
      <c r="K2391"/>
      <c r="L2391"/>
      <c r="M2391"/>
      <c r="N2391"/>
      <c r="O2391"/>
      <c r="P2391" s="225"/>
      <c r="Q2391" s="225"/>
      <c r="R2391"/>
      <c r="S2391"/>
      <c r="T2391"/>
      <c r="U2391"/>
      <c r="V2391"/>
      <c r="W2391"/>
      <c r="X2391"/>
    </row>
    <row r="2392" spans="5:24" x14ac:dyDescent="0.3">
      <c r="E2392" s="173"/>
      <c r="F2392" s="173"/>
      <c r="I2392"/>
      <c r="J2392"/>
      <c r="K2392"/>
      <c r="L2392"/>
      <c r="M2392"/>
      <c r="N2392"/>
      <c r="O2392"/>
      <c r="P2392" s="225"/>
      <c r="Q2392" s="225"/>
      <c r="R2392"/>
      <c r="S2392"/>
      <c r="T2392"/>
      <c r="U2392"/>
      <c r="V2392"/>
      <c r="W2392"/>
      <c r="X2392"/>
    </row>
    <row r="2393" spans="5:24" x14ac:dyDescent="0.3">
      <c r="E2393" s="173"/>
      <c r="F2393" s="173"/>
      <c r="I2393"/>
      <c r="J2393"/>
      <c r="K2393"/>
      <c r="L2393"/>
      <c r="M2393"/>
      <c r="N2393"/>
      <c r="O2393"/>
      <c r="P2393" s="225"/>
      <c r="Q2393" s="225"/>
      <c r="R2393"/>
      <c r="S2393"/>
      <c r="T2393"/>
      <c r="U2393"/>
      <c r="V2393"/>
      <c r="W2393"/>
      <c r="X2393"/>
    </row>
    <row r="2394" spans="5:24" x14ac:dyDescent="0.3">
      <c r="E2394" s="173"/>
      <c r="F2394" s="173"/>
      <c r="I2394"/>
      <c r="J2394"/>
      <c r="K2394"/>
      <c r="L2394"/>
      <c r="M2394"/>
      <c r="N2394"/>
      <c r="O2394"/>
      <c r="P2394" s="225"/>
      <c r="Q2394" s="225"/>
      <c r="R2394"/>
      <c r="S2394"/>
      <c r="T2394"/>
      <c r="U2394"/>
      <c r="V2394"/>
      <c r="W2394"/>
      <c r="X2394"/>
    </row>
    <row r="2395" spans="5:24" x14ac:dyDescent="0.3">
      <c r="E2395" s="173"/>
      <c r="F2395" s="173"/>
      <c r="I2395"/>
      <c r="J2395"/>
      <c r="K2395"/>
      <c r="L2395"/>
      <c r="M2395"/>
      <c r="N2395"/>
      <c r="O2395"/>
      <c r="P2395" s="225"/>
      <c r="Q2395" s="225"/>
      <c r="R2395"/>
      <c r="S2395"/>
      <c r="T2395"/>
      <c r="U2395"/>
      <c r="V2395"/>
      <c r="W2395"/>
      <c r="X2395"/>
    </row>
    <row r="2396" spans="5:24" x14ac:dyDescent="0.3">
      <c r="E2396" s="173"/>
      <c r="F2396" s="173"/>
      <c r="I2396"/>
      <c r="J2396"/>
      <c r="K2396"/>
      <c r="L2396"/>
      <c r="M2396"/>
      <c r="N2396"/>
      <c r="O2396"/>
      <c r="P2396" s="225"/>
      <c r="Q2396" s="225"/>
      <c r="R2396"/>
      <c r="S2396"/>
      <c r="T2396"/>
      <c r="U2396"/>
      <c r="V2396"/>
      <c r="W2396"/>
      <c r="X2396"/>
    </row>
    <row r="2397" spans="5:24" x14ac:dyDescent="0.3">
      <c r="E2397" s="173"/>
      <c r="F2397" s="173"/>
      <c r="I2397"/>
      <c r="J2397"/>
      <c r="K2397"/>
      <c r="L2397"/>
      <c r="M2397"/>
      <c r="N2397"/>
      <c r="O2397"/>
      <c r="P2397" s="225"/>
      <c r="Q2397" s="225"/>
      <c r="R2397"/>
      <c r="S2397"/>
      <c r="T2397"/>
      <c r="U2397"/>
      <c r="V2397"/>
      <c r="W2397"/>
      <c r="X2397"/>
    </row>
    <row r="2398" spans="5:24" x14ac:dyDescent="0.3">
      <c r="E2398" s="173"/>
      <c r="F2398" s="173"/>
      <c r="I2398"/>
      <c r="J2398"/>
      <c r="K2398"/>
      <c r="L2398"/>
      <c r="M2398"/>
      <c r="N2398"/>
      <c r="O2398"/>
      <c r="P2398" s="225"/>
      <c r="Q2398" s="225"/>
      <c r="R2398"/>
      <c r="S2398"/>
      <c r="T2398"/>
      <c r="U2398"/>
      <c r="V2398"/>
      <c r="W2398"/>
      <c r="X2398"/>
    </row>
    <row r="2399" spans="5:24" x14ac:dyDescent="0.3">
      <c r="E2399" s="173"/>
      <c r="F2399" s="173"/>
      <c r="I2399"/>
      <c r="J2399"/>
      <c r="K2399"/>
      <c r="L2399"/>
      <c r="M2399"/>
      <c r="N2399"/>
      <c r="O2399"/>
      <c r="P2399" s="225"/>
      <c r="Q2399" s="225"/>
      <c r="R2399"/>
      <c r="S2399"/>
      <c r="T2399"/>
      <c r="U2399"/>
      <c r="V2399"/>
      <c r="W2399"/>
      <c r="X2399"/>
    </row>
    <row r="2400" spans="5:24" x14ac:dyDescent="0.3">
      <c r="E2400" s="173"/>
      <c r="F2400" s="173"/>
      <c r="I2400"/>
      <c r="J2400"/>
      <c r="K2400"/>
      <c r="L2400"/>
      <c r="M2400"/>
      <c r="N2400"/>
      <c r="O2400"/>
      <c r="P2400" s="225"/>
      <c r="Q2400" s="225"/>
      <c r="R2400"/>
      <c r="S2400"/>
      <c r="T2400"/>
      <c r="U2400"/>
      <c r="V2400"/>
      <c r="W2400"/>
      <c r="X2400"/>
    </row>
    <row r="2401" spans="5:24" x14ac:dyDescent="0.3">
      <c r="E2401" s="173"/>
      <c r="F2401" s="173"/>
      <c r="I2401"/>
      <c r="J2401"/>
      <c r="K2401"/>
      <c r="L2401"/>
      <c r="M2401"/>
      <c r="N2401"/>
      <c r="O2401"/>
      <c r="P2401" s="225"/>
      <c r="Q2401" s="225"/>
      <c r="R2401"/>
      <c r="S2401"/>
      <c r="T2401"/>
      <c r="U2401"/>
      <c r="V2401"/>
      <c r="W2401"/>
      <c r="X2401"/>
    </row>
    <row r="2402" spans="5:24" x14ac:dyDescent="0.3">
      <c r="E2402" s="173"/>
      <c r="F2402" s="173"/>
      <c r="I2402"/>
      <c r="J2402"/>
      <c r="K2402"/>
      <c r="L2402"/>
      <c r="M2402"/>
      <c r="N2402"/>
      <c r="O2402"/>
      <c r="P2402" s="225"/>
      <c r="Q2402" s="225"/>
      <c r="R2402"/>
      <c r="S2402"/>
      <c r="T2402"/>
      <c r="U2402"/>
      <c r="V2402"/>
      <c r="W2402"/>
      <c r="X2402"/>
    </row>
    <row r="2403" spans="5:24" x14ac:dyDescent="0.3">
      <c r="E2403" s="173"/>
      <c r="F2403" s="173"/>
      <c r="I2403"/>
      <c r="J2403"/>
      <c r="K2403"/>
      <c r="L2403"/>
      <c r="M2403"/>
      <c r="N2403"/>
      <c r="O2403"/>
      <c r="P2403" s="225"/>
      <c r="Q2403" s="225"/>
      <c r="R2403"/>
      <c r="S2403"/>
      <c r="T2403"/>
      <c r="U2403"/>
      <c r="V2403"/>
      <c r="W2403"/>
      <c r="X2403"/>
    </row>
    <row r="2404" spans="5:24" x14ac:dyDescent="0.3">
      <c r="E2404" s="173"/>
      <c r="F2404" s="173"/>
      <c r="I2404"/>
      <c r="J2404"/>
      <c r="K2404"/>
      <c r="L2404"/>
      <c r="M2404"/>
      <c r="N2404"/>
      <c r="O2404"/>
      <c r="P2404" s="225"/>
      <c r="Q2404" s="225"/>
      <c r="R2404"/>
      <c r="S2404"/>
      <c r="T2404"/>
      <c r="U2404"/>
      <c r="V2404"/>
      <c r="W2404"/>
      <c r="X2404"/>
    </row>
    <row r="2405" spans="5:24" x14ac:dyDescent="0.3">
      <c r="E2405" s="173"/>
      <c r="F2405" s="173"/>
      <c r="I2405"/>
      <c r="J2405"/>
      <c r="K2405"/>
      <c r="L2405"/>
      <c r="M2405"/>
      <c r="N2405"/>
      <c r="O2405"/>
      <c r="P2405" s="225"/>
      <c r="Q2405" s="225"/>
      <c r="R2405"/>
      <c r="S2405"/>
      <c r="T2405"/>
      <c r="U2405"/>
      <c r="V2405"/>
      <c r="W2405"/>
      <c r="X2405"/>
    </row>
    <row r="2406" spans="5:24" x14ac:dyDescent="0.3">
      <c r="E2406" s="173"/>
      <c r="F2406" s="173"/>
      <c r="I2406"/>
      <c r="J2406"/>
      <c r="K2406"/>
      <c r="L2406"/>
      <c r="M2406"/>
      <c r="N2406"/>
      <c r="O2406"/>
      <c r="P2406" s="225"/>
      <c r="Q2406" s="225"/>
      <c r="R2406"/>
      <c r="S2406"/>
      <c r="T2406"/>
      <c r="U2406"/>
      <c r="V2406"/>
      <c r="W2406"/>
      <c r="X2406"/>
    </row>
    <row r="2407" spans="5:24" x14ac:dyDescent="0.3">
      <c r="E2407" s="173"/>
      <c r="F2407" s="173"/>
      <c r="I2407"/>
      <c r="J2407"/>
      <c r="K2407"/>
      <c r="L2407"/>
      <c r="M2407"/>
      <c r="N2407"/>
      <c r="O2407"/>
      <c r="P2407" s="225"/>
      <c r="Q2407" s="225"/>
      <c r="R2407"/>
      <c r="S2407"/>
      <c r="T2407"/>
      <c r="U2407"/>
      <c r="V2407"/>
      <c r="W2407"/>
      <c r="X2407"/>
    </row>
    <row r="2408" spans="5:24" x14ac:dyDescent="0.3">
      <c r="E2408" s="173"/>
      <c r="F2408" s="173"/>
      <c r="I2408"/>
      <c r="J2408"/>
      <c r="K2408"/>
      <c r="L2408"/>
      <c r="M2408"/>
      <c r="N2408"/>
      <c r="O2408"/>
      <c r="P2408" s="225"/>
      <c r="Q2408" s="225"/>
      <c r="R2408"/>
      <c r="S2408"/>
      <c r="T2408"/>
      <c r="U2408"/>
      <c r="V2408"/>
      <c r="W2408"/>
      <c r="X2408"/>
    </row>
    <row r="2409" spans="5:24" x14ac:dyDescent="0.3">
      <c r="E2409" s="173"/>
      <c r="F2409" s="173"/>
      <c r="I2409"/>
      <c r="J2409"/>
      <c r="K2409"/>
      <c r="L2409"/>
      <c r="M2409"/>
      <c r="N2409"/>
      <c r="O2409"/>
      <c r="P2409" s="225"/>
      <c r="Q2409" s="225"/>
      <c r="R2409"/>
      <c r="S2409"/>
      <c r="T2409"/>
      <c r="U2409"/>
      <c r="V2409"/>
      <c r="W2409"/>
      <c r="X2409"/>
    </row>
    <row r="2410" spans="5:24" x14ac:dyDescent="0.3">
      <c r="E2410" s="173"/>
      <c r="F2410" s="173"/>
      <c r="I2410"/>
      <c r="J2410"/>
      <c r="K2410"/>
      <c r="L2410"/>
      <c r="M2410"/>
      <c r="N2410"/>
      <c r="O2410"/>
      <c r="P2410" s="225"/>
      <c r="Q2410" s="225"/>
      <c r="R2410"/>
      <c r="S2410"/>
      <c r="T2410"/>
      <c r="U2410"/>
      <c r="V2410"/>
      <c r="W2410"/>
      <c r="X2410"/>
    </row>
    <row r="2411" spans="5:24" x14ac:dyDescent="0.3">
      <c r="E2411" s="173"/>
      <c r="F2411" s="173"/>
      <c r="I2411"/>
      <c r="J2411"/>
      <c r="K2411"/>
      <c r="L2411"/>
      <c r="M2411"/>
      <c r="N2411"/>
      <c r="O2411"/>
      <c r="P2411" s="225"/>
      <c r="Q2411" s="225"/>
      <c r="R2411"/>
      <c r="S2411"/>
      <c r="T2411"/>
      <c r="U2411"/>
      <c r="V2411"/>
      <c r="W2411"/>
      <c r="X2411"/>
    </row>
    <row r="2412" spans="5:24" x14ac:dyDescent="0.3">
      <c r="E2412" s="173"/>
      <c r="F2412" s="173"/>
      <c r="I2412"/>
      <c r="J2412"/>
      <c r="K2412"/>
      <c r="L2412"/>
      <c r="M2412"/>
      <c r="N2412"/>
      <c r="O2412"/>
      <c r="P2412" s="225"/>
      <c r="Q2412" s="225"/>
      <c r="R2412"/>
      <c r="S2412"/>
      <c r="T2412"/>
      <c r="U2412"/>
      <c r="V2412"/>
      <c r="W2412"/>
      <c r="X2412"/>
    </row>
    <row r="2413" spans="5:24" x14ac:dyDescent="0.3">
      <c r="E2413" s="173"/>
      <c r="F2413" s="173"/>
      <c r="I2413"/>
      <c r="J2413"/>
      <c r="K2413"/>
      <c r="L2413"/>
      <c r="M2413"/>
      <c r="N2413"/>
      <c r="O2413"/>
      <c r="P2413" s="225"/>
      <c r="Q2413" s="225"/>
      <c r="R2413"/>
      <c r="S2413"/>
      <c r="T2413"/>
      <c r="U2413"/>
      <c r="V2413"/>
      <c r="W2413"/>
      <c r="X2413"/>
    </row>
    <row r="2414" spans="5:24" x14ac:dyDescent="0.3">
      <c r="E2414" s="173"/>
      <c r="F2414" s="173"/>
      <c r="I2414"/>
      <c r="J2414"/>
      <c r="K2414"/>
      <c r="L2414"/>
      <c r="M2414"/>
      <c r="N2414"/>
      <c r="O2414"/>
      <c r="P2414" s="225"/>
      <c r="Q2414" s="225"/>
      <c r="R2414"/>
      <c r="S2414"/>
      <c r="T2414"/>
      <c r="U2414"/>
      <c r="V2414"/>
      <c r="W2414"/>
      <c r="X2414"/>
    </row>
    <row r="2415" spans="5:24" x14ac:dyDescent="0.3">
      <c r="E2415" s="173"/>
      <c r="F2415" s="173"/>
      <c r="I2415"/>
      <c r="J2415"/>
      <c r="K2415"/>
      <c r="L2415"/>
      <c r="M2415"/>
      <c r="N2415"/>
      <c r="O2415"/>
      <c r="P2415" s="225"/>
      <c r="Q2415" s="225"/>
      <c r="R2415"/>
      <c r="S2415"/>
      <c r="T2415"/>
      <c r="U2415"/>
      <c r="V2415"/>
      <c r="W2415"/>
      <c r="X2415"/>
    </row>
    <row r="2416" spans="5:24" x14ac:dyDescent="0.3">
      <c r="E2416" s="173"/>
      <c r="F2416" s="173"/>
      <c r="I2416"/>
      <c r="J2416"/>
      <c r="K2416"/>
      <c r="L2416"/>
      <c r="M2416"/>
      <c r="N2416"/>
      <c r="O2416"/>
      <c r="P2416" s="225"/>
      <c r="Q2416" s="225"/>
      <c r="R2416"/>
      <c r="S2416"/>
      <c r="T2416"/>
      <c r="U2416"/>
      <c r="V2416"/>
      <c r="W2416"/>
      <c r="X2416"/>
    </row>
    <row r="2417" spans="5:24" x14ac:dyDescent="0.3">
      <c r="E2417" s="173"/>
      <c r="F2417" s="173"/>
      <c r="I2417"/>
      <c r="J2417"/>
      <c r="K2417"/>
      <c r="L2417"/>
      <c r="M2417"/>
      <c r="N2417"/>
      <c r="O2417"/>
      <c r="P2417" s="225"/>
      <c r="Q2417" s="225"/>
      <c r="R2417"/>
      <c r="S2417"/>
      <c r="T2417"/>
      <c r="U2417"/>
      <c r="V2417"/>
      <c r="W2417"/>
      <c r="X2417"/>
    </row>
    <row r="2418" spans="5:24" x14ac:dyDescent="0.3">
      <c r="E2418" s="173"/>
      <c r="F2418" s="173"/>
      <c r="I2418"/>
      <c r="J2418"/>
      <c r="K2418"/>
      <c r="L2418"/>
      <c r="M2418"/>
      <c r="N2418"/>
      <c r="O2418"/>
      <c r="P2418" s="225"/>
      <c r="Q2418" s="225"/>
      <c r="R2418"/>
      <c r="S2418"/>
      <c r="T2418"/>
      <c r="U2418"/>
      <c r="V2418"/>
      <c r="W2418"/>
      <c r="X2418"/>
    </row>
    <row r="2419" spans="5:24" x14ac:dyDescent="0.3">
      <c r="E2419" s="173"/>
      <c r="F2419" s="173"/>
      <c r="I2419"/>
      <c r="J2419"/>
      <c r="K2419"/>
      <c r="L2419"/>
      <c r="M2419"/>
      <c r="N2419"/>
      <c r="O2419"/>
      <c r="P2419" s="225"/>
      <c r="Q2419" s="225"/>
      <c r="R2419"/>
      <c r="S2419"/>
      <c r="T2419"/>
      <c r="U2419"/>
      <c r="V2419"/>
      <c r="W2419"/>
      <c r="X2419"/>
    </row>
    <row r="2420" spans="5:24" x14ac:dyDescent="0.3">
      <c r="E2420" s="173"/>
      <c r="F2420" s="173"/>
      <c r="I2420"/>
      <c r="J2420"/>
      <c r="K2420"/>
      <c r="L2420"/>
      <c r="M2420"/>
      <c r="N2420"/>
      <c r="O2420"/>
      <c r="P2420" s="225"/>
      <c r="Q2420" s="225"/>
      <c r="R2420"/>
      <c r="S2420"/>
      <c r="T2420"/>
      <c r="U2420"/>
      <c r="V2420"/>
      <c r="W2420"/>
      <c r="X2420"/>
    </row>
    <row r="2421" spans="5:24" x14ac:dyDescent="0.3">
      <c r="E2421" s="173"/>
      <c r="F2421" s="173"/>
      <c r="I2421"/>
      <c r="J2421"/>
      <c r="K2421"/>
      <c r="L2421"/>
      <c r="M2421"/>
      <c r="N2421"/>
      <c r="O2421"/>
      <c r="P2421" s="225"/>
      <c r="Q2421" s="225"/>
      <c r="R2421"/>
      <c r="S2421"/>
      <c r="T2421"/>
      <c r="U2421"/>
      <c r="V2421"/>
      <c r="W2421"/>
      <c r="X2421"/>
    </row>
    <row r="2422" spans="5:24" x14ac:dyDescent="0.3">
      <c r="E2422" s="173"/>
      <c r="F2422" s="173"/>
      <c r="I2422"/>
      <c r="J2422"/>
      <c r="K2422"/>
      <c r="L2422"/>
      <c r="M2422"/>
      <c r="N2422"/>
      <c r="O2422"/>
      <c r="P2422" s="225"/>
      <c r="Q2422" s="225"/>
      <c r="R2422"/>
      <c r="S2422"/>
      <c r="T2422"/>
      <c r="U2422"/>
      <c r="V2422"/>
      <c r="W2422"/>
      <c r="X2422"/>
    </row>
    <row r="2423" spans="5:24" x14ac:dyDescent="0.3">
      <c r="E2423" s="173"/>
      <c r="F2423" s="173"/>
      <c r="I2423"/>
      <c r="J2423"/>
      <c r="K2423"/>
      <c r="L2423"/>
      <c r="M2423"/>
      <c r="N2423"/>
      <c r="O2423"/>
      <c r="P2423" s="225"/>
      <c r="Q2423" s="225"/>
      <c r="R2423"/>
      <c r="S2423"/>
      <c r="T2423"/>
      <c r="U2423"/>
      <c r="V2423"/>
      <c r="W2423"/>
      <c r="X2423"/>
    </row>
    <row r="2424" spans="5:24" x14ac:dyDescent="0.3">
      <c r="E2424" s="173"/>
      <c r="F2424" s="173"/>
      <c r="I2424"/>
      <c r="J2424"/>
      <c r="K2424"/>
      <c r="L2424"/>
      <c r="M2424"/>
      <c r="N2424"/>
      <c r="O2424"/>
      <c r="P2424" s="225"/>
      <c r="Q2424" s="225"/>
      <c r="R2424"/>
      <c r="S2424"/>
      <c r="T2424"/>
      <c r="U2424"/>
      <c r="V2424"/>
      <c r="W2424"/>
      <c r="X2424"/>
    </row>
    <row r="2425" spans="5:24" x14ac:dyDescent="0.3">
      <c r="E2425" s="173"/>
      <c r="F2425" s="173"/>
      <c r="I2425"/>
      <c r="J2425"/>
      <c r="K2425"/>
      <c r="L2425"/>
      <c r="M2425"/>
      <c r="N2425"/>
      <c r="O2425"/>
      <c r="P2425" s="225"/>
      <c r="Q2425" s="225"/>
      <c r="R2425"/>
      <c r="S2425"/>
      <c r="T2425"/>
      <c r="U2425"/>
      <c r="V2425"/>
      <c r="W2425"/>
      <c r="X2425"/>
    </row>
    <row r="2426" spans="5:24" x14ac:dyDescent="0.3">
      <c r="E2426" s="173"/>
      <c r="F2426" s="173"/>
      <c r="I2426"/>
      <c r="J2426"/>
      <c r="K2426"/>
      <c r="L2426"/>
      <c r="M2426"/>
      <c r="N2426"/>
      <c r="O2426"/>
      <c r="P2426" s="225"/>
      <c r="Q2426" s="225"/>
      <c r="R2426"/>
      <c r="S2426"/>
      <c r="T2426"/>
      <c r="U2426"/>
      <c r="V2426"/>
      <c r="W2426"/>
      <c r="X2426"/>
    </row>
    <row r="2427" spans="5:24" x14ac:dyDescent="0.3">
      <c r="E2427" s="173"/>
      <c r="F2427" s="173"/>
      <c r="I2427"/>
      <c r="J2427"/>
      <c r="K2427"/>
      <c r="L2427"/>
      <c r="M2427"/>
      <c r="N2427"/>
      <c r="O2427"/>
      <c r="P2427" s="225"/>
      <c r="Q2427" s="225"/>
      <c r="R2427"/>
      <c r="S2427"/>
      <c r="T2427"/>
      <c r="U2427"/>
      <c r="V2427"/>
      <c r="W2427"/>
      <c r="X2427"/>
    </row>
    <row r="2428" spans="5:24" x14ac:dyDescent="0.3">
      <c r="E2428" s="173"/>
      <c r="F2428" s="173"/>
      <c r="I2428"/>
      <c r="J2428"/>
      <c r="K2428"/>
      <c r="L2428"/>
      <c r="M2428"/>
      <c r="N2428"/>
      <c r="O2428"/>
      <c r="P2428" s="225"/>
      <c r="Q2428" s="225"/>
      <c r="R2428"/>
      <c r="S2428"/>
      <c r="T2428"/>
      <c r="U2428"/>
      <c r="V2428"/>
      <c r="W2428"/>
      <c r="X2428"/>
    </row>
    <row r="2429" spans="5:24" x14ac:dyDescent="0.3">
      <c r="E2429" s="173"/>
      <c r="F2429" s="173"/>
      <c r="I2429"/>
      <c r="J2429"/>
      <c r="K2429"/>
      <c r="L2429"/>
      <c r="M2429"/>
      <c r="N2429"/>
      <c r="O2429"/>
      <c r="P2429" s="225"/>
      <c r="Q2429" s="225"/>
      <c r="R2429"/>
      <c r="S2429"/>
      <c r="T2429"/>
      <c r="U2429"/>
      <c r="V2429"/>
      <c r="W2429"/>
      <c r="X2429"/>
    </row>
    <row r="2430" spans="5:24" x14ac:dyDescent="0.3">
      <c r="E2430" s="173"/>
      <c r="F2430" s="173"/>
      <c r="I2430"/>
      <c r="J2430"/>
      <c r="K2430"/>
      <c r="L2430"/>
      <c r="M2430"/>
      <c r="N2430"/>
      <c r="O2430"/>
      <c r="P2430" s="225"/>
      <c r="Q2430" s="225"/>
      <c r="R2430"/>
      <c r="S2430"/>
      <c r="T2430"/>
      <c r="U2430"/>
      <c r="V2430"/>
      <c r="W2430"/>
      <c r="X2430"/>
    </row>
    <row r="2431" spans="5:24" x14ac:dyDescent="0.3">
      <c r="E2431" s="173"/>
      <c r="F2431" s="173"/>
      <c r="I2431"/>
      <c r="J2431"/>
      <c r="K2431"/>
      <c r="L2431"/>
      <c r="M2431"/>
      <c r="N2431"/>
      <c r="O2431"/>
      <c r="P2431" s="225"/>
      <c r="Q2431" s="225"/>
      <c r="R2431"/>
      <c r="S2431"/>
      <c r="T2431"/>
      <c r="U2431"/>
      <c r="V2431"/>
      <c r="W2431"/>
      <c r="X2431"/>
    </row>
    <row r="2432" spans="5:24" x14ac:dyDescent="0.3">
      <c r="E2432" s="173"/>
      <c r="F2432" s="173"/>
      <c r="I2432"/>
      <c r="J2432"/>
      <c r="K2432"/>
      <c r="L2432"/>
      <c r="M2432"/>
      <c r="N2432"/>
      <c r="O2432"/>
      <c r="P2432" s="225"/>
      <c r="Q2432" s="225"/>
      <c r="R2432"/>
      <c r="S2432"/>
      <c r="T2432"/>
      <c r="U2432"/>
      <c r="V2432"/>
      <c r="W2432"/>
      <c r="X2432"/>
    </row>
    <row r="2433" spans="5:24" x14ac:dyDescent="0.3">
      <c r="E2433" s="173"/>
      <c r="F2433" s="173"/>
      <c r="I2433"/>
      <c r="J2433"/>
      <c r="K2433"/>
      <c r="L2433"/>
      <c r="M2433"/>
      <c r="N2433"/>
      <c r="O2433"/>
      <c r="P2433" s="225"/>
      <c r="Q2433" s="225"/>
      <c r="R2433"/>
      <c r="S2433"/>
      <c r="T2433"/>
      <c r="U2433"/>
      <c r="V2433"/>
      <c r="W2433"/>
      <c r="X2433"/>
    </row>
    <row r="2434" spans="5:24" x14ac:dyDescent="0.3">
      <c r="E2434" s="173"/>
      <c r="F2434" s="173"/>
      <c r="I2434"/>
      <c r="J2434"/>
      <c r="K2434"/>
      <c r="L2434"/>
      <c r="M2434"/>
      <c r="N2434"/>
      <c r="O2434"/>
      <c r="P2434" s="225"/>
      <c r="Q2434" s="225"/>
      <c r="R2434"/>
      <c r="S2434"/>
      <c r="T2434"/>
      <c r="U2434"/>
      <c r="V2434"/>
      <c r="W2434"/>
      <c r="X2434"/>
    </row>
    <row r="2435" spans="5:24" x14ac:dyDescent="0.3">
      <c r="E2435" s="173"/>
      <c r="F2435" s="173"/>
      <c r="I2435"/>
      <c r="J2435"/>
      <c r="K2435"/>
      <c r="L2435"/>
      <c r="M2435"/>
      <c r="N2435"/>
      <c r="O2435"/>
      <c r="P2435" s="225"/>
      <c r="Q2435" s="225"/>
      <c r="R2435"/>
      <c r="S2435"/>
      <c r="T2435"/>
      <c r="U2435"/>
      <c r="V2435"/>
      <c r="W2435"/>
      <c r="X2435"/>
    </row>
    <row r="2436" spans="5:24" x14ac:dyDescent="0.3">
      <c r="E2436" s="173"/>
      <c r="F2436" s="173"/>
      <c r="I2436"/>
      <c r="J2436"/>
      <c r="K2436"/>
      <c r="L2436"/>
      <c r="M2436"/>
      <c r="N2436"/>
      <c r="O2436"/>
      <c r="P2436" s="225"/>
      <c r="Q2436" s="225"/>
      <c r="R2436"/>
      <c r="S2436"/>
      <c r="T2436"/>
      <c r="U2436"/>
      <c r="V2436"/>
      <c r="W2436"/>
      <c r="X2436"/>
    </row>
    <row r="2437" spans="5:24" x14ac:dyDescent="0.3">
      <c r="E2437" s="173"/>
      <c r="F2437" s="173"/>
      <c r="I2437"/>
      <c r="J2437"/>
      <c r="K2437"/>
      <c r="L2437"/>
      <c r="M2437"/>
      <c r="N2437"/>
      <c r="O2437"/>
      <c r="P2437" s="225"/>
      <c r="Q2437" s="225"/>
      <c r="R2437"/>
      <c r="S2437"/>
      <c r="T2437"/>
      <c r="U2437"/>
      <c r="V2437"/>
      <c r="W2437"/>
      <c r="X2437"/>
    </row>
    <row r="2438" spans="5:24" x14ac:dyDescent="0.3">
      <c r="E2438" s="173"/>
      <c r="F2438" s="173"/>
      <c r="I2438"/>
      <c r="J2438"/>
      <c r="K2438"/>
      <c r="L2438"/>
      <c r="M2438"/>
      <c r="N2438"/>
      <c r="O2438"/>
      <c r="P2438" s="225"/>
      <c r="Q2438" s="225"/>
      <c r="R2438"/>
      <c r="S2438"/>
      <c r="T2438"/>
      <c r="U2438"/>
      <c r="V2438"/>
      <c r="W2438"/>
      <c r="X2438"/>
    </row>
    <row r="2439" spans="5:24" x14ac:dyDescent="0.3">
      <c r="E2439" s="173"/>
      <c r="F2439" s="173"/>
      <c r="I2439"/>
      <c r="J2439"/>
      <c r="K2439"/>
      <c r="L2439"/>
      <c r="M2439"/>
      <c r="N2439"/>
      <c r="O2439"/>
      <c r="P2439" s="225"/>
      <c r="Q2439" s="225"/>
      <c r="R2439"/>
      <c r="S2439"/>
      <c r="T2439"/>
      <c r="U2439"/>
      <c r="V2439"/>
      <c r="W2439"/>
      <c r="X2439"/>
    </row>
    <row r="2440" spans="5:24" x14ac:dyDescent="0.3">
      <c r="E2440" s="173"/>
      <c r="F2440" s="173"/>
      <c r="I2440"/>
      <c r="J2440"/>
      <c r="K2440"/>
      <c r="L2440"/>
      <c r="M2440"/>
      <c r="N2440"/>
      <c r="O2440"/>
      <c r="P2440" s="225"/>
      <c r="Q2440" s="225"/>
      <c r="R2440"/>
      <c r="S2440"/>
      <c r="T2440"/>
      <c r="U2440"/>
      <c r="V2440"/>
      <c r="W2440"/>
      <c r="X2440"/>
    </row>
    <row r="2441" spans="5:24" x14ac:dyDescent="0.3">
      <c r="E2441" s="173"/>
      <c r="F2441" s="173"/>
      <c r="I2441"/>
      <c r="J2441"/>
      <c r="K2441"/>
      <c r="L2441"/>
      <c r="M2441"/>
      <c r="N2441"/>
      <c r="O2441"/>
      <c r="P2441" s="225"/>
      <c r="Q2441" s="225"/>
      <c r="R2441"/>
      <c r="S2441"/>
      <c r="T2441"/>
      <c r="U2441"/>
      <c r="V2441"/>
      <c r="W2441"/>
      <c r="X2441"/>
    </row>
    <row r="2442" spans="5:24" x14ac:dyDescent="0.3">
      <c r="E2442" s="173"/>
      <c r="F2442" s="173"/>
      <c r="I2442"/>
      <c r="J2442"/>
      <c r="K2442"/>
      <c r="L2442"/>
      <c r="M2442"/>
      <c r="N2442"/>
      <c r="O2442"/>
      <c r="P2442" s="225"/>
      <c r="Q2442" s="225"/>
      <c r="R2442"/>
      <c r="S2442"/>
      <c r="T2442"/>
      <c r="U2442"/>
      <c r="V2442"/>
      <c r="W2442"/>
      <c r="X2442"/>
    </row>
    <row r="2443" spans="5:24" x14ac:dyDescent="0.3">
      <c r="E2443" s="173"/>
      <c r="F2443" s="173"/>
      <c r="I2443"/>
      <c r="J2443"/>
      <c r="K2443"/>
      <c r="L2443"/>
      <c r="M2443"/>
      <c r="N2443"/>
      <c r="O2443"/>
      <c r="P2443" s="225"/>
      <c r="Q2443" s="225"/>
      <c r="R2443"/>
      <c r="S2443"/>
      <c r="T2443"/>
      <c r="U2443"/>
      <c r="V2443"/>
      <c r="W2443"/>
      <c r="X2443"/>
    </row>
    <row r="2444" spans="5:24" x14ac:dyDescent="0.3">
      <c r="E2444" s="173"/>
      <c r="F2444" s="173"/>
      <c r="I2444"/>
      <c r="J2444"/>
      <c r="K2444"/>
      <c r="L2444"/>
      <c r="M2444"/>
      <c r="N2444"/>
      <c r="O2444"/>
      <c r="P2444" s="225"/>
      <c r="Q2444" s="225"/>
      <c r="R2444"/>
      <c r="S2444"/>
      <c r="T2444"/>
      <c r="U2444"/>
      <c r="V2444"/>
      <c r="W2444"/>
      <c r="X2444"/>
    </row>
    <row r="2445" spans="5:24" x14ac:dyDescent="0.3">
      <c r="E2445" s="173"/>
      <c r="F2445" s="173"/>
      <c r="I2445"/>
      <c r="J2445"/>
      <c r="K2445"/>
      <c r="L2445"/>
      <c r="M2445"/>
      <c r="N2445"/>
      <c r="O2445"/>
      <c r="P2445" s="225"/>
      <c r="Q2445" s="225"/>
      <c r="R2445"/>
      <c r="S2445"/>
      <c r="T2445"/>
      <c r="U2445"/>
      <c r="V2445"/>
      <c r="W2445"/>
      <c r="X2445"/>
    </row>
    <row r="2446" spans="5:24" x14ac:dyDescent="0.3">
      <c r="E2446" s="173"/>
      <c r="F2446" s="173"/>
      <c r="I2446"/>
      <c r="J2446"/>
      <c r="K2446"/>
      <c r="L2446"/>
      <c r="M2446"/>
      <c r="N2446"/>
      <c r="O2446"/>
      <c r="P2446" s="225"/>
      <c r="Q2446" s="225"/>
      <c r="R2446"/>
      <c r="S2446"/>
      <c r="T2446"/>
      <c r="U2446"/>
      <c r="V2446"/>
      <c r="W2446"/>
      <c r="X2446"/>
    </row>
    <row r="2447" spans="5:24" x14ac:dyDescent="0.3">
      <c r="E2447" s="173"/>
      <c r="F2447" s="173"/>
      <c r="I2447"/>
      <c r="J2447"/>
      <c r="K2447"/>
      <c r="L2447"/>
      <c r="M2447"/>
      <c r="N2447"/>
      <c r="O2447"/>
      <c r="P2447" s="225"/>
      <c r="Q2447" s="225"/>
      <c r="R2447"/>
      <c r="S2447"/>
      <c r="T2447"/>
      <c r="U2447"/>
      <c r="V2447"/>
      <c r="W2447"/>
      <c r="X2447"/>
    </row>
    <row r="2448" spans="5:24" x14ac:dyDescent="0.3">
      <c r="E2448" s="173"/>
      <c r="F2448" s="173"/>
      <c r="I2448"/>
      <c r="J2448"/>
      <c r="K2448"/>
      <c r="L2448"/>
      <c r="M2448"/>
      <c r="N2448"/>
      <c r="O2448"/>
      <c r="P2448" s="225"/>
      <c r="Q2448" s="225"/>
      <c r="R2448"/>
      <c r="S2448"/>
      <c r="T2448"/>
      <c r="U2448"/>
      <c r="V2448"/>
      <c r="W2448"/>
      <c r="X2448"/>
    </row>
    <row r="2449" spans="5:24" x14ac:dyDescent="0.3">
      <c r="E2449" s="173"/>
      <c r="F2449" s="173"/>
      <c r="I2449"/>
      <c r="J2449"/>
      <c r="K2449"/>
      <c r="L2449"/>
      <c r="M2449"/>
      <c r="N2449"/>
      <c r="O2449"/>
      <c r="P2449" s="225"/>
      <c r="Q2449" s="225"/>
      <c r="R2449"/>
      <c r="S2449"/>
      <c r="T2449"/>
      <c r="U2449"/>
      <c r="V2449"/>
      <c r="W2449"/>
      <c r="X2449"/>
    </row>
    <row r="2450" spans="5:24" x14ac:dyDescent="0.3">
      <c r="E2450" s="173"/>
      <c r="F2450" s="173"/>
      <c r="I2450"/>
      <c r="J2450"/>
      <c r="K2450"/>
      <c r="L2450"/>
      <c r="M2450"/>
      <c r="N2450"/>
      <c r="O2450"/>
      <c r="P2450" s="225"/>
      <c r="Q2450" s="225"/>
      <c r="R2450"/>
      <c r="S2450"/>
      <c r="T2450"/>
      <c r="U2450"/>
      <c r="V2450"/>
      <c r="W2450"/>
      <c r="X2450"/>
    </row>
    <row r="2451" spans="5:24" x14ac:dyDescent="0.3">
      <c r="E2451" s="173"/>
      <c r="F2451" s="173"/>
      <c r="I2451"/>
      <c r="J2451"/>
      <c r="K2451"/>
      <c r="L2451"/>
      <c r="M2451"/>
      <c r="N2451"/>
      <c r="O2451"/>
      <c r="P2451" s="225"/>
      <c r="Q2451" s="225"/>
      <c r="R2451"/>
      <c r="S2451"/>
      <c r="T2451"/>
      <c r="U2451"/>
      <c r="V2451"/>
      <c r="W2451"/>
      <c r="X2451"/>
    </row>
    <row r="2452" spans="5:24" x14ac:dyDescent="0.3">
      <c r="E2452" s="173"/>
      <c r="F2452" s="173"/>
      <c r="I2452"/>
      <c r="J2452"/>
      <c r="K2452"/>
      <c r="L2452"/>
      <c r="M2452"/>
      <c r="N2452"/>
      <c r="O2452"/>
      <c r="P2452" s="225"/>
      <c r="Q2452" s="225"/>
      <c r="R2452"/>
      <c r="S2452"/>
      <c r="T2452"/>
      <c r="U2452"/>
      <c r="V2452"/>
      <c r="W2452"/>
      <c r="X2452"/>
    </row>
    <row r="2453" spans="5:24" x14ac:dyDescent="0.3">
      <c r="E2453" s="173"/>
      <c r="F2453" s="173"/>
      <c r="I2453"/>
      <c r="J2453"/>
      <c r="K2453"/>
      <c r="L2453"/>
      <c r="M2453"/>
      <c r="N2453"/>
      <c r="O2453"/>
      <c r="P2453" s="225"/>
      <c r="Q2453" s="225"/>
      <c r="R2453"/>
      <c r="S2453"/>
      <c r="T2453"/>
      <c r="U2453"/>
      <c r="V2453"/>
      <c r="W2453"/>
      <c r="X2453"/>
    </row>
    <row r="2454" spans="5:24" x14ac:dyDescent="0.3">
      <c r="E2454" s="173"/>
      <c r="F2454" s="173"/>
      <c r="I2454"/>
      <c r="J2454"/>
      <c r="K2454"/>
      <c r="L2454"/>
      <c r="M2454"/>
      <c r="N2454"/>
      <c r="O2454"/>
      <c r="P2454" s="225"/>
      <c r="Q2454" s="225"/>
      <c r="R2454"/>
      <c r="S2454"/>
      <c r="T2454"/>
      <c r="U2454"/>
      <c r="V2454"/>
      <c r="W2454"/>
      <c r="X2454"/>
    </row>
    <row r="2455" spans="5:24" x14ac:dyDescent="0.3">
      <c r="E2455" s="173"/>
      <c r="F2455" s="173"/>
      <c r="I2455"/>
      <c r="J2455"/>
      <c r="K2455"/>
      <c r="L2455"/>
      <c r="M2455"/>
      <c r="N2455"/>
      <c r="O2455"/>
      <c r="P2455" s="225"/>
      <c r="Q2455" s="225"/>
      <c r="R2455"/>
      <c r="S2455"/>
      <c r="T2455"/>
      <c r="U2455"/>
      <c r="V2455"/>
      <c r="W2455"/>
      <c r="X2455"/>
    </row>
    <row r="2456" spans="5:24" x14ac:dyDescent="0.3">
      <c r="E2456" s="173"/>
      <c r="F2456" s="173"/>
      <c r="I2456"/>
      <c r="J2456"/>
      <c r="K2456"/>
      <c r="L2456"/>
      <c r="M2456"/>
      <c r="N2456"/>
      <c r="O2456"/>
      <c r="P2456" s="225"/>
      <c r="Q2456" s="225"/>
      <c r="R2456"/>
      <c r="S2456"/>
      <c r="T2456"/>
      <c r="U2456"/>
      <c r="V2456"/>
      <c r="W2456"/>
      <c r="X2456"/>
    </row>
    <row r="2457" spans="5:24" x14ac:dyDescent="0.3">
      <c r="E2457" s="173"/>
      <c r="F2457" s="173"/>
      <c r="I2457"/>
      <c r="J2457"/>
      <c r="K2457"/>
      <c r="L2457"/>
      <c r="M2457"/>
      <c r="N2457"/>
      <c r="O2457"/>
      <c r="P2457" s="225"/>
      <c r="Q2457" s="225"/>
      <c r="R2457"/>
      <c r="S2457"/>
      <c r="T2457"/>
      <c r="U2457"/>
      <c r="V2457"/>
      <c r="W2457"/>
      <c r="X2457"/>
    </row>
    <row r="2458" spans="5:24" x14ac:dyDescent="0.3">
      <c r="E2458" s="173"/>
      <c r="F2458" s="173"/>
      <c r="I2458"/>
      <c r="J2458"/>
      <c r="K2458"/>
      <c r="L2458"/>
      <c r="M2458"/>
      <c r="N2458"/>
      <c r="O2458"/>
      <c r="P2458" s="225"/>
      <c r="Q2458" s="225"/>
      <c r="R2458"/>
      <c r="S2458"/>
      <c r="T2458"/>
      <c r="U2458"/>
      <c r="V2458"/>
      <c r="W2458"/>
      <c r="X2458"/>
    </row>
    <row r="2459" spans="5:24" x14ac:dyDescent="0.3">
      <c r="E2459" s="173"/>
      <c r="F2459" s="173"/>
      <c r="I2459"/>
      <c r="J2459"/>
      <c r="K2459"/>
      <c r="L2459"/>
      <c r="M2459"/>
      <c r="N2459"/>
      <c r="O2459"/>
      <c r="P2459" s="225"/>
      <c r="Q2459" s="225"/>
      <c r="R2459"/>
      <c r="S2459"/>
      <c r="T2459"/>
      <c r="U2459"/>
      <c r="V2459"/>
      <c r="W2459"/>
      <c r="X2459"/>
    </row>
    <row r="2460" spans="5:24" x14ac:dyDescent="0.3">
      <c r="E2460" s="173"/>
      <c r="F2460" s="173"/>
      <c r="I2460"/>
      <c r="J2460"/>
      <c r="K2460"/>
      <c r="L2460"/>
      <c r="M2460"/>
      <c r="N2460"/>
      <c r="O2460"/>
      <c r="P2460" s="225"/>
      <c r="Q2460" s="225"/>
      <c r="R2460"/>
      <c r="S2460"/>
      <c r="T2460"/>
      <c r="U2460"/>
      <c r="V2460"/>
      <c r="W2460"/>
      <c r="X2460"/>
    </row>
    <row r="2461" spans="5:24" x14ac:dyDescent="0.3">
      <c r="E2461" s="173"/>
      <c r="F2461" s="173"/>
      <c r="I2461"/>
      <c r="J2461"/>
      <c r="K2461"/>
      <c r="L2461"/>
      <c r="M2461"/>
      <c r="N2461"/>
      <c r="O2461"/>
      <c r="P2461" s="225"/>
      <c r="Q2461" s="225"/>
      <c r="R2461"/>
      <c r="S2461"/>
      <c r="T2461"/>
      <c r="U2461"/>
      <c r="V2461"/>
      <c r="W2461"/>
      <c r="X2461"/>
    </row>
    <row r="2462" spans="5:24" x14ac:dyDescent="0.3">
      <c r="E2462" s="173"/>
      <c r="F2462" s="173"/>
      <c r="I2462"/>
      <c r="J2462"/>
      <c r="K2462"/>
      <c r="L2462"/>
      <c r="M2462"/>
      <c r="N2462"/>
      <c r="O2462"/>
      <c r="P2462" s="225"/>
      <c r="Q2462" s="225"/>
      <c r="R2462"/>
      <c r="S2462"/>
      <c r="T2462"/>
      <c r="U2462"/>
      <c r="V2462"/>
      <c r="W2462"/>
      <c r="X2462"/>
    </row>
    <row r="2463" spans="5:24" x14ac:dyDescent="0.3">
      <c r="E2463" s="173"/>
      <c r="F2463" s="173"/>
      <c r="I2463"/>
      <c r="J2463"/>
      <c r="K2463"/>
      <c r="L2463"/>
      <c r="M2463"/>
      <c r="N2463"/>
      <c r="O2463"/>
      <c r="P2463" s="225"/>
      <c r="Q2463" s="225"/>
      <c r="R2463"/>
      <c r="S2463"/>
      <c r="T2463"/>
      <c r="U2463"/>
      <c r="V2463"/>
      <c r="W2463"/>
      <c r="X2463"/>
    </row>
    <row r="2464" spans="5:24" x14ac:dyDescent="0.3">
      <c r="E2464" s="173"/>
      <c r="F2464" s="173"/>
      <c r="I2464"/>
      <c r="J2464"/>
      <c r="K2464"/>
      <c r="L2464"/>
      <c r="M2464"/>
      <c r="N2464"/>
      <c r="O2464"/>
      <c r="P2464" s="225"/>
      <c r="Q2464" s="225"/>
      <c r="R2464"/>
      <c r="S2464"/>
      <c r="T2464"/>
      <c r="U2464"/>
      <c r="V2464"/>
      <c r="W2464"/>
      <c r="X2464"/>
    </row>
    <row r="2465" spans="5:24" x14ac:dyDescent="0.3">
      <c r="E2465" s="173"/>
      <c r="F2465" s="173"/>
      <c r="I2465"/>
      <c r="J2465"/>
      <c r="K2465"/>
      <c r="L2465"/>
      <c r="M2465"/>
      <c r="N2465"/>
      <c r="O2465"/>
      <c r="P2465" s="225"/>
      <c r="Q2465" s="225"/>
      <c r="R2465"/>
      <c r="S2465"/>
      <c r="T2465"/>
      <c r="U2465"/>
      <c r="V2465"/>
      <c r="W2465"/>
      <c r="X2465"/>
    </row>
    <row r="2466" spans="5:24" x14ac:dyDescent="0.3">
      <c r="E2466" s="173"/>
      <c r="F2466" s="173"/>
      <c r="I2466"/>
      <c r="J2466"/>
      <c r="K2466"/>
      <c r="L2466"/>
      <c r="M2466"/>
      <c r="N2466"/>
      <c r="O2466"/>
      <c r="P2466" s="225"/>
      <c r="Q2466" s="225"/>
      <c r="R2466"/>
      <c r="S2466"/>
      <c r="T2466"/>
      <c r="U2466"/>
      <c r="V2466"/>
      <c r="W2466"/>
      <c r="X2466"/>
    </row>
    <row r="2467" spans="5:24" x14ac:dyDescent="0.3">
      <c r="E2467" s="173"/>
      <c r="F2467" s="173"/>
      <c r="I2467"/>
      <c r="J2467"/>
      <c r="K2467"/>
      <c r="L2467"/>
      <c r="M2467"/>
      <c r="N2467"/>
      <c r="O2467"/>
      <c r="P2467" s="225"/>
      <c r="Q2467" s="225"/>
      <c r="R2467"/>
      <c r="S2467"/>
      <c r="T2467"/>
      <c r="U2467"/>
      <c r="V2467"/>
      <c r="W2467"/>
      <c r="X2467"/>
    </row>
    <row r="2468" spans="5:24" x14ac:dyDescent="0.3">
      <c r="E2468" s="173"/>
      <c r="F2468" s="173"/>
      <c r="I2468"/>
      <c r="J2468"/>
      <c r="K2468"/>
      <c r="L2468"/>
      <c r="M2468"/>
      <c r="N2468"/>
      <c r="O2468"/>
      <c r="P2468" s="225"/>
      <c r="Q2468" s="225"/>
      <c r="R2468"/>
      <c r="S2468"/>
      <c r="T2468"/>
      <c r="U2468"/>
      <c r="V2468"/>
      <c r="W2468"/>
      <c r="X2468"/>
    </row>
    <row r="2469" spans="5:24" x14ac:dyDescent="0.3">
      <c r="E2469" s="173"/>
      <c r="F2469" s="173"/>
      <c r="I2469"/>
      <c r="J2469"/>
      <c r="K2469"/>
      <c r="L2469"/>
      <c r="M2469"/>
      <c r="N2469"/>
      <c r="O2469"/>
      <c r="P2469" s="225"/>
      <c r="Q2469" s="225"/>
      <c r="R2469"/>
      <c r="S2469"/>
      <c r="T2469"/>
      <c r="U2469"/>
      <c r="V2469"/>
      <c r="W2469"/>
      <c r="X2469"/>
    </row>
    <row r="2470" spans="5:24" x14ac:dyDescent="0.3">
      <c r="E2470" s="173"/>
      <c r="F2470" s="173"/>
      <c r="I2470"/>
      <c r="J2470"/>
      <c r="K2470"/>
      <c r="L2470"/>
      <c r="M2470"/>
      <c r="N2470"/>
      <c r="O2470"/>
      <c r="P2470" s="225"/>
      <c r="Q2470" s="225"/>
      <c r="R2470"/>
      <c r="S2470"/>
      <c r="T2470"/>
      <c r="U2470"/>
      <c r="V2470"/>
      <c r="W2470"/>
      <c r="X2470"/>
    </row>
    <row r="2471" spans="5:24" x14ac:dyDescent="0.3">
      <c r="E2471" s="173"/>
      <c r="F2471" s="173"/>
      <c r="I2471"/>
      <c r="J2471"/>
      <c r="K2471"/>
      <c r="L2471"/>
      <c r="M2471"/>
      <c r="N2471"/>
      <c r="O2471"/>
      <c r="P2471" s="225"/>
      <c r="Q2471" s="225"/>
      <c r="R2471"/>
      <c r="S2471"/>
      <c r="T2471"/>
      <c r="U2471"/>
      <c r="V2471"/>
      <c r="W2471"/>
      <c r="X2471"/>
    </row>
    <row r="2472" spans="5:24" x14ac:dyDescent="0.3">
      <c r="E2472" s="173"/>
      <c r="F2472" s="173"/>
      <c r="I2472"/>
      <c r="J2472"/>
      <c r="K2472"/>
      <c r="L2472"/>
      <c r="M2472"/>
      <c r="N2472"/>
      <c r="O2472"/>
      <c r="P2472" s="225"/>
      <c r="Q2472" s="225"/>
      <c r="R2472"/>
      <c r="S2472"/>
      <c r="T2472"/>
      <c r="U2472"/>
      <c r="V2472"/>
      <c r="W2472"/>
      <c r="X2472"/>
    </row>
    <row r="2473" spans="5:24" x14ac:dyDescent="0.3">
      <c r="E2473" s="173"/>
      <c r="F2473" s="173"/>
      <c r="I2473"/>
      <c r="J2473"/>
      <c r="K2473"/>
      <c r="L2473"/>
      <c r="M2473"/>
      <c r="N2473"/>
      <c r="O2473"/>
      <c r="P2473" s="225"/>
      <c r="Q2473" s="225"/>
      <c r="R2473"/>
      <c r="S2473"/>
      <c r="T2473"/>
      <c r="U2473"/>
      <c r="V2473"/>
      <c r="W2473"/>
      <c r="X2473"/>
    </row>
    <row r="2474" spans="5:24" x14ac:dyDescent="0.3">
      <c r="E2474" s="173"/>
      <c r="F2474" s="173"/>
      <c r="I2474"/>
      <c r="J2474"/>
      <c r="K2474"/>
      <c r="L2474"/>
      <c r="M2474"/>
      <c r="N2474"/>
      <c r="O2474"/>
      <c r="P2474" s="225"/>
      <c r="Q2474" s="225"/>
      <c r="R2474"/>
      <c r="S2474"/>
      <c r="T2474"/>
      <c r="U2474"/>
      <c r="V2474"/>
      <c r="W2474"/>
      <c r="X2474"/>
    </row>
    <row r="2475" spans="5:24" x14ac:dyDescent="0.3">
      <c r="E2475" s="173"/>
      <c r="F2475" s="173"/>
      <c r="I2475"/>
      <c r="J2475"/>
      <c r="K2475"/>
      <c r="L2475"/>
      <c r="M2475"/>
      <c r="N2475"/>
      <c r="O2475"/>
      <c r="P2475" s="225"/>
      <c r="Q2475" s="225"/>
      <c r="R2475"/>
      <c r="S2475"/>
      <c r="T2475"/>
      <c r="U2475"/>
      <c r="V2475"/>
      <c r="W2475"/>
      <c r="X2475"/>
    </row>
    <row r="2476" spans="5:24" x14ac:dyDescent="0.3">
      <c r="E2476" s="173"/>
      <c r="F2476" s="173"/>
      <c r="I2476"/>
      <c r="J2476"/>
      <c r="K2476"/>
      <c r="L2476"/>
      <c r="M2476"/>
      <c r="N2476"/>
      <c r="O2476"/>
      <c r="P2476" s="225"/>
      <c r="Q2476" s="225"/>
      <c r="R2476"/>
      <c r="S2476"/>
      <c r="T2476"/>
      <c r="U2476"/>
      <c r="V2476"/>
      <c r="W2476"/>
      <c r="X2476"/>
    </row>
    <row r="2477" spans="5:24" x14ac:dyDescent="0.3">
      <c r="E2477" s="173"/>
      <c r="F2477" s="173"/>
      <c r="I2477"/>
      <c r="J2477"/>
      <c r="K2477"/>
      <c r="L2477"/>
      <c r="M2477"/>
      <c r="N2477"/>
      <c r="O2477"/>
      <c r="P2477" s="225"/>
      <c r="Q2477" s="225"/>
      <c r="R2477"/>
      <c r="S2477"/>
      <c r="T2477"/>
      <c r="U2477"/>
      <c r="V2477"/>
      <c r="W2477"/>
      <c r="X2477"/>
    </row>
    <row r="2478" spans="5:24" x14ac:dyDescent="0.3">
      <c r="E2478" s="173"/>
      <c r="F2478" s="173"/>
      <c r="I2478"/>
      <c r="J2478"/>
      <c r="K2478"/>
      <c r="L2478"/>
      <c r="M2478"/>
      <c r="N2478"/>
      <c r="O2478"/>
      <c r="P2478" s="225"/>
      <c r="Q2478" s="225"/>
      <c r="R2478"/>
      <c r="S2478"/>
      <c r="T2478"/>
      <c r="U2478"/>
      <c r="V2478"/>
      <c r="W2478"/>
      <c r="X2478"/>
    </row>
    <row r="2479" spans="5:24" x14ac:dyDescent="0.3">
      <c r="E2479" s="173"/>
      <c r="F2479" s="173"/>
      <c r="I2479"/>
      <c r="J2479"/>
      <c r="K2479"/>
      <c r="L2479"/>
      <c r="M2479"/>
      <c r="N2479"/>
      <c r="O2479"/>
      <c r="P2479" s="225"/>
      <c r="Q2479" s="225"/>
      <c r="R2479"/>
      <c r="S2479"/>
      <c r="T2479"/>
      <c r="U2479"/>
      <c r="V2479"/>
      <c r="W2479"/>
      <c r="X2479"/>
    </row>
    <row r="2480" spans="5:24" x14ac:dyDescent="0.3">
      <c r="E2480" s="173"/>
      <c r="F2480" s="173"/>
      <c r="I2480"/>
      <c r="J2480"/>
      <c r="K2480"/>
      <c r="L2480"/>
      <c r="M2480"/>
      <c r="N2480"/>
      <c r="O2480"/>
      <c r="P2480" s="225"/>
      <c r="Q2480" s="225"/>
      <c r="R2480"/>
      <c r="S2480"/>
      <c r="T2480"/>
      <c r="U2480"/>
      <c r="V2480"/>
      <c r="W2480"/>
      <c r="X2480"/>
    </row>
    <row r="2481" spans="5:24" x14ac:dyDescent="0.3">
      <c r="E2481" s="173"/>
      <c r="F2481" s="173"/>
      <c r="I2481"/>
      <c r="J2481"/>
      <c r="K2481"/>
      <c r="L2481"/>
      <c r="M2481"/>
      <c r="N2481"/>
      <c r="O2481"/>
      <c r="P2481" s="225"/>
      <c r="Q2481" s="225"/>
      <c r="R2481"/>
      <c r="S2481"/>
      <c r="T2481"/>
      <c r="U2481"/>
      <c r="V2481"/>
      <c r="W2481"/>
      <c r="X2481"/>
    </row>
    <row r="2482" spans="5:24" x14ac:dyDescent="0.3">
      <c r="E2482" s="173"/>
      <c r="F2482" s="173"/>
      <c r="I2482"/>
      <c r="J2482"/>
      <c r="K2482"/>
      <c r="L2482"/>
      <c r="M2482"/>
      <c r="N2482"/>
      <c r="O2482"/>
      <c r="P2482" s="225"/>
      <c r="Q2482" s="225"/>
      <c r="R2482"/>
      <c r="S2482"/>
      <c r="T2482"/>
      <c r="U2482"/>
      <c r="V2482"/>
      <c r="W2482"/>
      <c r="X2482"/>
    </row>
    <row r="2483" spans="5:24" x14ac:dyDescent="0.3">
      <c r="E2483" s="173"/>
      <c r="F2483" s="173"/>
      <c r="I2483"/>
      <c r="J2483"/>
      <c r="K2483"/>
      <c r="L2483"/>
      <c r="M2483"/>
      <c r="N2483"/>
      <c r="O2483"/>
      <c r="P2483" s="225"/>
      <c r="Q2483" s="225"/>
      <c r="R2483"/>
      <c r="S2483"/>
      <c r="T2483"/>
      <c r="U2483"/>
      <c r="V2483"/>
      <c r="W2483"/>
      <c r="X2483"/>
    </row>
    <row r="2484" spans="5:24" x14ac:dyDescent="0.3">
      <c r="E2484" s="173"/>
      <c r="F2484" s="173"/>
      <c r="I2484"/>
      <c r="J2484"/>
      <c r="K2484"/>
      <c r="L2484"/>
      <c r="M2484"/>
      <c r="N2484"/>
      <c r="O2484"/>
      <c r="P2484" s="225"/>
      <c r="Q2484" s="225"/>
      <c r="R2484"/>
      <c r="S2484"/>
      <c r="T2484"/>
      <c r="U2484"/>
      <c r="V2484"/>
      <c r="W2484"/>
      <c r="X2484"/>
    </row>
    <row r="2485" spans="5:24" x14ac:dyDescent="0.3">
      <c r="E2485" s="173"/>
      <c r="F2485" s="173"/>
      <c r="I2485"/>
      <c r="J2485"/>
      <c r="K2485"/>
      <c r="L2485"/>
      <c r="M2485"/>
      <c r="N2485"/>
      <c r="O2485"/>
      <c r="P2485" s="225"/>
      <c r="Q2485" s="225"/>
      <c r="R2485"/>
      <c r="S2485"/>
      <c r="T2485"/>
      <c r="U2485"/>
      <c r="V2485"/>
      <c r="W2485"/>
      <c r="X2485"/>
    </row>
    <row r="2486" spans="5:24" x14ac:dyDescent="0.3">
      <c r="E2486" s="173"/>
      <c r="F2486" s="173"/>
      <c r="I2486"/>
      <c r="J2486"/>
      <c r="K2486"/>
      <c r="L2486"/>
      <c r="M2486"/>
      <c r="N2486"/>
      <c r="O2486"/>
      <c r="P2486" s="225"/>
      <c r="Q2486" s="225"/>
      <c r="R2486"/>
      <c r="S2486"/>
      <c r="T2486"/>
      <c r="U2486"/>
      <c r="V2486"/>
      <c r="W2486"/>
      <c r="X2486"/>
    </row>
    <row r="2487" spans="5:24" x14ac:dyDescent="0.3">
      <c r="E2487" s="173"/>
      <c r="F2487" s="173"/>
      <c r="I2487"/>
      <c r="J2487"/>
      <c r="K2487"/>
      <c r="L2487"/>
      <c r="M2487"/>
      <c r="N2487"/>
      <c r="O2487"/>
      <c r="P2487" s="225"/>
      <c r="Q2487" s="225"/>
      <c r="R2487"/>
      <c r="S2487"/>
      <c r="T2487"/>
      <c r="U2487"/>
      <c r="V2487"/>
      <c r="W2487"/>
      <c r="X2487"/>
    </row>
    <row r="2488" spans="5:24" x14ac:dyDescent="0.3">
      <c r="E2488" s="173"/>
      <c r="F2488" s="173"/>
      <c r="I2488"/>
      <c r="J2488"/>
      <c r="K2488"/>
      <c r="L2488"/>
      <c r="M2488"/>
      <c r="N2488"/>
      <c r="O2488"/>
      <c r="P2488" s="225"/>
      <c r="Q2488" s="225"/>
      <c r="R2488"/>
      <c r="S2488"/>
      <c r="T2488"/>
      <c r="U2488"/>
      <c r="V2488"/>
      <c r="W2488"/>
      <c r="X2488"/>
    </row>
    <row r="2489" spans="5:24" x14ac:dyDescent="0.3">
      <c r="E2489" s="173"/>
      <c r="F2489" s="173"/>
      <c r="I2489"/>
      <c r="J2489"/>
      <c r="K2489"/>
      <c r="L2489"/>
      <c r="M2489"/>
      <c r="N2489"/>
      <c r="O2489"/>
      <c r="P2489" s="225"/>
      <c r="Q2489" s="225"/>
      <c r="R2489"/>
      <c r="S2489"/>
      <c r="T2489"/>
      <c r="U2489"/>
      <c r="V2489"/>
      <c r="W2489"/>
      <c r="X2489"/>
    </row>
    <row r="2490" spans="5:24" x14ac:dyDescent="0.3">
      <c r="E2490" s="173"/>
      <c r="F2490" s="173"/>
      <c r="I2490"/>
      <c r="J2490"/>
      <c r="K2490"/>
      <c r="L2490"/>
      <c r="M2490"/>
      <c r="N2490"/>
      <c r="O2490"/>
      <c r="P2490" s="225"/>
      <c r="Q2490" s="225"/>
      <c r="R2490"/>
      <c r="S2490"/>
      <c r="T2490"/>
      <c r="U2490"/>
      <c r="V2490"/>
      <c r="W2490"/>
      <c r="X2490"/>
    </row>
    <row r="2491" spans="5:24" x14ac:dyDescent="0.3">
      <c r="E2491" s="173"/>
      <c r="F2491" s="173"/>
      <c r="I2491"/>
      <c r="J2491"/>
      <c r="K2491"/>
      <c r="L2491"/>
      <c r="M2491"/>
      <c r="N2491"/>
      <c r="O2491"/>
      <c r="P2491" s="225"/>
      <c r="Q2491" s="225"/>
      <c r="R2491"/>
      <c r="S2491"/>
      <c r="T2491"/>
      <c r="U2491"/>
      <c r="V2491"/>
      <c r="W2491"/>
      <c r="X2491"/>
    </row>
    <row r="2492" spans="5:24" x14ac:dyDescent="0.3">
      <c r="E2492" s="173"/>
      <c r="F2492" s="173"/>
      <c r="I2492"/>
      <c r="J2492"/>
      <c r="K2492"/>
      <c r="L2492"/>
      <c r="M2492"/>
      <c r="N2492"/>
      <c r="O2492"/>
      <c r="P2492" s="225"/>
      <c r="Q2492" s="225"/>
      <c r="R2492"/>
      <c r="S2492"/>
      <c r="T2492"/>
      <c r="U2492"/>
      <c r="V2492"/>
      <c r="W2492"/>
      <c r="X2492"/>
    </row>
    <row r="2493" spans="5:24" x14ac:dyDescent="0.3">
      <c r="E2493" s="173"/>
      <c r="F2493" s="173"/>
      <c r="I2493"/>
      <c r="J2493"/>
      <c r="K2493"/>
      <c r="L2493"/>
      <c r="M2493"/>
      <c r="N2493"/>
      <c r="O2493"/>
      <c r="P2493" s="225"/>
      <c r="Q2493" s="225"/>
      <c r="R2493"/>
      <c r="S2493"/>
      <c r="T2493"/>
      <c r="U2493"/>
      <c r="V2493"/>
      <c r="W2493"/>
      <c r="X2493"/>
    </row>
    <row r="2494" spans="5:24" x14ac:dyDescent="0.3">
      <c r="E2494" s="173"/>
      <c r="F2494" s="173"/>
      <c r="I2494"/>
      <c r="J2494"/>
      <c r="K2494"/>
      <c r="L2494"/>
      <c r="M2494"/>
      <c r="N2494"/>
      <c r="O2494"/>
      <c r="P2494" s="225"/>
      <c r="Q2494" s="225"/>
      <c r="R2494"/>
      <c r="S2494"/>
      <c r="T2494"/>
      <c r="U2494"/>
      <c r="V2494"/>
      <c r="W2494"/>
      <c r="X2494"/>
    </row>
    <row r="2495" spans="5:24" x14ac:dyDescent="0.3">
      <c r="E2495" s="173"/>
      <c r="F2495" s="173"/>
      <c r="I2495"/>
      <c r="J2495"/>
      <c r="K2495"/>
      <c r="L2495"/>
      <c r="M2495"/>
      <c r="N2495"/>
      <c r="O2495"/>
      <c r="P2495" s="225"/>
      <c r="Q2495" s="225"/>
      <c r="R2495"/>
      <c r="S2495"/>
      <c r="T2495"/>
      <c r="U2495"/>
      <c r="V2495"/>
      <c r="W2495"/>
      <c r="X2495"/>
    </row>
    <row r="2496" spans="5:24" x14ac:dyDescent="0.3">
      <c r="E2496" s="173"/>
      <c r="F2496" s="173"/>
      <c r="I2496"/>
      <c r="J2496"/>
      <c r="K2496"/>
      <c r="L2496"/>
      <c r="M2496"/>
      <c r="N2496"/>
      <c r="O2496"/>
      <c r="P2496" s="225"/>
      <c r="Q2496" s="225"/>
      <c r="R2496"/>
      <c r="S2496"/>
      <c r="T2496"/>
      <c r="U2496"/>
      <c r="V2496"/>
      <c r="W2496"/>
      <c r="X2496"/>
    </row>
    <row r="2497" spans="5:24" x14ac:dyDescent="0.3">
      <c r="E2497" s="173"/>
      <c r="F2497" s="173"/>
      <c r="I2497"/>
      <c r="J2497"/>
      <c r="K2497"/>
      <c r="L2497"/>
      <c r="M2497"/>
      <c r="N2497"/>
      <c r="O2497"/>
      <c r="P2497" s="225"/>
      <c r="Q2497" s="225"/>
      <c r="R2497"/>
      <c r="S2497"/>
      <c r="T2497"/>
      <c r="U2497"/>
      <c r="V2497"/>
      <c r="W2497"/>
      <c r="X2497"/>
    </row>
    <row r="2498" spans="5:24" x14ac:dyDescent="0.3">
      <c r="E2498" s="173"/>
      <c r="F2498" s="173"/>
      <c r="I2498"/>
      <c r="J2498"/>
      <c r="K2498"/>
      <c r="L2498"/>
      <c r="M2498"/>
      <c r="N2498"/>
      <c r="O2498"/>
      <c r="P2498" s="225"/>
      <c r="Q2498" s="225"/>
      <c r="R2498"/>
      <c r="S2498"/>
      <c r="T2498"/>
      <c r="U2498"/>
      <c r="V2498"/>
      <c r="W2498"/>
      <c r="X2498"/>
    </row>
    <row r="2499" spans="5:24" x14ac:dyDescent="0.3">
      <c r="E2499" s="173"/>
      <c r="F2499" s="173"/>
      <c r="I2499"/>
      <c r="J2499"/>
      <c r="K2499"/>
      <c r="L2499"/>
      <c r="M2499"/>
      <c r="N2499"/>
      <c r="O2499"/>
      <c r="P2499" s="225"/>
      <c r="Q2499" s="225"/>
      <c r="R2499"/>
      <c r="S2499"/>
      <c r="T2499"/>
      <c r="U2499"/>
      <c r="V2499"/>
      <c r="W2499"/>
      <c r="X2499"/>
    </row>
    <row r="2500" spans="5:24" x14ac:dyDescent="0.3">
      <c r="E2500" s="173"/>
      <c r="F2500" s="173"/>
      <c r="I2500"/>
      <c r="J2500"/>
      <c r="K2500"/>
      <c r="L2500"/>
      <c r="M2500"/>
      <c r="N2500"/>
      <c r="O2500"/>
      <c r="P2500" s="225"/>
      <c r="Q2500" s="225"/>
      <c r="R2500"/>
      <c r="S2500"/>
      <c r="T2500"/>
      <c r="U2500"/>
      <c r="V2500"/>
      <c r="W2500"/>
      <c r="X2500"/>
    </row>
    <row r="2501" spans="5:24" x14ac:dyDescent="0.3">
      <c r="E2501" s="173"/>
      <c r="F2501" s="173"/>
      <c r="I2501"/>
      <c r="J2501"/>
      <c r="K2501"/>
      <c r="L2501"/>
      <c r="M2501"/>
      <c r="N2501"/>
      <c r="O2501"/>
      <c r="P2501" s="225"/>
      <c r="Q2501" s="225"/>
      <c r="R2501"/>
      <c r="S2501"/>
      <c r="T2501"/>
      <c r="U2501"/>
      <c r="V2501"/>
      <c r="W2501"/>
      <c r="X2501"/>
    </row>
    <row r="2502" spans="5:24" x14ac:dyDescent="0.3">
      <c r="E2502" s="173"/>
      <c r="F2502" s="173"/>
      <c r="I2502"/>
      <c r="J2502"/>
      <c r="K2502"/>
      <c r="L2502"/>
      <c r="M2502"/>
      <c r="N2502"/>
      <c r="O2502"/>
      <c r="P2502" s="225"/>
      <c r="Q2502" s="225"/>
      <c r="R2502"/>
      <c r="S2502"/>
      <c r="T2502"/>
      <c r="U2502"/>
      <c r="V2502"/>
      <c r="W2502"/>
      <c r="X2502"/>
    </row>
    <row r="2503" spans="5:24" x14ac:dyDescent="0.3">
      <c r="E2503" s="173"/>
      <c r="F2503" s="173"/>
      <c r="I2503"/>
      <c r="J2503"/>
      <c r="K2503"/>
      <c r="L2503"/>
      <c r="M2503"/>
      <c r="N2503"/>
      <c r="O2503"/>
      <c r="P2503" s="225"/>
      <c r="Q2503" s="225"/>
      <c r="R2503"/>
      <c r="S2503"/>
      <c r="T2503"/>
      <c r="U2503"/>
      <c r="V2503"/>
      <c r="W2503"/>
      <c r="X2503"/>
    </row>
    <row r="2504" spans="5:24" x14ac:dyDescent="0.3">
      <c r="E2504" s="173"/>
      <c r="F2504" s="173"/>
      <c r="I2504"/>
      <c r="J2504"/>
      <c r="K2504"/>
      <c r="L2504"/>
      <c r="M2504"/>
      <c r="N2504"/>
      <c r="O2504"/>
      <c r="P2504" s="225"/>
      <c r="Q2504" s="225"/>
      <c r="R2504"/>
      <c r="S2504"/>
      <c r="T2504"/>
      <c r="U2504"/>
      <c r="V2504"/>
      <c r="W2504"/>
      <c r="X2504"/>
    </row>
    <row r="2505" spans="5:24" x14ac:dyDescent="0.3">
      <c r="E2505" s="173"/>
      <c r="F2505" s="173"/>
      <c r="I2505"/>
      <c r="J2505"/>
      <c r="K2505"/>
      <c r="L2505"/>
      <c r="M2505"/>
      <c r="N2505"/>
      <c r="O2505"/>
      <c r="P2505" s="225"/>
      <c r="Q2505" s="225"/>
      <c r="R2505"/>
      <c r="S2505"/>
      <c r="T2505"/>
      <c r="U2505"/>
      <c r="V2505"/>
      <c r="W2505"/>
      <c r="X2505"/>
    </row>
    <row r="2506" spans="5:24" x14ac:dyDescent="0.3">
      <c r="E2506" s="173"/>
      <c r="F2506" s="173"/>
      <c r="I2506"/>
      <c r="J2506"/>
      <c r="K2506"/>
      <c r="L2506"/>
      <c r="M2506"/>
      <c r="N2506"/>
      <c r="O2506"/>
      <c r="P2506" s="225"/>
      <c r="Q2506" s="225"/>
      <c r="R2506"/>
      <c r="S2506"/>
      <c r="T2506"/>
      <c r="U2506"/>
      <c r="V2506"/>
      <c r="W2506"/>
      <c r="X2506"/>
    </row>
    <row r="2507" spans="5:24" x14ac:dyDescent="0.3">
      <c r="E2507" s="173"/>
      <c r="F2507" s="173"/>
      <c r="I2507"/>
      <c r="J2507"/>
      <c r="K2507"/>
      <c r="L2507"/>
      <c r="M2507"/>
      <c r="N2507"/>
      <c r="O2507"/>
      <c r="P2507" s="225"/>
      <c r="Q2507" s="225"/>
      <c r="R2507"/>
      <c r="S2507"/>
      <c r="T2507"/>
      <c r="U2507"/>
      <c r="V2507"/>
      <c r="W2507"/>
      <c r="X2507"/>
    </row>
    <row r="2508" spans="5:24" x14ac:dyDescent="0.3">
      <c r="E2508" s="173"/>
      <c r="F2508" s="173"/>
      <c r="I2508"/>
      <c r="J2508"/>
      <c r="K2508"/>
      <c r="L2508"/>
      <c r="M2508"/>
      <c r="N2508"/>
      <c r="O2508"/>
      <c r="P2508" s="225"/>
      <c r="Q2508" s="225"/>
      <c r="R2508"/>
      <c r="S2508"/>
      <c r="T2508"/>
      <c r="U2508"/>
      <c r="V2508"/>
      <c r="W2508"/>
      <c r="X2508"/>
    </row>
    <row r="2509" spans="5:24" x14ac:dyDescent="0.3">
      <c r="E2509" s="173"/>
      <c r="F2509" s="173"/>
      <c r="I2509"/>
      <c r="J2509"/>
      <c r="K2509"/>
      <c r="L2509"/>
      <c r="M2509"/>
      <c r="N2509"/>
      <c r="O2509"/>
      <c r="P2509" s="225"/>
      <c r="Q2509" s="225"/>
      <c r="R2509"/>
      <c r="S2509"/>
      <c r="T2509"/>
      <c r="U2509"/>
      <c r="V2509"/>
      <c r="W2509"/>
      <c r="X2509"/>
    </row>
    <row r="2510" spans="5:24" x14ac:dyDescent="0.3">
      <c r="E2510" s="173"/>
      <c r="F2510" s="173"/>
      <c r="I2510"/>
      <c r="J2510"/>
      <c r="K2510"/>
      <c r="L2510"/>
      <c r="M2510"/>
      <c r="N2510"/>
      <c r="O2510"/>
      <c r="P2510" s="225"/>
      <c r="Q2510" s="225"/>
      <c r="R2510"/>
      <c r="S2510"/>
      <c r="T2510"/>
      <c r="U2510"/>
      <c r="V2510"/>
      <c r="W2510"/>
      <c r="X2510"/>
    </row>
    <row r="2511" spans="5:24" x14ac:dyDescent="0.3">
      <c r="E2511" s="173"/>
      <c r="F2511" s="173"/>
      <c r="I2511"/>
      <c r="J2511"/>
      <c r="K2511"/>
      <c r="L2511"/>
      <c r="M2511"/>
      <c r="N2511"/>
      <c r="O2511"/>
      <c r="P2511" s="225"/>
      <c r="Q2511" s="225"/>
      <c r="R2511"/>
      <c r="S2511"/>
      <c r="T2511"/>
      <c r="U2511"/>
      <c r="V2511"/>
      <c r="W2511"/>
      <c r="X2511"/>
    </row>
    <row r="2512" spans="5:24" x14ac:dyDescent="0.3">
      <c r="E2512" s="173"/>
      <c r="F2512" s="173"/>
      <c r="I2512"/>
      <c r="J2512"/>
      <c r="K2512"/>
      <c r="L2512"/>
      <c r="M2512"/>
      <c r="N2512"/>
      <c r="O2512"/>
      <c r="P2512" s="225"/>
      <c r="Q2512" s="225"/>
      <c r="R2512"/>
      <c r="S2512"/>
      <c r="T2512"/>
      <c r="U2512"/>
      <c r="V2512"/>
      <c r="W2512"/>
      <c r="X2512"/>
    </row>
    <row r="2513" spans="5:24" x14ac:dyDescent="0.3">
      <c r="E2513" s="173"/>
      <c r="F2513" s="173"/>
      <c r="I2513"/>
      <c r="J2513"/>
      <c r="K2513"/>
      <c r="L2513"/>
      <c r="M2513"/>
      <c r="N2513"/>
      <c r="O2513"/>
      <c r="P2513" s="225"/>
      <c r="Q2513" s="225"/>
      <c r="R2513"/>
      <c r="S2513"/>
      <c r="T2513"/>
      <c r="U2513"/>
      <c r="V2513"/>
      <c r="W2513"/>
      <c r="X2513"/>
    </row>
    <row r="2514" spans="5:24" x14ac:dyDescent="0.3">
      <c r="E2514" s="173"/>
      <c r="F2514" s="173"/>
      <c r="I2514"/>
      <c r="J2514"/>
      <c r="K2514"/>
      <c r="L2514"/>
      <c r="M2514"/>
      <c r="N2514"/>
      <c r="O2514"/>
      <c r="P2514" s="225"/>
      <c r="Q2514" s="225"/>
      <c r="R2514"/>
      <c r="S2514"/>
      <c r="T2514"/>
      <c r="U2514"/>
      <c r="V2514"/>
      <c r="W2514"/>
      <c r="X2514"/>
    </row>
    <row r="2515" spans="5:24" x14ac:dyDescent="0.3">
      <c r="E2515" s="173"/>
      <c r="F2515" s="173"/>
      <c r="I2515"/>
      <c r="J2515"/>
      <c r="K2515"/>
      <c r="L2515"/>
      <c r="M2515"/>
      <c r="N2515"/>
      <c r="O2515"/>
      <c r="P2515" s="225"/>
      <c r="Q2515" s="225"/>
      <c r="R2515"/>
      <c r="S2515"/>
      <c r="T2515"/>
      <c r="U2515"/>
      <c r="V2515"/>
      <c r="W2515"/>
      <c r="X2515"/>
    </row>
    <row r="2516" spans="5:24" x14ac:dyDescent="0.3">
      <c r="E2516" s="173"/>
      <c r="F2516" s="173"/>
      <c r="I2516"/>
      <c r="J2516"/>
      <c r="K2516"/>
      <c r="L2516"/>
      <c r="M2516"/>
      <c r="N2516"/>
      <c r="O2516"/>
      <c r="P2516" s="225"/>
      <c r="Q2516" s="225"/>
      <c r="R2516"/>
      <c r="S2516"/>
      <c r="T2516"/>
      <c r="U2516"/>
      <c r="V2516"/>
      <c r="W2516"/>
      <c r="X2516"/>
    </row>
    <row r="2517" spans="5:24" x14ac:dyDescent="0.3">
      <c r="E2517" s="173"/>
      <c r="F2517" s="173"/>
      <c r="I2517"/>
      <c r="J2517"/>
      <c r="K2517"/>
      <c r="L2517"/>
      <c r="M2517"/>
      <c r="N2517"/>
      <c r="O2517"/>
      <c r="P2517" s="225"/>
      <c r="Q2517" s="225"/>
      <c r="R2517"/>
      <c r="S2517"/>
      <c r="T2517"/>
      <c r="U2517"/>
      <c r="V2517"/>
      <c r="W2517"/>
      <c r="X2517"/>
    </row>
    <row r="2518" spans="5:24" x14ac:dyDescent="0.3">
      <c r="E2518" s="173"/>
      <c r="F2518" s="173"/>
      <c r="I2518"/>
      <c r="J2518"/>
      <c r="K2518"/>
      <c r="L2518"/>
      <c r="M2518"/>
      <c r="N2518"/>
      <c r="O2518"/>
      <c r="P2518" s="225"/>
      <c r="Q2518" s="225"/>
      <c r="R2518"/>
      <c r="S2518"/>
      <c r="T2518"/>
      <c r="U2518"/>
      <c r="V2518"/>
      <c r="W2518"/>
      <c r="X2518"/>
    </row>
    <row r="2519" spans="5:24" x14ac:dyDescent="0.3">
      <c r="E2519" s="173"/>
      <c r="F2519" s="173"/>
      <c r="I2519"/>
      <c r="J2519"/>
      <c r="K2519"/>
      <c r="L2519"/>
      <c r="M2519"/>
      <c r="N2519"/>
      <c r="O2519"/>
      <c r="P2519" s="225"/>
      <c r="Q2519" s="225"/>
      <c r="R2519"/>
      <c r="S2519"/>
      <c r="T2519"/>
      <c r="U2519"/>
      <c r="V2519"/>
      <c r="W2519"/>
      <c r="X2519"/>
    </row>
    <row r="2520" spans="5:24" x14ac:dyDescent="0.3">
      <c r="E2520" s="173"/>
      <c r="F2520" s="173"/>
      <c r="I2520"/>
      <c r="J2520"/>
      <c r="K2520"/>
      <c r="L2520"/>
      <c r="M2520"/>
      <c r="N2520"/>
      <c r="O2520"/>
      <c r="P2520" s="225"/>
      <c r="Q2520" s="225"/>
      <c r="R2520"/>
      <c r="S2520"/>
      <c r="T2520"/>
      <c r="U2520"/>
      <c r="V2520"/>
      <c r="W2520"/>
      <c r="X2520"/>
    </row>
    <row r="2521" spans="5:24" x14ac:dyDescent="0.3">
      <c r="E2521" s="173"/>
      <c r="F2521" s="173"/>
      <c r="I2521"/>
      <c r="J2521"/>
      <c r="K2521"/>
      <c r="L2521"/>
      <c r="M2521"/>
      <c r="N2521"/>
      <c r="O2521"/>
      <c r="P2521" s="225"/>
      <c r="Q2521" s="225"/>
      <c r="R2521"/>
      <c r="S2521"/>
      <c r="T2521"/>
      <c r="U2521"/>
      <c r="V2521"/>
      <c r="W2521"/>
      <c r="X2521"/>
    </row>
    <row r="2522" spans="5:24" x14ac:dyDescent="0.3">
      <c r="E2522" s="173"/>
      <c r="F2522" s="173"/>
      <c r="I2522"/>
      <c r="J2522"/>
      <c r="K2522"/>
      <c r="L2522"/>
      <c r="M2522"/>
      <c r="N2522"/>
      <c r="O2522"/>
      <c r="P2522" s="225"/>
      <c r="Q2522" s="225"/>
      <c r="R2522"/>
      <c r="S2522"/>
      <c r="T2522"/>
      <c r="U2522"/>
      <c r="V2522"/>
      <c r="W2522"/>
      <c r="X2522"/>
    </row>
    <row r="2523" spans="5:24" x14ac:dyDescent="0.3">
      <c r="E2523" s="173"/>
      <c r="F2523" s="173"/>
      <c r="I2523"/>
      <c r="J2523"/>
      <c r="K2523"/>
      <c r="L2523"/>
      <c r="M2523"/>
      <c r="N2523"/>
      <c r="O2523"/>
      <c r="P2523" s="225"/>
      <c r="Q2523" s="225"/>
      <c r="R2523"/>
      <c r="S2523"/>
      <c r="T2523"/>
      <c r="U2523"/>
      <c r="V2523"/>
      <c r="W2523"/>
      <c r="X2523"/>
    </row>
    <row r="2524" spans="5:24" x14ac:dyDescent="0.3">
      <c r="E2524" s="173"/>
      <c r="F2524" s="173"/>
      <c r="I2524"/>
      <c r="J2524"/>
      <c r="K2524"/>
      <c r="L2524"/>
      <c r="M2524"/>
      <c r="N2524"/>
      <c r="O2524"/>
      <c r="P2524" s="225"/>
      <c r="Q2524" s="225"/>
      <c r="R2524"/>
      <c r="S2524"/>
      <c r="T2524"/>
      <c r="U2524"/>
      <c r="V2524"/>
      <c r="W2524"/>
      <c r="X2524"/>
    </row>
    <row r="2525" spans="5:24" x14ac:dyDescent="0.3">
      <c r="E2525" s="173"/>
      <c r="F2525" s="173"/>
      <c r="I2525"/>
      <c r="J2525"/>
      <c r="K2525"/>
      <c r="L2525"/>
      <c r="M2525"/>
      <c r="N2525"/>
      <c r="O2525"/>
      <c r="P2525" s="225"/>
      <c r="Q2525" s="225"/>
      <c r="R2525"/>
      <c r="S2525"/>
      <c r="T2525"/>
      <c r="U2525"/>
      <c r="V2525"/>
      <c r="W2525"/>
      <c r="X2525"/>
    </row>
    <row r="2526" spans="5:24" x14ac:dyDescent="0.3">
      <c r="E2526" s="173"/>
      <c r="F2526" s="173"/>
      <c r="I2526"/>
      <c r="J2526"/>
      <c r="K2526"/>
      <c r="L2526"/>
      <c r="M2526"/>
      <c r="N2526"/>
      <c r="O2526"/>
      <c r="P2526" s="225"/>
      <c r="Q2526" s="225"/>
      <c r="R2526"/>
      <c r="S2526"/>
      <c r="T2526"/>
      <c r="U2526"/>
      <c r="V2526"/>
      <c r="W2526"/>
      <c r="X2526"/>
    </row>
    <row r="2527" spans="5:24" x14ac:dyDescent="0.3">
      <c r="E2527" s="173"/>
      <c r="F2527" s="173"/>
      <c r="I2527"/>
      <c r="J2527"/>
      <c r="K2527"/>
      <c r="L2527"/>
      <c r="M2527"/>
      <c r="N2527"/>
      <c r="O2527"/>
      <c r="P2527" s="225"/>
      <c r="Q2527" s="225"/>
      <c r="R2527"/>
      <c r="S2527"/>
      <c r="T2527"/>
      <c r="U2527"/>
      <c r="V2527"/>
      <c r="W2527"/>
      <c r="X2527"/>
    </row>
    <row r="2528" spans="5:24" x14ac:dyDescent="0.3">
      <c r="E2528" s="173"/>
      <c r="F2528" s="173"/>
      <c r="I2528"/>
      <c r="J2528"/>
      <c r="K2528"/>
      <c r="L2528"/>
      <c r="M2528"/>
      <c r="N2528"/>
      <c r="O2528"/>
      <c r="P2528" s="225"/>
      <c r="Q2528" s="225"/>
      <c r="R2528"/>
      <c r="S2528"/>
      <c r="T2528"/>
      <c r="U2528"/>
      <c r="V2528"/>
      <c r="W2528"/>
      <c r="X2528"/>
    </row>
    <row r="2529" spans="5:24" x14ac:dyDescent="0.3">
      <c r="E2529" s="173"/>
      <c r="F2529" s="173"/>
      <c r="I2529"/>
      <c r="J2529"/>
      <c r="K2529"/>
      <c r="L2529"/>
      <c r="M2529"/>
      <c r="N2529"/>
      <c r="O2529"/>
      <c r="P2529" s="225"/>
      <c r="Q2529" s="225"/>
      <c r="R2529"/>
      <c r="S2529"/>
      <c r="T2529"/>
      <c r="U2529"/>
      <c r="V2529"/>
      <c r="W2529"/>
      <c r="X2529"/>
    </row>
    <row r="2530" spans="5:24" x14ac:dyDescent="0.3">
      <c r="E2530" s="173"/>
      <c r="F2530" s="173"/>
      <c r="I2530"/>
      <c r="J2530"/>
      <c r="K2530"/>
      <c r="L2530"/>
      <c r="M2530"/>
      <c r="N2530"/>
      <c r="O2530"/>
      <c r="P2530" s="225"/>
      <c r="Q2530" s="225"/>
      <c r="R2530"/>
      <c r="S2530"/>
      <c r="T2530"/>
      <c r="U2530"/>
      <c r="V2530"/>
      <c r="W2530"/>
      <c r="X2530"/>
    </row>
    <row r="2531" spans="5:24" x14ac:dyDescent="0.3">
      <c r="E2531" s="173"/>
      <c r="F2531" s="173"/>
      <c r="I2531"/>
      <c r="J2531"/>
      <c r="K2531"/>
      <c r="L2531"/>
      <c r="M2531"/>
      <c r="N2531"/>
      <c r="O2531"/>
      <c r="P2531" s="225"/>
      <c r="Q2531" s="225"/>
      <c r="R2531"/>
      <c r="S2531"/>
      <c r="T2531"/>
      <c r="U2531"/>
      <c r="V2531"/>
      <c r="W2531"/>
      <c r="X2531"/>
    </row>
    <row r="2532" spans="5:24" x14ac:dyDescent="0.3">
      <c r="E2532" s="173"/>
      <c r="F2532" s="173"/>
      <c r="I2532"/>
      <c r="J2532"/>
      <c r="K2532"/>
      <c r="L2532"/>
      <c r="M2532"/>
      <c r="N2532"/>
      <c r="O2532"/>
      <c r="P2532" s="225"/>
      <c r="Q2532" s="225"/>
      <c r="R2532"/>
      <c r="S2532"/>
      <c r="T2532"/>
      <c r="U2532"/>
      <c r="V2532"/>
      <c r="W2532"/>
      <c r="X2532"/>
    </row>
    <row r="2533" spans="5:24" x14ac:dyDescent="0.3">
      <c r="E2533" s="173"/>
      <c r="F2533" s="173"/>
      <c r="I2533"/>
      <c r="J2533"/>
      <c r="K2533"/>
      <c r="L2533"/>
      <c r="M2533"/>
      <c r="N2533"/>
      <c r="O2533"/>
      <c r="P2533" s="225"/>
      <c r="Q2533" s="225"/>
      <c r="R2533"/>
      <c r="S2533"/>
      <c r="T2533"/>
      <c r="U2533"/>
      <c r="V2533"/>
      <c r="W2533"/>
      <c r="X2533"/>
    </row>
    <row r="2534" spans="5:24" x14ac:dyDescent="0.3">
      <c r="E2534" s="173"/>
      <c r="F2534" s="173"/>
      <c r="I2534"/>
      <c r="J2534"/>
      <c r="K2534"/>
      <c r="L2534"/>
      <c r="M2534"/>
      <c r="N2534"/>
      <c r="O2534"/>
      <c r="P2534" s="225"/>
      <c r="Q2534" s="225"/>
      <c r="R2534"/>
      <c r="S2534"/>
      <c r="T2534"/>
      <c r="U2534"/>
      <c r="V2534"/>
      <c r="W2534"/>
      <c r="X2534"/>
    </row>
    <row r="2535" spans="5:24" x14ac:dyDescent="0.3">
      <c r="E2535" s="173"/>
      <c r="F2535" s="173"/>
      <c r="I2535"/>
      <c r="J2535"/>
      <c r="K2535"/>
      <c r="L2535"/>
      <c r="M2535"/>
      <c r="N2535"/>
      <c r="O2535"/>
      <c r="P2535" s="225"/>
      <c r="Q2535" s="225"/>
      <c r="R2535"/>
      <c r="S2535"/>
      <c r="T2535"/>
      <c r="U2535"/>
      <c r="V2535"/>
      <c r="W2535"/>
      <c r="X2535"/>
    </row>
    <row r="2536" spans="5:24" x14ac:dyDescent="0.3">
      <c r="E2536" s="173"/>
      <c r="F2536" s="173"/>
      <c r="I2536"/>
      <c r="J2536"/>
      <c r="K2536"/>
      <c r="L2536"/>
      <c r="M2536"/>
      <c r="N2536"/>
      <c r="O2536"/>
      <c r="P2536" s="225"/>
      <c r="Q2536" s="225"/>
      <c r="R2536"/>
      <c r="S2536"/>
      <c r="T2536"/>
      <c r="U2536"/>
      <c r="V2536"/>
      <c r="W2536"/>
      <c r="X2536"/>
    </row>
    <row r="2537" spans="5:24" x14ac:dyDescent="0.3">
      <c r="E2537" s="173"/>
      <c r="F2537" s="173"/>
      <c r="I2537"/>
      <c r="J2537"/>
      <c r="K2537"/>
      <c r="L2537"/>
      <c r="M2537"/>
      <c r="N2537"/>
      <c r="O2537"/>
      <c r="P2537" s="225"/>
      <c r="Q2537" s="225"/>
      <c r="R2537"/>
      <c r="S2537"/>
      <c r="T2537"/>
      <c r="U2537"/>
      <c r="V2537"/>
      <c r="W2537"/>
      <c r="X2537"/>
    </row>
    <row r="2538" spans="5:24" x14ac:dyDescent="0.3">
      <c r="E2538" s="173"/>
      <c r="F2538" s="173"/>
      <c r="I2538"/>
      <c r="J2538"/>
      <c r="K2538"/>
      <c r="L2538"/>
      <c r="M2538"/>
      <c r="N2538"/>
      <c r="O2538"/>
      <c r="P2538" s="225"/>
      <c r="Q2538" s="225"/>
      <c r="R2538"/>
      <c r="S2538"/>
      <c r="T2538"/>
      <c r="U2538"/>
      <c r="V2538"/>
      <c r="W2538"/>
      <c r="X2538"/>
    </row>
    <row r="2539" spans="5:24" x14ac:dyDescent="0.3">
      <c r="E2539" s="173"/>
      <c r="F2539" s="173"/>
      <c r="I2539"/>
      <c r="J2539"/>
      <c r="K2539"/>
      <c r="L2539"/>
      <c r="M2539"/>
      <c r="N2539"/>
      <c r="O2539"/>
      <c r="P2539" s="225"/>
      <c r="Q2539" s="225"/>
      <c r="R2539"/>
      <c r="S2539"/>
      <c r="T2539"/>
      <c r="U2539"/>
      <c r="V2539"/>
      <c r="W2539"/>
      <c r="X2539"/>
    </row>
    <row r="2540" spans="5:24" x14ac:dyDescent="0.3">
      <c r="E2540" s="173"/>
      <c r="F2540" s="173"/>
      <c r="I2540"/>
      <c r="J2540"/>
      <c r="K2540"/>
      <c r="L2540"/>
      <c r="M2540"/>
      <c r="N2540"/>
      <c r="O2540"/>
      <c r="P2540" s="225"/>
      <c r="Q2540" s="225"/>
      <c r="R2540"/>
      <c r="S2540"/>
      <c r="T2540"/>
      <c r="U2540"/>
      <c r="V2540"/>
      <c r="W2540"/>
      <c r="X2540"/>
    </row>
    <row r="2541" spans="5:24" x14ac:dyDescent="0.3">
      <c r="E2541" s="173"/>
      <c r="F2541" s="173"/>
      <c r="I2541"/>
      <c r="J2541"/>
      <c r="K2541"/>
      <c r="L2541"/>
      <c r="M2541"/>
      <c r="N2541"/>
      <c r="O2541"/>
      <c r="P2541" s="225"/>
      <c r="Q2541" s="225"/>
      <c r="R2541"/>
      <c r="S2541"/>
      <c r="T2541"/>
      <c r="U2541"/>
      <c r="V2541"/>
      <c r="W2541"/>
      <c r="X2541"/>
    </row>
    <row r="2542" spans="5:24" x14ac:dyDescent="0.3">
      <c r="E2542" s="173"/>
      <c r="F2542" s="173"/>
      <c r="I2542"/>
      <c r="J2542"/>
      <c r="K2542"/>
      <c r="L2542"/>
      <c r="M2542"/>
      <c r="N2542"/>
      <c r="O2542"/>
      <c r="P2542" s="225"/>
      <c r="Q2542" s="225"/>
      <c r="R2542"/>
      <c r="S2542"/>
      <c r="T2542"/>
      <c r="U2542"/>
      <c r="V2542"/>
      <c r="W2542"/>
      <c r="X2542"/>
    </row>
    <row r="2543" spans="5:24" x14ac:dyDescent="0.3">
      <c r="E2543" s="173"/>
      <c r="F2543" s="173"/>
      <c r="I2543"/>
      <c r="J2543"/>
      <c r="K2543"/>
      <c r="L2543"/>
      <c r="M2543"/>
      <c r="N2543"/>
      <c r="O2543"/>
      <c r="P2543" s="225"/>
      <c r="Q2543" s="225"/>
      <c r="R2543"/>
      <c r="S2543"/>
      <c r="T2543"/>
      <c r="U2543"/>
      <c r="V2543"/>
      <c r="W2543"/>
      <c r="X2543"/>
    </row>
    <row r="2544" spans="5:24" x14ac:dyDescent="0.3">
      <c r="E2544" s="173"/>
      <c r="F2544" s="173"/>
      <c r="I2544"/>
      <c r="J2544"/>
      <c r="K2544"/>
      <c r="L2544"/>
      <c r="M2544"/>
      <c r="N2544"/>
      <c r="O2544"/>
      <c r="P2544" s="225"/>
      <c r="Q2544" s="225"/>
      <c r="R2544"/>
      <c r="S2544"/>
      <c r="T2544"/>
      <c r="U2544"/>
      <c r="V2544"/>
      <c r="W2544"/>
      <c r="X2544"/>
    </row>
    <row r="2545" spans="5:24" x14ac:dyDescent="0.3">
      <c r="E2545" s="173"/>
      <c r="F2545" s="173"/>
      <c r="I2545"/>
      <c r="J2545"/>
      <c r="K2545"/>
      <c r="L2545"/>
      <c r="M2545"/>
      <c r="N2545"/>
      <c r="O2545"/>
      <c r="P2545" s="225"/>
      <c r="Q2545" s="225"/>
      <c r="R2545"/>
      <c r="S2545"/>
      <c r="T2545"/>
      <c r="U2545"/>
      <c r="V2545"/>
      <c r="W2545"/>
      <c r="X2545"/>
    </row>
    <row r="2546" spans="5:24" x14ac:dyDescent="0.3">
      <c r="E2546" s="173"/>
      <c r="F2546" s="173"/>
      <c r="I2546"/>
      <c r="J2546"/>
      <c r="K2546"/>
      <c r="L2546"/>
      <c r="M2546"/>
      <c r="N2546"/>
      <c r="O2546"/>
      <c r="P2546" s="225"/>
      <c r="Q2546" s="225"/>
      <c r="R2546"/>
      <c r="S2546"/>
      <c r="T2546"/>
      <c r="U2546"/>
      <c r="V2546"/>
      <c r="W2546"/>
      <c r="X2546"/>
    </row>
    <row r="2547" spans="5:24" x14ac:dyDescent="0.3">
      <c r="E2547" s="173"/>
      <c r="F2547" s="173"/>
      <c r="I2547"/>
      <c r="J2547"/>
      <c r="K2547"/>
      <c r="L2547"/>
      <c r="M2547"/>
      <c r="N2547"/>
      <c r="O2547"/>
      <c r="P2547" s="225"/>
      <c r="Q2547" s="225"/>
      <c r="R2547"/>
      <c r="S2547"/>
      <c r="T2547"/>
      <c r="U2547"/>
      <c r="V2547"/>
      <c r="W2547"/>
      <c r="X2547"/>
    </row>
    <row r="2548" spans="5:24" x14ac:dyDescent="0.3">
      <c r="E2548" s="173"/>
      <c r="F2548" s="173"/>
      <c r="I2548"/>
      <c r="J2548"/>
      <c r="K2548"/>
      <c r="L2548"/>
      <c r="M2548"/>
      <c r="N2548"/>
      <c r="O2548"/>
      <c r="P2548" s="225"/>
      <c r="Q2548" s="225"/>
      <c r="R2548"/>
      <c r="S2548"/>
      <c r="T2548"/>
      <c r="U2548"/>
      <c r="V2548"/>
      <c r="W2548"/>
      <c r="X2548"/>
    </row>
    <row r="2549" spans="5:24" x14ac:dyDescent="0.3">
      <c r="E2549" s="173"/>
      <c r="F2549" s="173"/>
      <c r="I2549"/>
      <c r="J2549"/>
      <c r="K2549"/>
      <c r="L2549"/>
      <c r="M2549"/>
      <c r="N2549"/>
      <c r="O2549"/>
      <c r="P2549" s="225"/>
      <c r="Q2549" s="225"/>
      <c r="R2549"/>
      <c r="S2549"/>
      <c r="T2549"/>
      <c r="U2549"/>
      <c r="V2549"/>
      <c r="W2549"/>
      <c r="X2549"/>
    </row>
    <row r="2550" spans="5:24" x14ac:dyDescent="0.3">
      <c r="E2550" s="173"/>
      <c r="F2550" s="173"/>
      <c r="I2550"/>
      <c r="J2550"/>
      <c r="K2550"/>
      <c r="L2550"/>
      <c r="M2550"/>
      <c r="N2550"/>
      <c r="O2550"/>
      <c r="P2550" s="225"/>
      <c r="Q2550" s="225"/>
      <c r="R2550"/>
      <c r="S2550"/>
      <c r="T2550"/>
      <c r="U2550"/>
      <c r="V2550"/>
      <c r="W2550"/>
      <c r="X2550"/>
    </row>
    <row r="2551" spans="5:24" x14ac:dyDescent="0.3">
      <c r="E2551" s="173"/>
      <c r="F2551" s="173"/>
      <c r="I2551"/>
      <c r="J2551"/>
      <c r="K2551"/>
      <c r="L2551"/>
      <c r="M2551"/>
      <c r="N2551"/>
      <c r="O2551"/>
      <c r="P2551" s="225"/>
      <c r="Q2551" s="225"/>
      <c r="R2551"/>
      <c r="S2551"/>
      <c r="T2551"/>
      <c r="U2551"/>
      <c r="V2551"/>
      <c r="W2551"/>
      <c r="X2551"/>
    </row>
    <row r="2552" spans="5:24" x14ac:dyDescent="0.3">
      <c r="E2552" s="173"/>
      <c r="F2552" s="173"/>
      <c r="I2552"/>
      <c r="J2552"/>
      <c r="K2552"/>
      <c r="L2552"/>
      <c r="M2552"/>
      <c r="N2552"/>
      <c r="O2552"/>
      <c r="P2552" s="225"/>
      <c r="Q2552" s="225"/>
      <c r="R2552"/>
      <c r="S2552"/>
      <c r="T2552"/>
      <c r="U2552"/>
      <c r="V2552"/>
      <c r="W2552"/>
      <c r="X2552"/>
    </row>
    <row r="2553" spans="5:24" x14ac:dyDescent="0.3">
      <c r="E2553" s="173"/>
      <c r="F2553" s="173"/>
      <c r="I2553"/>
      <c r="J2553"/>
      <c r="K2553"/>
      <c r="L2553"/>
      <c r="M2553"/>
      <c r="N2553"/>
      <c r="O2553"/>
      <c r="P2553" s="225"/>
      <c r="Q2553" s="225"/>
      <c r="R2553"/>
      <c r="S2553"/>
      <c r="T2553"/>
      <c r="U2553"/>
      <c r="V2553"/>
      <c r="W2553"/>
      <c r="X2553"/>
    </row>
    <row r="2554" spans="5:24" x14ac:dyDescent="0.3">
      <c r="E2554" s="173"/>
      <c r="F2554" s="173"/>
      <c r="I2554"/>
      <c r="J2554"/>
      <c r="K2554"/>
      <c r="L2554"/>
      <c r="M2554"/>
      <c r="N2554"/>
      <c r="O2554"/>
      <c r="P2554" s="225"/>
      <c r="Q2554" s="225"/>
      <c r="R2554"/>
      <c r="S2554"/>
      <c r="T2554"/>
      <c r="U2554"/>
      <c r="V2554"/>
      <c r="W2554"/>
      <c r="X2554"/>
    </row>
    <row r="2555" spans="5:24" x14ac:dyDescent="0.3">
      <c r="E2555" s="173"/>
      <c r="F2555" s="173"/>
      <c r="I2555"/>
      <c r="J2555"/>
      <c r="K2555"/>
      <c r="L2555"/>
      <c r="M2555"/>
      <c r="N2555"/>
      <c r="O2555"/>
      <c r="P2555" s="225"/>
      <c r="Q2555" s="225"/>
      <c r="R2555"/>
      <c r="S2555"/>
      <c r="T2555"/>
      <c r="U2555"/>
      <c r="V2555"/>
      <c r="W2555"/>
      <c r="X2555"/>
    </row>
    <row r="2556" spans="5:24" x14ac:dyDescent="0.3">
      <c r="E2556" s="173"/>
      <c r="F2556" s="173"/>
      <c r="I2556"/>
      <c r="J2556"/>
      <c r="K2556"/>
      <c r="L2556"/>
      <c r="M2556"/>
      <c r="N2556"/>
      <c r="O2556"/>
      <c r="P2556" s="225"/>
      <c r="Q2556" s="225"/>
      <c r="R2556"/>
      <c r="S2556"/>
      <c r="T2556"/>
      <c r="U2556"/>
      <c r="V2556"/>
      <c r="W2556"/>
      <c r="X2556"/>
    </row>
    <row r="2557" spans="5:24" x14ac:dyDescent="0.3">
      <c r="E2557" s="173"/>
      <c r="F2557" s="173"/>
      <c r="I2557"/>
      <c r="J2557"/>
      <c r="K2557"/>
      <c r="L2557"/>
      <c r="M2557"/>
      <c r="N2557"/>
      <c r="O2557"/>
      <c r="P2557" s="225"/>
      <c r="Q2557" s="225"/>
      <c r="R2557"/>
      <c r="S2557"/>
      <c r="T2557"/>
      <c r="U2557"/>
      <c r="V2557"/>
      <c r="W2557"/>
      <c r="X2557"/>
    </row>
    <row r="2558" spans="5:24" x14ac:dyDescent="0.3">
      <c r="E2558" s="173"/>
      <c r="F2558" s="173"/>
      <c r="I2558"/>
      <c r="J2558"/>
      <c r="K2558"/>
      <c r="L2558"/>
      <c r="M2558"/>
      <c r="N2558"/>
      <c r="O2558"/>
      <c r="P2558" s="225"/>
      <c r="Q2558" s="225"/>
      <c r="R2558"/>
      <c r="S2558"/>
      <c r="T2558"/>
      <c r="U2558"/>
      <c r="V2558"/>
      <c r="W2558"/>
      <c r="X2558"/>
    </row>
    <row r="2559" spans="5:24" x14ac:dyDescent="0.3">
      <c r="E2559" s="173"/>
      <c r="F2559" s="173"/>
      <c r="I2559"/>
      <c r="J2559"/>
      <c r="K2559"/>
      <c r="L2559"/>
      <c r="M2559"/>
      <c r="N2559"/>
      <c r="O2559"/>
      <c r="P2559" s="225"/>
      <c r="Q2559" s="225"/>
      <c r="R2559"/>
      <c r="S2559"/>
      <c r="T2559"/>
      <c r="U2559"/>
      <c r="V2559"/>
      <c r="W2559"/>
      <c r="X2559"/>
    </row>
    <row r="2560" spans="5:24" x14ac:dyDescent="0.3">
      <c r="E2560" s="173"/>
      <c r="F2560" s="173"/>
      <c r="I2560"/>
      <c r="J2560"/>
      <c r="K2560"/>
      <c r="L2560"/>
      <c r="M2560"/>
      <c r="N2560"/>
      <c r="O2560"/>
      <c r="P2560" s="225"/>
      <c r="Q2560" s="225"/>
      <c r="R2560"/>
      <c r="S2560"/>
      <c r="T2560"/>
      <c r="U2560"/>
      <c r="V2560"/>
      <c r="W2560"/>
      <c r="X2560"/>
    </row>
    <row r="2561" spans="5:24" x14ac:dyDescent="0.3">
      <c r="E2561" s="173"/>
      <c r="F2561" s="173"/>
      <c r="I2561"/>
      <c r="J2561"/>
      <c r="K2561"/>
      <c r="L2561"/>
      <c r="M2561"/>
      <c r="N2561"/>
      <c r="O2561"/>
      <c r="P2561" s="225"/>
      <c r="Q2561" s="225"/>
      <c r="R2561"/>
      <c r="S2561"/>
      <c r="T2561"/>
      <c r="U2561"/>
      <c r="V2561"/>
      <c r="W2561"/>
      <c r="X2561"/>
    </row>
    <row r="2562" spans="5:24" x14ac:dyDescent="0.3">
      <c r="E2562" s="173"/>
      <c r="F2562" s="173"/>
      <c r="I2562"/>
      <c r="J2562"/>
      <c r="K2562"/>
      <c r="L2562"/>
      <c r="M2562"/>
      <c r="N2562"/>
      <c r="O2562"/>
      <c r="P2562" s="225"/>
      <c r="Q2562" s="225"/>
      <c r="R2562"/>
      <c r="S2562"/>
      <c r="T2562"/>
      <c r="U2562"/>
      <c r="V2562"/>
      <c r="W2562"/>
      <c r="X2562"/>
    </row>
    <row r="2563" spans="5:24" x14ac:dyDescent="0.3">
      <c r="E2563" s="173"/>
      <c r="F2563" s="173"/>
      <c r="I2563"/>
      <c r="J2563"/>
      <c r="K2563"/>
      <c r="L2563"/>
      <c r="M2563"/>
      <c r="N2563"/>
      <c r="O2563"/>
      <c r="P2563" s="225"/>
      <c r="Q2563" s="225"/>
      <c r="R2563"/>
      <c r="S2563"/>
      <c r="T2563"/>
      <c r="U2563"/>
      <c r="V2563"/>
      <c r="W2563"/>
      <c r="X2563"/>
    </row>
    <row r="2564" spans="5:24" x14ac:dyDescent="0.3">
      <c r="E2564" s="173"/>
      <c r="F2564" s="173"/>
      <c r="I2564"/>
      <c r="J2564"/>
      <c r="K2564"/>
      <c r="L2564"/>
      <c r="M2564"/>
      <c r="N2564"/>
      <c r="O2564"/>
      <c r="P2564" s="225"/>
      <c r="Q2564" s="225"/>
      <c r="R2564"/>
      <c r="S2564"/>
      <c r="T2564"/>
      <c r="U2564"/>
      <c r="V2564"/>
      <c r="W2564"/>
      <c r="X2564"/>
    </row>
    <row r="2565" spans="5:24" x14ac:dyDescent="0.3">
      <c r="E2565" s="173"/>
      <c r="F2565" s="173"/>
      <c r="I2565"/>
      <c r="J2565"/>
      <c r="K2565"/>
      <c r="L2565"/>
      <c r="M2565"/>
      <c r="N2565"/>
      <c r="O2565"/>
      <c r="P2565" s="225"/>
      <c r="Q2565" s="225"/>
      <c r="R2565"/>
      <c r="S2565"/>
      <c r="T2565"/>
      <c r="U2565"/>
      <c r="V2565"/>
      <c r="W2565"/>
      <c r="X2565"/>
    </row>
    <row r="2566" spans="5:24" x14ac:dyDescent="0.3">
      <c r="E2566" s="173"/>
      <c r="F2566" s="173"/>
      <c r="I2566"/>
      <c r="J2566"/>
      <c r="K2566"/>
      <c r="L2566"/>
      <c r="M2566"/>
      <c r="N2566"/>
      <c r="O2566"/>
      <c r="P2566" s="225"/>
      <c r="Q2566" s="225"/>
      <c r="R2566"/>
      <c r="S2566"/>
      <c r="T2566"/>
      <c r="U2566"/>
      <c r="V2566"/>
      <c r="W2566"/>
      <c r="X2566"/>
    </row>
    <row r="2567" spans="5:24" x14ac:dyDescent="0.3">
      <c r="E2567" s="173"/>
      <c r="F2567" s="173"/>
      <c r="I2567"/>
      <c r="J2567"/>
      <c r="K2567"/>
      <c r="L2567"/>
      <c r="M2567"/>
      <c r="N2567"/>
      <c r="O2567"/>
      <c r="P2567" s="225"/>
      <c r="Q2567" s="225"/>
      <c r="R2567"/>
      <c r="S2567"/>
      <c r="T2567"/>
      <c r="U2567"/>
      <c r="V2567"/>
      <c r="W2567"/>
      <c r="X2567"/>
    </row>
    <row r="2568" spans="5:24" x14ac:dyDescent="0.3">
      <c r="E2568" s="173"/>
      <c r="F2568" s="173"/>
      <c r="I2568"/>
      <c r="J2568"/>
      <c r="K2568"/>
      <c r="L2568"/>
      <c r="M2568"/>
      <c r="N2568"/>
      <c r="O2568"/>
      <c r="P2568" s="225"/>
      <c r="Q2568" s="225"/>
      <c r="R2568"/>
      <c r="S2568"/>
      <c r="T2568"/>
      <c r="U2568"/>
      <c r="V2568"/>
      <c r="W2568"/>
      <c r="X2568"/>
    </row>
    <row r="2569" spans="5:24" x14ac:dyDescent="0.3">
      <c r="E2569" s="173"/>
      <c r="F2569" s="173"/>
      <c r="I2569"/>
      <c r="J2569"/>
      <c r="K2569"/>
      <c r="L2569"/>
      <c r="M2569"/>
      <c r="N2569"/>
      <c r="O2569"/>
      <c r="P2569" s="225"/>
      <c r="Q2569" s="225"/>
      <c r="R2569"/>
      <c r="S2569"/>
      <c r="T2569"/>
      <c r="U2569"/>
      <c r="V2569"/>
      <c r="W2569"/>
      <c r="X2569"/>
    </row>
    <row r="2570" spans="5:24" x14ac:dyDescent="0.3">
      <c r="E2570" s="173"/>
      <c r="F2570" s="173"/>
      <c r="I2570"/>
      <c r="J2570"/>
      <c r="K2570"/>
      <c r="L2570"/>
      <c r="M2570"/>
      <c r="N2570"/>
      <c r="O2570"/>
      <c r="P2570" s="225"/>
      <c r="Q2570" s="225"/>
      <c r="R2570"/>
      <c r="S2570"/>
      <c r="T2570"/>
      <c r="U2570"/>
      <c r="V2570"/>
      <c r="W2570"/>
      <c r="X2570"/>
    </row>
    <row r="2571" spans="5:24" x14ac:dyDescent="0.3">
      <c r="E2571" s="173"/>
      <c r="F2571" s="173"/>
      <c r="I2571"/>
      <c r="J2571"/>
      <c r="K2571"/>
      <c r="L2571"/>
      <c r="M2571"/>
      <c r="N2571"/>
      <c r="O2571"/>
      <c r="P2571" s="225"/>
      <c r="Q2571" s="225"/>
      <c r="R2571"/>
      <c r="S2571"/>
      <c r="T2571"/>
      <c r="U2571"/>
      <c r="V2571"/>
      <c r="W2571"/>
      <c r="X2571"/>
    </row>
    <row r="2572" spans="5:24" x14ac:dyDescent="0.3">
      <c r="E2572" s="173"/>
      <c r="F2572" s="173"/>
      <c r="I2572"/>
      <c r="J2572"/>
      <c r="K2572"/>
      <c r="L2572"/>
      <c r="M2572"/>
      <c r="N2572"/>
      <c r="O2572"/>
      <c r="P2572" s="225"/>
      <c r="Q2572" s="225"/>
      <c r="R2572"/>
      <c r="S2572"/>
      <c r="T2572"/>
      <c r="U2572"/>
      <c r="V2572"/>
      <c r="W2572"/>
      <c r="X2572"/>
    </row>
    <row r="2573" spans="5:24" x14ac:dyDescent="0.3">
      <c r="E2573" s="173"/>
      <c r="F2573" s="173"/>
      <c r="I2573"/>
      <c r="J2573"/>
      <c r="K2573"/>
      <c r="L2573"/>
      <c r="M2573"/>
      <c r="N2573"/>
      <c r="O2573"/>
      <c r="P2573" s="225"/>
      <c r="Q2573" s="225"/>
      <c r="R2573"/>
      <c r="S2573"/>
      <c r="T2573"/>
      <c r="U2573"/>
      <c r="V2573"/>
      <c r="W2573"/>
      <c r="X2573"/>
    </row>
    <row r="2574" spans="5:24" x14ac:dyDescent="0.3">
      <c r="E2574" s="173"/>
      <c r="F2574" s="173"/>
      <c r="I2574"/>
      <c r="J2574"/>
      <c r="K2574"/>
      <c r="L2574"/>
      <c r="M2574"/>
      <c r="N2574"/>
      <c r="O2574"/>
      <c r="P2574" s="225"/>
      <c r="Q2574" s="225"/>
      <c r="R2574"/>
      <c r="S2574"/>
      <c r="T2574"/>
      <c r="U2574"/>
      <c r="V2574"/>
      <c r="W2574"/>
      <c r="X2574"/>
    </row>
    <row r="2575" spans="5:24" x14ac:dyDescent="0.3">
      <c r="E2575" s="173"/>
      <c r="F2575" s="173"/>
      <c r="I2575"/>
      <c r="J2575"/>
      <c r="K2575"/>
      <c r="L2575"/>
      <c r="M2575"/>
      <c r="N2575"/>
      <c r="O2575"/>
      <c r="P2575" s="225"/>
      <c r="Q2575" s="225"/>
      <c r="R2575"/>
      <c r="S2575"/>
      <c r="T2575"/>
      <c r="U2575"/>
      <c r="V2575"/>
      <c r="W2575"/>
      <c r="X2575"/>
    </row>
    <row r="2576" spans="5:24" x14ac:dyDescent="0.3">
      <c r="E2576" s="173"/>
      <c r="F2576" s="173"/>
      <c r="I2576"/>
      <c r="J2576"/>
      <c r="K2576"/>
      <c r="L2576"/>
      <c r="M2576"/>
      <c r="N2576"/>
      <c r="O2576"/>
      <c r="P2576" s="225"/>
      <c r="Q2576" s="225"/>
      <c r="R2576"/>
      <c r="S2576"/>
      <c r="T2576"/>
      <c r="U2576"/>
      <c r="V2576"/>
      <c r="W2576"/>
      <c r="X2576"/>
    </row>
    <row r="2577" spans="5:24" x14ac:dyDescent="0.3">
      <c r="E2577" s="173"/>
      <c r="F2577" s="173"/>
      <c r="I2577"/>
      <c r="J2577"/>
      <c r="K2577"/>
      <c r="L2577"/>
      <c r="M2577"/>
      <c r="N2577"/>
      <c r="O2577"/>
      <c r="P2577" s="225"/>
      <c r="Q2577" s="225"/>
      <c r="R2577"/>
      <c r="S2577"/>
      <c r="T2577"/>
      <c r="U2577"/>
      <c r="V2577"/>
      <c r="W2577"/>
      <c r="X2577"/>
    </row>
    <row r="2578" spans="5:24" x14ac:dyDescent="0.3">
      <c r="E2578" s="173"/>
      <c r="F2578" s="173"/>
      <c r="I2578"/>
      <c r="J2578"/>
      <c r="K2578"/>
      <c r="L2578"/>
      <c r="M2578"/>
      <c r="N2578"/>
      <c r="O2578"/>
      <c r="P2578" s="225"/>
      <c r="Q2578" s="225"/>
      <c r="R2578"/>
      <c r="S2578"/>
      <c r="T2578"/>
      <c r="U2578"/>
      <c r="V2578"/>
      <c r="W2578"/>
      <c r="X2578"/>
    </row>
    <row r="2579" spans="5:24" x14ac:dyDescent="0.3">
      <c r="E2579" s="173"/>
      <c r="F2579" s="173"/>
      <c r="I2579"/>
      <c r="J2579"/>
      <c r="K2579"/>
      <c r="L2579"/>
      <c r="M2579"/>
      <c r="N2579"/>
      <c r="O2579"/>
      <c r="P2579" s="225"/>
      <c r="Q2579" s="225"/>
      <c r="R2579"/>
      <c r="S2579"/>
      <c r="T2579"/>
      <c r="U2579"/>
      <c r="V2579"/>
      <c r="W2579"/>
      <c r="X2579"/>
    </row>
    <row r="2580" spans="5:24" x14ac:dyDescent="0.3">
      <c r="E2580" s="173"/>
      <c r="F2580" s="173"/>
      <c r="I2580"/>
      <c r="J2580"/>
      <c r="K2580"/>
      <c r="L2580"/>
      <c r="M2580"/>
      <c r="N2580"/>
      <c r="O2580"/>
      <c r="P2580" s="225"/>
      <c r="Q2580" s="225"/>
      <c r="R2580"/>
      <c r="S2580"/>
      <c r="T2580"/>
      <c r="U2580"/>
      <c r="V2580"/>
      <c r="W2580"/>
      <c r="X2580"/>
    </row>
    <row r="2581" spans="5:24" x14ac:dyDescent="0.3">
      <c r="E2581" s="173"/>
      <c r="F2581" s="173"/>
      <c r="I2581"/>
      <c r="J2581"/>
      <c r="K2581"/>
      <c r="L2581"/>
      <c r="M2581"/>
      <c r="N2581"/>
      <c r="O2581"/>
      <c r="P2581" s="225"/>
      <c r="Q2581" s="225"/>
      <c r="R2581"/>
      <c r="S2581"/>
      <c r="T2581"/>
      <c r="U2581"/>
      <c r="V2581"/>
      <c r="W2581"/>
      <c r="X2581"/>
    </row>
    <row r="2582" spans="5:24" x14ac:dyDescent="0.3">
      <c r="E2582" s="173"/>
      <c r="F2582" s="173"/>
      <c r="I2582"/>
      <c r="J2582"/>
      <c r="K2582"/>
      <c r="L2582"/>
      <c r="M2582"/>
      <c r="N2582"/>
      <c r="O2582"/>
      <c r="P2582" s="225"/>
      <c r="Q2582" s="225"/>
      <c r="R2582"/>
      <c r="S2582"/>
      <c r="T2582"/>
      <c r="U2582"/>
      <c r="V2582"/>
      <c r="W2582"/>
      <c r="X2582"/>
    </row>
    <row r="2583" spans="5:24" x14ac:dyDescent="0.3">
      <c r="E2583" s="173"/>
      <c r="F2583" s="173"/>
      <c r="I2583"/>
      <c r="J2583"/>
      <c r="K2583"/>
      <c r="L2583"/>
      <c r="M2583"/>
      <c r="N2583"/>
      <c r="O2583"/>
      <c r="P2583" s="225"/>
      <c r="Q2583" s="225"/>
      <c r="R2583"/>
      <c r="S2583"/>
      <c r="T2583"/>
      <c r="U2583"/>
      <c r="V2583"/>
      <c r="W2583"/>
      <c r="X2583"/>
    </row>
    <row r="2584" spans="5:24" x14ac:dyDescent="0.3">
      <c r="E2584" s="173"/>
      <c r="F2584" s="173"/>
      <c r="I2584"/>
      <c r="J2584"/>
      <c r="K2584"/>
      <c r="L2584"/>
      <c r="M2584"/>
      <c r="N2584"/>
      <c r="O2584"/>
      <c r="P2584" s="225"/>
      <c r="Q2584" s="225"/>
      <c r="R2584"/>
      <c r="S2584"/>
      <c r="T2584"/>
      <c r="U2584"/>
      <c r="V2584"/>
      <c r="W2584"/>
      <c r="X2584"/>
    </row>
    <row r="2585" spans="5:24" x14ac:dyDescent="0.3">
      <c r="E2585" s="173"/>
      <c r="F2585" s="173"/>
      <c r="I2585"/>
      <c r="J2585"/>
      <c r="K2585"/>
      <c r="L2585"/>
      <c r="M2585"/>
      <c r="N2585"/>
      <c r="O2585"/>
      <c r="P2585" s="225"/>
      <c r="Q2585" s="225"/>
      <c r="R2585"/>
      <c r="S2585"/>
      <c r="T2585"/>
      <c r="U2585"/>
      <c r="V2585"/>
      <c r="W2585"/>
      <c r="X2585"/>
    </row>
    <row r="2586" spans="5:24" x14ac:dyDescent="0.3">
      <c r="E2586" s="173"/>
      <c r="F2586" s="173"/>
      <c r="I2586"/>
      <c r="J2586"/>
      <c r="K2586"/>
      <c r="L2586"/>
      <c r="M2586"/>
      <c r="N2586"/>
      <c r="O2586"/>
      <c r="P2586" s="225"/>
      <c r="Q2586" s="225"/>
      <c r="R2586"/>
      <c r="S2586"/>
      <c r="T2586"/>
      <c r="U2586"/>
      <c r="V2586"/>
      <c r="W2586"/>
      <c r="X2586"/>
    </row>
    <row r="2587" spans="5:24" x14ac:dyDescent="0.3">
      <c r="E2587" s="173"/>
      <c r="F2587" s="173"/>
      <c r="I2587"/>
      <c r="J2587"/>
      <c r="K2587"/>
      <c r="L2587"/>
      <c r="M2587"/>
      <c r="N2587"/>
      <c r="O2587"/>
      <c r="P2587" s="225"/>
      <c r="Q2587" s="225"/>
      <c r="R2587"/>
      <c r="S2587"/>
      <c r="T2587"/>
      <c r="U2587"/>
      <c r="V2587"/>
      <c r="W2587"/>
      <c r="X2587"/>
    </row>
    <row r="2588" spans="5:24" x14ac:dyDescent="0.3">
      <c r="E2588" s="173"/>
      <c r="F2588" s="173"/>
      <c r="I2588"/>
      <c r="J2588"/>
      <c r="K2588"/>
      <c r="L2588"/>
      <c r="M2588"/>
      <c r="N2588"/>
      <c r="O2588"/>
      <c r="P2588" s="225"/>
      <c r="Q2588" s="225"/>
      <c r="R2588"/>
      <c r="S2588"/>
      <c r="T2588"/>
      <c r="U2588"/>
      <c r="V2588"/>
      <c r="W2588"/>
      <c r="X2588"/>
    </row>
    <row r="2589" spans="5:24" x14ac:dyDescent="0.3">
      <c r="E2589" s="173"/>
      <c r="F2589" s="173"/>
      <c r="I2589"/>
      <c r="J2589"/>
      <c r="K2589"/>
      <c r="L2589"/>
      <c r="M2589"/>
      <c r="N2589"/>
      <c r="O2589"/>
      <c r="P2589" s="225"/>
      <c r="Q2589" s="225"/>
      <c r="R2589"/>
      <c r="S2589"/>
      <c r="T2589"/>
      <c r="U2589"/>
      <c r="V2589"/>
      <c r="W2589"/>
      <c r="X2589"/>
    </row>
    <row r="2590" spans="5:24" x14ac:dyDescent="0.3">
      <c r="E2590" s="173"/>
      <c r="F2590" s="173"/>
      <c r="I2590"/>
      <c r="J2590"/>
      <c r="K2590"/>
      <c r="L2590"/>
      <c r="M2590"/>
      <c r="N2590"/>
      <c r="O2590"/>
      <c r="P2590" s="225"/>
      <c r="Q2590" s="225"/>
      <c r="R2590"/>
      <c r="S2590"/>
      <c r="T2590"/>
      <c r="U2590"/>
      <c r="V2590"/>
      <c r="W2590"/>
      <c r="X2590"/>
    </row>
    <row r="2591" spans="5:24" x14ac:dyDescent="0.3">
      <c r="E2591" s="173"/>
      <c r="F2591" s="173"/>
      <c r="I2591"/>
      <c r="J2591"/>
      <c r="K2591"/>
      <c r="L2591"/>
      <c r="M2591"/>
      <c r="N2591"/>
      <c r="O2591"/>
      <c r="P2591" s="225"/>
      <c r="Q2591" s="225"/>
      <c r="R2591"/>
      <c r="S2591"/>
      <c r="T2591"/>
      <c r="U2591"/>
      <c r="V2591"/>
      <c r="W2591"/>
      <c r="X2591"/>
    </row>
    <row r="2592" spans="5:24" x14ac:dyDescent="0.3">
      <c r="E2592" s="173"/>
      <c r="F2592" s="173"/>
      <c r="I2592"/>
      <c r="J2592"/>
      <c r="K2592"/>
      <c r="L2592"/>
      <c r="M2592"/>
      <c r="N2592"/>
      <c r="O2592"/>
      <c r="P2592" s="225"/>
      <c r="Q2592" s="225"/>
      <c r="R2592"/>
      <c r="S2592"/>
      <c r="T2592"/>
      <c r="U2592"/>
      <c r="V2592"/>
      <c r="W2592"/>
      <c r="X2592"/>
    </row>
    <row r="2593" spans="5:24" x14ac:dyDescent="0.3">
      <c r="E2593" s="173"/>
      <c r="F2593" s="173"/>
      <c r="I2593"/>
      <c r="J2593"/>
      <c r="K2593"/>
      <c r="L2593"/>
      <c r="M2593"/>
      <c r="N2593"/>
      <c r="O2593"/>
      <c r="P2593" s="225"/>
      <c r="Q2593" s="225"/>
      <c r="R2593"/>
      <c r="S2593"/>
      <c r="T2593"/>
      <c r="U2593"/>
      <c r="V2593"/>
      <c r="W2593"/>
      <c r="X2593"/>
    </row>
    <row r="2594" spans="5:24" x14ac:dyDescent="0.3">
      <c r="E2594" s="173"/>
      <c r="F2594" s="173"/>
      <c r="I2594"/>
      <c r="J2594"/>
      <c r="K2594"/>
      <c r="L2594"/>
      <c r="M2594"/>
      <c r="N2594"/>
      <c r="O2594"/>
      <c r="P2594" s="225"/>
      <c r="Q2594" s="225"/>
      <c r="R2594"/>
      <c r="S2594"/>
      <c r="T2594"/>
      <c r="U2594"/>
      <c r="V2594"/>
      <c r="W2594"/>
      <c r="X2594"/>
    </row>
    <row r="2595" spans="5:24" x14ac:dyDescent="0.3">
      <c r="E2595" s="173"/>
      <c r="F2595" s="173"/>
      <c r="I2595"/>
      <c r="J2595"/>
      <c r="K2595"/>
      <c r="L2595"/>
      <c r="M2595"/>
      <c r="N2595"/>
      <c r="O2595"/>
      <c r="P2595" s="225"/>
      <c r="Q2595" s="225"/>
      <c r="R2595"/>
      <c r="S2595"/>
      <c r="T2595"/>
      <c r="U2595"/>
      <c r="V2595"/>
      <c r="W2595"/>
      <c r="X2595"/>
    </row>
    <row r="2596" spans="5:24" x14ac:dyDescent="0.3">
      <c r="E2596" s="173"/>
      <c r="F2596" s="173"/>
      <c r="I2596"/>
      <c r="J2596"/>
      <c r="K2596"/>
      <c r="L2596"/>
      <c r="M2596"/>
      <c r="N2596"/>
      <c r="O2596"/>
      <c r="P2596" s="225"/>
      <c r="Q2596" s="225"/>
      <c r="R2596"/>
      <c r="S2596"/>
      <c r="T2596"/>
      <c r="U2596"/>
      <c r="V2596"/>
      <c r="W2596"/>
      <c r="X2596"/>
    </row>
    <row r="2597" spans="5:24" x14ac:dyDescent="0.3">
      <c r="E2597" s="173"/>
      <c r="F2597" s="173"/>
      <c r="I2597"/>
      <c r="J2597"/>
      <c r="K2597"/>
      <c r="L2597"/>
      <c r="M2597"/>
      <c r="N2597"/>
      <c r="O2597"/>
      <c r="P2597" s="225"/>
      <c r="Q2597" s="225"/>
      <c r="R2597"/>
      <c r="S2597"/>
      <c r="T2597"/>
      <c r="U2597"/>
      <c r="V2597"/>
      <c r="W2597"/>
      <c r="X2597"/>
    </row>
    <row r="2598" spans="5:24" x14ac:dyDescent="0.3">
      <c r="E2598" s="173"/>
      <c r="F2598" s="173"/>
      <c r="I2598"/>
      <c r="J2598"/>
      <c r="K2598"/>
      <c r="L2598"/>
      <c r="M2598"/>
      <c r="N2598"/>
      <c r="O2598"/>
      <c r="P2598" s="225"/>
      <c r="Q2598" s="225"/>
      <c r="R2598"/>
      <c r="S2598"/>
      <c r="T2598"/>
      <c r="U2598"/>
      <c r="V2598"/>
      <c r="W2598"/>
      <c r="X2598"/>
    </row>
    <row r="2599" spans="5:24" x14ac:dyDescent="0.3">
      <c r="E2599" s="173"/>
      <c r="F2599" s="173"/>
      <c r="I2599"/>
      <c r="J2599"/>
      <c r="K2599"/>
      <c r="L2599"/>
      <c r="M2599"/>
      <c r="N2599"/>
      <c r="O2599"/>
      <c r="P2599" s="225"/>
      <c r="Q2599" s="225"/>
      <c r="R2599"/>
      <c r="S2599"/>
      <c r="T2599"/>
      <c r="U2599"/>
      <c r="V2599"/>
      <c r="W2599"/>
      <c r="X2599"/>
    </row>
    <row r="2600" spans="5:24" x14ac:dyDescent="0.3">
      <c r="E2600" s="173"/>
      <c r="F2600" s="173"/>
      <c r="I2600"/>
      <c r="J2600"/>
      <c r="K2600"/>
      <c r="L2600"/>
      <c r="M2600"/>
      <c r="N2600"/>
      <c r="O2600"/>
      <c r="P2600" s="225"/>
      <c r="Q2600" s="225"/>
      <c r="R2600"/>
      <c r="S2600"/>
      <c r="T2600"/>
      <c r="U2600"/>
      <c r="V2600"/>
      <c r="W2600"/>
      <c r="X2600"/>
    </row>
    <row r="2601" spans="5:24" x14ac:dyDescent="0.3">
      <c r="E2601" s="173"/>
      <c r="F2601" s="173"/>
      <c r="I2601"/>
      <c r="J2601"/>
      <c r="K2601"/>
      <c r="L2601"/>
      <c r="M2601"/>
      <c r="N2601"/>
      <c r="O2601"/>
      <c r="P2601" s="225"/>
      <c r="Q2601" s="225"/>
      <c r="R2601"/>
      <c r="S2601"/>
      <c r="T2601"/>
      <c r="U2601"/>
      <c r="V2601"/>
      <c r="W2601"/>
      <c r="X2601"/>
    </row>
    <row r="2602" spans="5:24" x14ac:dyDescent="0.3">
      <c r="E2602" s="173"/>
      <c r="F2602" s="173"/>
      <c r="I2602"/>
      <c r="J2602"/>
      <c r="K2602"/>
      <c r="L2602"/>
      <c r="M2602"/>
      <c r="N2602"/>
      <c r="O2602"/>
      <c r="P2602" s="225"/>
      <c r="Q2602" s="225"/>
      <c r="R2602"/>
      <c r="S2602"/>
      <c r="T2602"/>
      <c r="U2602"/>
      <c r="V2602"/>
      <c r="W2602"/>
      <c r="X2602"/>
    </row>
    <row r="2603" spans="5:24" x14ac:dyDescent="0.3">
      <c r="E2603" s="173"/>
      <c r="F2603" s="173"/>
      <c r="I2603"/>
      <c r="J2603"/>
      <c r="K2603"/>
      <c r="L2603"/>
      <c r="M2603"/>
      <c r="N2603"/>
      <c r="O2603"/>
      <c r="P2603" s="225"/>
      <c r="Q2603" s="225"/>
      <c r="R2603"/>
      <c r="S2603"/>
      <c r="T2603"/>
      <c r="U2603"/>
      <c r="V2603"/>
      <c r="W2603"/>
      <c r="X2603"/>
    </row>
    <row r="2604" spans="5:24" x14ac:dyDescent="0.3">
      <c r="E2604" s="173"/>
      <c r="F2604" s="173"/>
      <c r="I2604"/>
      <c r="J2604"/>
      <c r="K2604"/>
      <c r="L2604"/>
      <c r="M2604"/>
      <c r="N2604"/>
      <c r="O2604"/>
      <c r="P2604" s="225"/>
      <c r="Q2604" s="225"/>
      <c r="R2604"/>
      <c r="S2604"/>
      <c r="T2604"/>
      <c r="U2604"/>
      <c r="V2604"/>
      <c r="W2604"/>
      <c r="X2604"/>
    </row>
    <row r="2605" spans="5:24" x14ac:dyDescent="0.3">
      <c r="E2605" s="173"/>
      <c r="F2605" s="173"/>
      <c r="I2605"/>
      <c r="J2605"/>
      <c r="K2605"/>
      <c r="L2605"/>
      <c r="M2605"/>
      <c r="N2605"/>
      <c r="O2605"/>
      <c r="P2605" s="225"/>
      <c r="Q2605" s="225"/>
      <c r="R2605"/>
      <c r="S2605"/>
      <c r="T2605"/>
      <c r="U2605"/>
      <c r="V2605"/>
      <c r="W2605"/>
      <c r="X2605"/>
    </row>
    <row r="2606" spans="5:24" x14ac:dyDescent="0.3">
      <c r="E2606" s="173"/>
      <c r="F2606" s="173"/>
      <c r="I2606"/>
      <c r="J2606"/>
      <c r="K2606"/>
      <c r="L2606"/>
      <c r="M2606"/>
      <c r="N2606"/>
      <c r="O2606"/>
      <c r="P2606" s="225"/>
      <c r="Q2606" s="225"/>
      <c r="R2606"/>
      <c r="S2606"/>
      <c r="T2606"/>
      <c r="U2606"/>
      <c r="V2606"/>
      <c r="W2606"/>
      <c r="X2606"/>
    </row>
    <row r="2607" spans="5:24" x14ac:dyDescent="0.3">
      <c r="E2607" s="173"/>
      <c r="F2607" s="173"/>
      <c r="I2607"/>
      <c r="J2607"/>
      <c r="K2607"/>
      <c r="L2607"/>
      <c r="M2607"/>
      <c r="N2607"/>
      <c r="O2607"/>
      <c r="P2607" s="225"/>
      <c r="Q2607" s="225"/>
      <c r="R2607"/>
      <c r="S2607"/>
      <c r="T2607"/>
      <c r="U2607"/>
      <c r="V2607"/>
      <c r="W2607"/>
      <c r="X2607"/>
    </row>
    <row r="2608" spans="5:24" x14ac:dyDescent="0.3">
      <c r="E2608" s="173"/>
      <c r="F2608" s="173"/>
      <c r="I2608"/>
      <c r="J2608"/>
      <c r="K2608"/>
      <c r="L2608"/>
      <c r="M2608"/>
      <c r="N2608"/>
      <c r="O2608"/>
      <c r="P2608" s="225"/>
      <c r="Q2608" s="225"/>
      <c r="R2608"/>
      <c r="S2608"/>
      <c r="T2608"/>
      <c r="U2608"/>
      <c r="V2608"/>
      <c r="W2608"/>
      <c r="X2608"/>
    </row>
    <row r="2609" spans="5:24" x14ac:dyDescent="0.3">
      <c r="E2609" s="173"/>
      <c r="F2609" s="173"/>
      <c r="I2609"/>
      <c r="J2609"/>
      <c r="K2609"/>
      <c r="L2609"/>
      <c r="M2609"/>
      <c r="N2609"/>
      <c r="O2609"/>
      <c r="P2609" s="225"/>
      <c r="Q2609" s="225"/>
      <c r="R2609"/>
      <c r="S2609"/>
      <c r="T2609"/>
      <c r="U2609"/>
      <c r="V2609"/>
      <c r="W2609"/>
      <c r="X2609"/>
    </row>
    <row r="2610" spans="5:24" x14ac:dyDescent="0.3">
      <c r="E2610" s="173"/>
      <c r="F2610" s="173"/>
      <c r="I2610"/>
      <c r="J2610"/>
      <c r="K2610"/>
      <c r="L2610"/>
      <c r="M2610"/>
      <c r="N2610"/>
      <c r="O2610"/>
      <c r="P2610" s="225"/>
      <c r="Q2610" s="225"/>
      <c r="R2610"/>
      <c r="S2610"/>
      <c r="T2610"/>
      <c r="U2610"/>
      <c r="V2610"/>
      <c r="W2610"/>
      <c r="X2610"/>
    </row>
    <row r="2611" spans="5:24" x14ac:dyDescent="0.3">
      <c r="E2611" s="173"/>
      <c r="F2611" s="173"/>
      <c r="I2611"/>
      <c r="J2611"/>
      <c r="K2611"/>
      <c r="L2611"/>
      <c r="M2611"/>
      <c r="N2611"/>
      <c r="O2611"/>
      <c r="P2611" s="225"/>
      <c r="Q2611" s="225"/>
      <c r="R2611"/>
      <c r="S2611"/>
      <c r="T2611"/>
      <c r="U2611"/>
      <c r="V2611"/>
      <c r="W2611"/>
      <c r="X2611"/>
    </row>
    <row r="2612" spans="5:24" x14ac:dyDescent="0.3">
      <c r="E2612" s="173"/>
      <c r="F2612" s="173"/>
      <c r="I2612"/>
      <c r="J2612"/>
      <c r="K2612"/>
      <c r="L2612"/>
      <c r="M2612"/>
      <c r="N2612"/>
      <c r="O2612"/>
      <c r="P2612" s="225"/>
      <c r="Q2612" s="225"/>
      <c r="R2612"/>
      <c r="S2612"/>
      <c r="T2612"/>
      <c r="U2612"/>
      <c r="V2612"/>
      <c r="W2612"/>
      <c r="X2612"/>
    </row>
    <row r="2613" spans="5:24" x14ac:dyDescent="0.3">
      <c r="E2613" s="173"/>
      <c r="F2613" s="173"/>
      <c r="I2613"/>
      <c r="J2613"/>
      <c r="K2613"/>
      <c r="L2613"/>
      <c r="M2613"/>
      <c r="N2613"/>
      <c r="O2613"/>
      <c r="P2613" s="225"/>
      <c r="Q2613" s="225"/>
      <c r="R2613"/>
      <c r="S2613"/>
      <c r="T2613"/>
      <c r="U2613"/>
      <c r="V2613"/>
      <c r="W2613"/>
      <c r="X2613"/>
    </row>
    <row r="2614" spans="5:24" x14ac:dyDescent="0.3">
      <c r="E2614" s="173"/>
      <c r="F2614" s="173"/>
      <c r="I2614"/>
      <c r="J2614"/>
      <c r="K2614"/>
      <c r="L2614"/>
      <c r="M2614"/>
      <c r="N2614"/>
      <c r="O2614"/>
      <c r="P2614" s="225"/>
      <c r="Q2614" s="225"/>
      <c r="R2614"/>
      <c r="S2614"/>
      <c r="T2614"/>
      <c r="U2614"/>
      <c r="V2614"/>
      <c r="W2614"/>
      <c r="X2614"/>
    </row>
    <row r="2615" spans="5:24" x14ac:dyDescent="0.3">
      <c r="E2615" s="173"/>
      <c r="F2615" s="173"/>
      <c r="I2615"/>
      <c r="J2615"/>
      <c r="K2615"/>
      <c r="L2615"/>
      <c r="M2615"/>
      <c r="N2615"/>
      <c r="O2615"/>
      <c r="P2615" s="225"/>
      <c r="Q2615" s="225"/>
      <c r="R2615"/>
      <c r="S2615"/>
      <c r="T2615"/>
      <c r="U2615"/>
      <c r="V2615"/>
      <c r="W2615"/>
      <c r="X2615"/>
    </row>
    <row r="2616" spans="5:24" x14ac:dyDescent="0.3">
      <c r="E2616" s="173"/>
      <c r="F2616" s="173"/>
      <c r="I2616"/>
      <c r="J2616"/>
      <c r="K2616"/>
      <c r="L2616"/>
      <c r="M2616"/>
      <c r="N2616"/>
      <c r="O2616"/>
      <c r="P2616" s="225"/>
      <c r="Q2616" s="225"/>
      <c r="R2616"/>
      <c r="S2616"/>
      <c r="T2616"/>
      <c r="U2616"/>
      <c r="V2616"/>
      <c r="W2616"/>
      <c r="X2616"/>
    </row>
    <row r="2617" spans="5:24" x14ac:dyDescent="0.3">
      <c r="E2617" s="173"/>
      <c r="F2617" s="173"/>
      <c r="I2617"/>
      <c r="J2617"/>
      <c r="K2617"/>
      <c r="L2617"/>
      <c r="M2617"/>
      <c r="N2617"/>
      <c r="O2617"/>
      <c r="P2617" s="225"/>
      <c r="Q2617" s="225"/>
      <c r="R2617"/>
      <c r="S2617"/>
      <c r="T2617"/>
      <c r="U2617"/>
      <c r="V2617"/>
      <c r="W2617"/>
      <c r="X2617"/>
    </row>
    <row r="2618" spans="5:24" x14ac:dyDescent="0.3">
      <c r="E2618" s="173"/>
      <c r="F2618" s="173"/>
      <c r="I2618"/>
      <c r="J2618"/>
      <c r="K2618"/>
      <c r="L2618"/>
      <c r="M2618"/>
      <c r="N2618"/>
      <c r="O2618"/>
      <c r="P2618" s="225"/>
      <c r="Q2618" s="225"/>
      <c r="R2618"/>
      <c r="S2618"/>
      <c r="T2618"/>
      <c r="U2618"/>
      <c r="V2618"/>
      <c r="W2618"/>
      <c r="X2618"/>
    </row>
    <row r="2619" spans="5:24" x14ac:dyDescent="0.3">
      <c r="E2619" s="173"/>
      <c r="F2619" s="173"/>
      <c r="I2619"/>
      <c r="J2619"/>
      <c r="K2619"/>
      <c r="L2619"/>
      <c r="M2619"/>
      <c r="N2619"/>
      <c r="O2619"/>
      <c r="P2619" s="225"/>
      <c r="Q2619" s="225"/>
      <c r="R2619"/>
      <c r="S2619"/>
      <c r="T2619"/>
      <c r="U2619"/>
      <c r="V2619"/>
      <c r="W2619"/>
      <c r="X2619"/>
    </row>
    <row r="2620" spans="5:24" x14ac:dyDescent="0.3">
      <c r="E2620" s="173"/>
      <c r="F2620" s="173"/>
      <c r="I2620"/>
      <c r="J2620"/>
      <c r="K2620"/>
      <c r="L2620"/>
      <c r="M2620"/>
      <c r="N2620"/>
      <c r="O2620"/>
      <c r="P2620" s="225"/>
      <c r="Q2620" s="225"/>
      <c r="R2620"/>
      <c r="S2620"/>
      <c r="T2620"/>
      <c r="U2620"/>
      <c r="V2620"/>
      <c r="W2620"/>
      <c r="X2620"/>
    </row>
    <row r="2621" spans="5:24" x14ac:dyDescent="0.3">
      <c r="E2621" s="173"/>
      <c r="F2621" s="173"/>
      <c r="I2621"/>
      <c r="J2621"/>
      <c r="K2621"/>
      <c r="L2621"/>
      <c r="M2621"/>
      <c r="N2621"/>
      <c r="O2621"/>
      <c r="P2621" s="225"/>
      <c r="Q2621" s="225"/>
      <c r="R2621"/>
      <c r="S2621"/>
      <c r="T2621"/>
      <c r="U2621"/>
      <c r="V2621"/>
      <c r="W2621"/>
      <c r="X2621"/>
    </row>
    <row r="2622" spans="5:24" x14ac:dyDescent="0.3">
      <c r="E2622" s="173"/>
      <c r="F2622" s="173"/>
      <c r="I2622"/>
      <c r="J2622"/>
      <c r="K2622"/>
      <c r="L2622"/>
      <c r="M2622"/>
      <c r="N2622"/>
      <c r="O2622"/>
      <c r="P2622" s="225"/>
      <c r="Q2622" s="225"/>
      <c r="R2622"/>
      <c r="S2622"/>
      <c r="T2622"/>
      <c r="U2622"/>
      <c r="V2622"/>
      <c r="W2622"/>
      <c r="X2622"/>
    </row>
    <row r="2623" spans="5:24" x14ac:dyDescent="0.3">
      <c r="E2623" s="173"/>
      <c r="F2623" s="173"/>
      <c r="I2623"/>
      <c r="J2623"/>
      <c r="K2623"/>
      <c r="L2623"/>
      <c r="M2623"/>
      <c r="N2623"/>
      <c r="O2623"/>
      <c r="P2623" s="225"/>
      <c r="Q2623" s="225"/>
      <c r="R2623"/>
      <c r="S2623"/>
      <c r="T2623"/>
      <c r="U2623"/>
      <c r="V2623"/>
      <c r="W2623"/>
      <c r="X2623"/>
    </row>
    <row r="2624" spans="5:24" x14ac:dyDescent="0.3">
      <c r="E2624" s="173"/>
      <c r="F2624" s="173"/>
      <c r="I2624"/>
      <c r="J2624"/>
      <c r="K2624"/>
      <c r="L2624"/>
      <c r="M2624"/>
      <c r="N2624"/>
      <c r="O2624"/>
      <c r="P2624" s="225"/>
      <c r="Q2624" s="225"/>
      <c r="R2624"/>
      <c r="S2624"/>
      <c r="T2624"/>
      <c r="U2624"/>
      <c r="V2624"/>
      <c r="W2624"/>
      <c r="X2624"/>
    </row>
    <row r="2625" spans="5:24" x14ac:dyDescent="0.3">
      <c r="E2625" s="173"/>
      <c r="F2625" s="173"/>
      <c r="I2625"/>
      <c r="J2625"/>
      <c r="K2625"/>
      <c r="L2625"/>
      <c r="M2625"/>
      <c r="N2625"/>
      <c r="O2625"/>
      <c r="P2625" s="225"/>
      <c r="Q2625" s="225"/>
      <c r="R2625"/>
      <c r="S2625"/>
      <c r="T2625"/>
      <c r="U2625"/>
      <c r="V2625"/>
      <c r="W2625"/>
      <c r="X2625"/>
    </row>
    <row r="2626" spans="5:24" x14ac:dyDescent="0.3">
      <c r="E2626" s="173"/>
      <c r="F2626" s="173"/>
      <c r="I2626"/>
      <c r="J2626"/>
      <c r="K2626"/>
      <c r="L2626"/>
      <c r="M2626"/>
      <c r="N2626"/>
      <c r="O2626"/>
      <c r="P2626" s="225"/>
      <c r="Q2626" s="225"/>
      <c r="R2626"/>
      <c r="S2626"/>
      <c r="T2626"/>
      <c r="U2626"/>
      <c r="V2626"/>
      <c r="W2626"/>
      <c r="X2626"/>
    </row>
    <row r="2627" spans="5:24" x14ac:dyDescent="0.3">
      <c r="E2627" s="173"/>
      <c r="F2627" s="173"/>
      <c r="I2627"/>
      <c r="J2627"/>
      <c r="K2627"/>
      <c r="L2627"/>
      <c r="M2627"/>
      <c r="N2627"/>
      <c r="O2627"/>
      <c r="P2627" s="225"/>
      <c r="Q2627" s="225"/>
      <c r="R2627"/>
      <c r="S2627"/>
      <c r="T2627"/>
      <c r="U2627"/>
      <c r="V2627"/>
      <c r="W2627"/>
      <c r="X2627"/>
    </row>
    <row r="2628" spans="5:24" x14ac:dyDescent="0.3">
      <c r="E2628" s="173"/>
      <c r="F2628" s="173"/>
      <c r="I2628"/>
      <c r="J2628"/>
      <c r="K2628"/>
      <c r="L2628"/>
      <c r="M2628"/>
      <c r="N2628"/>
      <c r="O2628"/>
      <c r="P2628" s="225"/>
      <c r="Q2628" s="225"/>
      <c r="R2628"/>
      <c r="S2628"/>
      <c r="T2628"/>
      <c r="U2628"/>
      <c r="V2628"/>
      <c r="W2628"/>
      <c r="X2628"/>
    </row>
    <row r="2629" spans="5:24" x14ac:dyDescent="0.3">
      <c r="E2629" s="173"/>
      <c r="F2629" s="173"/>
      <c r="I2629"/>
      <c r="J2629"/>
      <c r="K2629"/>
      <c r="L2629"/>
      <c r="M2629"/>
      <c r="N2629"/>
      <c r="O2629"/>
      <c r="P2629" s="225"/>
      <c r="Q2629" s="225"/>
      <c r="R2629"/>
      <c r="S2629"/>
      <c r="T2629"/>
      <c r="U2629"/>
      <c r="V2629"/>
      <c r="W2629"/>
      <c r="X2629"/>
    </row>
    <row r="2630" spans="5:24" x14ac:dyDescent="0.3">
      <c r="E2630" s="173"/>
      <c r="F2630" s="173"/>
      <c r="I2630"/>
      <c r="J2630"/>
      <c r="K2630"/>
      <c r="L2630"/>
      <c r="M2630"/>
      <c r="N2630"/>
      <c r="O2630"/>
      <c r="P2630" s="225"/>
      <c r="Q2630" s="225"/>
      <c r="R2630"/>
      <c r="S2630"/>
      <c r="T2630"/>
      <c r="U2630"/>
      <c r="V2630"/>
      <c r="W2630"/>
      <c r="X2630"/>
    </row>
    <row r="2631" spans="5:24" x14ac:dyDescent="0.3">
      <c r="E2631" s="173"/>
      <c r="F2631" s="173"/>
      <c r="I2631"/>
      <c r="J2631"/>
      <c r="K2631"/>
      <c r="L2631"/>
      <c r="M2631"/>
      <c r="N2631"/>
      <c r="O2631"/>
      <c r="P2631" s="225"/>
      <c r="Q2631" s="225"/>
      <c r="R2631"/>
      <c r="S2631"/>
      <c r="T2631"/>
      <c r="U2631"/>
      <c r="V2631"/>
      <c r="W2631"/>
      <c r="X2631"/>
    </row>
    <row r="2632" spans="5:24" x14ac:dyDescent="0.3">
      <c r="E2632" s="173"/>
      <c r="F2632" s="173"/>
      <c r="I2632"/>
      <c r="J2632"/>
      <c r="K2632"/>
      <c r="L2632"/>
      <c r="M2632"/>
      <c r="N2632"/>
      <c r="O2632"/>
      <c r="P2632" s="225"/>
      <c r="Q2632" s="225"/>
      <c r="R2632"/>
      <c r="S2632"/>
      <c r="T2632"/>
      <c r="U2632"/>
      <c r="V2632"/>
      <c r="W2632"/>
      <c r="X2632"/>
    </row>
    <row r="2633" spans="5:24" x14ac:dyDescent="0.3">
      <c r="E2633" s="173"/>
      <c r="F2633" s="173"/>
      <c r="I2633"/>
      <c r="J2633"/>
      <c r="K2633"/>
      <c r="L2633"/>
      <c r="M2633"/>
      <c r="N2633"/>
      <c r="O2633"/>
      <c r="P2633" s="225"/>
      <c r="Q2633" s="225"/>
      <c r="R2633"/>
      <c r="S2633"/>
      <c r="T2633"/>
      <c r="U2633"/>
      <c r="V2633"/>
      <c r="W2633"/>
      <c r="X2633"/>
    </row>
    <row r="2634" spans="5:24" x14ac:dyDescent="0.3">
      <c r="E2634" s="173"/>
      <c r="F2634" s="173"/>
      <c r="I2634"/>
      <c r="J2634"/>
      <c r="K2634"/>
      <c r="L2634"/>
      <c r="M2634"/>
      <c r="N2634"/>
      <c r="O2634"/>
      <c r="P2634" s="225"/>
      <c r="Q2634" s="225"/>
      <c r="R2634"/>
      <c r="S2634"/>
      <c r="T2634"/>
      <c r="U2634"/>
      <c r="V2634"/>
      <c r="W2634"/>
      <c r="X2634"/>
    </row>
    <row r="2635" spans="5:24" x14ac:dyDescent="0.3">
      <c r="E2635" s="173"/>
      <c r="F2635" s="173"/>
      <c r="I2635"/>
      <c r="J2635"/>
      <c r="K2635"/>
      <c r="L2635"/>
      <c r="M2635"/>
      <c r="N2635"/>
      <c r="O2635"/>
      <c r="P2635" s="225"/>
      <c r="Q2635" s="225"/>
      <c r="R2635"/>
      <c r="S2635"/>
      <c r="T2635"/>
      <c r="U2635"/>
      <c r="V2635"/>
      <c r="W2635"/>
      <c r="X2635"/>
    </row>
    <row r="2636" spans="5:24" x14ac:dyDescent="0.3">
      <c r="E2636" s="173"/>
      <c r="F2636" s="173"/>
      <c r="I2636"/>
      <c r="J2636"/>
      <c r="K2636"/>
      <c r="L2636"/>
      <c r="M2636"/>
      <c r="N2636"/>
      <c r="O2636"/>
      <c r="P2636" s="225"/>
      <c r="Q2636" s="225"/>
      <c r="R2636"/>
      <c r="S2636"/>
      <c r="T2636"/>
      <c r="U2636"/>
      <c r="V2636"/>
      <c r="W2636"/>
      <c r="X2636"/>
    </row>
    <row r="2637" spans="5:24" x14ac:dyDescent="0.3">
      <c r="E2637" s="173"/>
      <c r="F2637" s="173"/>
      <c r="I2637"/>
      <c r="J2637"/>
      <c r="K2637"/>
      <c r="L2637"/>
      <c r="M2637"/>
      <c r="N2637"/>
      <c r="O2637"/>
      <c r="P2637" s="225"/>
      <c r="Q2637" s="225"/>
      <c r="R2637"/>
      <c r="S2637"/>
      <c r="T2637"/>
      <c r="U2637"/>
      <c r="V2637"/>
      <c r="W2637"/>
      <c r="X2637"/>
    </row>
    <row r="2638" spans="5:24" x14ac:dyDescent="0.3">
      <c r="E2638" s="173"/>
      <c r="F2638" s="173"/>
      <c r="I2638"/>
      <c r="J2638"/>
      <c r="K2638"/>
      <c r="L2638"/>
      <c r="M2638"/>
      <c r="N2638"/>
      <c r="O2638"/>
      <c r="P2638" s="225"/>
      <c r="Q2638" s="225"/>
      <c r="R2638"/>
      <c r="S2638"/>
      <c r="T2638"/>
      <c r="U2638"/>
      <c r="V2638"/>
      <c r="W2638"/>
      <c r="X2638"/>
    </row>
    <row r="2639" spans="5:24" x14ac:dyDescent="0.3">
      <c r="E2639" s="173"/>
      <c r="F2639" s="173"/>
      <c r="I2639"/>
      <c r="J2639"/>
      <c r="K2639"/>
      <c r="L2639"/>
      <c r="M2639"/>
      <c r="N2639"/>
      <c r="O2639"/>
      <c r="P2639" s="225"/>
      <c r="Q2639" s="225"/>
      <c r="R2639"/>
      <c r="S2639"/>
      <c r="T2639"/>
      <c r="U2639"/>
      <c r="V2639"/>
      <c r="W2639"/>
      <c r="X2639"/>
    </row>
    <row r="2640" spans="5:24" x14ac:dyDescent="0.3">
      <c r="E2640" s="173"/>
      <c r="F2640" s="173"/>
      <c r="I2640"/>
      <c r="J2640"/>
      <c r="K2640"/>
      <c r="L2640"/>
      <c r="M2640"/>
      <c r="N2640"/>
      <c r="O2640"/>
      <c r="P2640" s="225"/>
      <c r="Q2640" s="225"/>
      <c r="R2640"/>
      <c r="S2640"/>
      <c r="T2640"/>
      <c r="U2640"/>
      <c r="V2640"/>
      <c r="W2640"/>
      <c r="X2640"/>
    </row>
    <row r="2641" spans="5:24" x14ac:dyDescent="0.3">
      <c r="E2641" s="173"/>
      <c r="F2641" s="173"/>
      <c r="I2641"/>
      <c r="J2641"/>
      <c r="K2641"/>
      <c r="L2641"/>
      <c r="M2641"/>
      <c r="N2641"/>
      <c r="O2641"/>
      <c r="P2641" s="225"/>
      <c r="Q2641" s="225"/>
      <c r="R2641"/>
      <c r="S2641"/>
      <c r="T2641"/>
      <c r="U2641"/>
      <c r="V2641"/>
      <c r="W2641"/>
      <c r="X2641"/>
    </row>
    <row r="2642" spans="5:24" x14ac:dyDescent="0.3">
      <c r="E2642" s="173"/>
      <c r="F2642" s="173"/>
      <c r="I2642"/>
      <c r="J2642"/>
      <c r="K2642"/>
      <c r="L2642"/>
      <c r="M2642"/>
      <c r="N2642"/>
      <c r="O2642"/>
      <c r="P2642" s="225"/>
      <c r="Q2642" s="225"/>
      <c r="R2642"/>
      <c r="S2642"/>
      <c r="T2642"/>
      <c r="U2642"/>
      <c r="V2642"/>
      <c r="W2642"/>
      <c r="X2642"/>
    </row>
    <row r="2643" spans="5:24" x14ac:dyDescent="0.3">
      <c r="E2643" s="173"/>
      <c r="F2643" s="173"/>
      <c r="I2643"/>
      <c r="J2643"/>
      <c r="K2643"/>
      <c r="L2643"/>
      <c r="M2643"/>
      <c r="N2643"/>
      <c r="O2643"/>
      <c r="P2643" s="225"/>
      <c r="Q2643" s="225"/>
      <c r="R2643"/>
      <c r="S2643"/>
      <c r="T2643"/>
      <c r="U2643"/>
      <c r="V2643"/>
      <c r="W2643"/>
      <c r="X2643"/>
    </row>
    <row r="2644" spans="5:24" x14ac:dyDescent="0.3">
      <c r="E2644" s="173"/>
      <c r="F2644" s="173"/>
      <c r="I2644"/>
      <c r="J2644"/>
      <c r="K2644"/>
      <c r="L2644"/>
      <c r="M2644"/>
      <c r="N2644"/>
      <c r="O2644"/>
      <c r="P2644" s="225"/>
      <c r="Q2644" s="225"/>
      <c r="R2644"/>
      <c r="S2644"/>
      <c r="T2644"/>
      <c r="U2644"/>
      <c r="V2644"/>
      <c r="W2644"/>
      <c r="X2644"/>
    </row>
    <row r="2645" spans="5:24" x14ac:dyDescent="0.3">
      <c r="E2645" s="173"/>
      <c r="F2645" s="173"/>
      <c r="I2645"/>
      <c r="J2645"/>
      <c r="K2645"/>
      <c r="L2645"/>
      <c r="M2645"/>
      <c r="N2645"/>
      <c r="O2645"/>
      <c r="P2645" s="225"/>
      <c r="Q2645" s="225"/>
      <c r="R2645"/>
      <c r="S2645"/>
      <c r="T2645"/>
      <c r="U2645"/>
      <c r="V2645"/>
      <c r="W2645"/>
      <c r="X2645"/>
    </row>
    <row r="2646" spans="5:24" x14ac:dyDescent="0.3">
      <c r="E2646" s="173"/>
      <c r="F2646" s="173"/>
      <c r="I2646"/>
      <c r="J2646"/>
      <c r="K2646"/>
      <c r="L2646"/>
      <c r="M2646"/>
      <c r="N2646"/>
      <c r="O2646"/>
      <c r="P2646" s="225"/>
      <c r="Q2646" s="225"/>
      <c r="R2646"/>
      <c r="S2646"/>
      <c r="T2646"/>
      <c r="U2646"/>
      <c r="V2646"/>
      <c r="W2646"/>
      <c r="X2646"/>
    </row>
    <row r="2647" spans="5:24" x14ac:dyDescent="0.3">
      <c r="E2647" s="173"/>
      <c r="F2647" s="173"/>
      <c r="I2647"/>
      <c r="J2647"/>
      <c r="K2647"/>
      <c r="L2647"/>
      <c r="M2647"/>
      <c r="N2647"/>
      <c r="O2647"/>
      <c r="P2647" s="225"/>
      <c r="Q2647" s="225"/>
      <c r="R2647"/>
      <c r="S2647"/>
      <c r="T2647"/>
      <c r="U2647"/>
      <c r="V2647"/>
      <c r="W2647"/>
      <c r="X2647"/>
    </row>
    <row r="2648" spans="5:24" x14ac:dyDescent="0.3">
      <c r="E2648" s="173"/>
      <c r="F2648" s="173"/>
      <c r="I2648"/>
      <c r="J2648"/>
      <c r="K2648"/>
      <c r="L2648"/>
      <c r="M2648"/>
      <c r="N2648"/>
      <c r="O2648"/>
      <c r="P2648" s="225"/>
      <c r="Q2648" s="225"/>
      <c r="R2648"/>
      <c r="S2648"/>
      <c r="T2648"/>
      <c r="U2648"/>
      <c r="V2648"/>
      <c r="W2648"/>
      <c r="X2648"/>
    </row>
    <row r="2649" spans="5:24" x14ac:dyDescent="0.3">
      <c r="E2649" s="173"/>
      <c r="F2649" s="173"/>
      <c r="I2649"/>
      <c r="J2649"/>
      <c r="K2649"/>
      <c r="L2649"/>
      <c r="M2649"/>
      <c r="N2649"/>
      <c r="O2649"/>
      <c r="P2649" s="225"/>
      <c r="Q2649" s="225"/>
      <c r="R2649"/>
      <c r="S2649"/>
      <c r="T2649"/>
      <c r="U2649"/>
      <c r="V2649"/>
      <c r="W2649"/>
      <c r="X2649"/>
    </row>
    <row r="2650" spans="5:24" x14ac:dyDescent="0.3">
      <c r="E2650" s="173"/>
      <c r="F2650" s="173"/>
      <c r="I2650"/>
      <c r="J2650"/>
      <c r="K2650"/>
      <c r="L2650"/>
      <c r="M2650"/>
      <c r="N2650"/>
      <c r="O2650"/>
      <c r="P2650" s="225"/>
      <c r="Q2650" s="225"/>
      <c r="R2650"/>
      <c r="S2650"/>
      <c r="T2650"/>
      <c r="U2650"/>
      <c r="V2650"/>
      <c r="W2650"/>
      <c r="X2650"/>
    </row>
    <row r="2651" spans="5:24" x14ac:dyDescent="0.3">
      <c r="E2651" s="173"/>
      <c r="F2651" s="173"/>
      <c r="I2651"/>
      <c r="J2651"/>
      <c r="K2651"/>
      <c r="L2651"/>
      <c r="M2651"/>
      <c r="N2651"/>
      <c r="O2651"/>
      <c r="P2651" s="225"/>
      <c r="Q2651" s="225"/>
      <c r="R2651"/>
      <c r="S2651"/>
      <c r="T2651"/>
      <c r="U2651"/>
      <c r="V2651"/>
      <c r="W2651"/>
      <c r="X2651"/>
    </row>
    <row r="2652" spans="5:24" x14ac:dyDescent="0.3">
      <c r="E2652" s="173"/>
      <c r="F2652" s="173"/>
      <c r="I2652"/>
      <c r="J2652"/>
      <c r="K2652"/>
      <c r="L2652"/>
      <c r="M2652"/>
      <c r="N2652"/>
      <c r="O2652"/>
      <c r="P2652" s="225"/>
      <c r="Q2652" s="225"/>
      <c r="R2652"/>
      <c r="S2652"/>
      <c r="T2652"/>
      <c r="U2652"/>
      <c r="V2652"/>
      <c r="W2652"/>
      <c r="X2652"/>
    </row>
    <row r="2653" spans="5:24" x14ac:dyDescent="0.3">
      <c r="E2653" s="173"/>
      <c r="F2653" s="173"/>
      <c r="I2653"/>
      <c r="J2653"/>
      <c r="K2653"/>
      <c r="L2653"/>
      <c r="M2653"/>
      <c r="N2653"/>
      <c r="O2653"/>
      <c r="P2653" s="225"/>
      <c r="Q2653" s="225"/>
      <c r="R2653"/>
      <c r="S2653"/>
      <c r="T2653"/>
      <c r="U2653"/>
      <c r="V2653"/>
      <c r="W2653"/>
      <c r="X2653"/>
    </row>
    <row r="2654" spans="5:24" x14ac:dyDescent="0.3">
      <c r="E2654" s="173"/>
      <c r="F2654" s="173"/>
      <c r="I2654"/>
      <c r="J2654"/>
      <c r="K2654"/>
      <c r="L2654"/>
      <c r="M2654"/>
      <c r="N2654"/>
      <c r="O2654"/>
      <c r="P2654" s="225"/>
      <c r="Q2654" s="225"/>
      <c r="R2654"/>
      <c r="S2654"/>
      <c r="T2654"/>
      <c r="U2654"/>
      <c r="V2654"/>
      <c r="W2654"/>
      <c r="X2654"/>
    </row>
    <row r="2655" spans="5:24" x14ac:dyDescent="0.3">
      <c r="E2655" s="173"/>
      <c r="F2655" s="173"/>
      <c r="I2655"/>
      <c r="J2655"/>
      <c r="K2655"/>
      <c r="L2655"/>
      <c r="M2655"/>
      <c r="N2655"/>
      <c r="O2655"/>
      <c r="P2655" s="225"/>
      <c r="Q2655" s="225"/>
      <c r="R2655"/>
      <c r="S2655"/>
      <c r="T2655"/>
      <c r="U2655"/>
      <c r="V2655"/>
      <c r="W2655"/>
      <c r="X2655"/>
    </row>
    <row r="2656" spans="5:24" x14ac:dyDescent="0.3">
      <c r="E2656" s="173"/>
      <c r="F2656" s="173"/>
      <c r="I2656"/>
      <c r="J2656"/>
      <c r="K2656"/>
      <c r="L2656"/>
      <c r="M2656"/>
      <c r="N2656"/>
      <c r="O2656"/>
      <c r="P2656" s="225"/>
      <c r="Q2656" s="225"/>
      <c r="R2656"/>
      <c r="S2656"/>
      <c r="T2656"/>
      <c r="U2656"/>
      <c r="V2656"/>
      <c r="W2656"/>
      <c r="X2656"/>
    </row>
    <row r="2657" spans="5:24" x14ac:dyDescent="0.3">
      <c r="E2657" s="173"/>
      <c r="F2657" s="173"/>
      <c r="I2657"/>
      <c r="J2657"/>
      <c r="K2657"/>
      <c r="L2657"/>
      <c r="M2657"/>
      <c r="N2657"/>
      <c r="O2657"/>
      <c r="P2657" s="225"/>
      <c r="Q2657" s="225"/>
      <c r="R2657"/>
      <c r="S2657"/>
      <c r="T2657"/>
      <c r="U2657"/>
      <c r="V2657"/>
      <c r="W2657"/>
      <c r="X2657"/>
    </row>
    <row r="2658" spans="5:24" x14ac:dyDescent="0.3">
      <c r="E2658" s="173"/>
      <c r="F2658" s="173"/>
      <c r="I2658"/>
      <c r="J2658"/>
      <c r="K2658"/>
      <c r="L2658"/>
      <c r="M2658"/>
      <c r="N2658"/>
      <c r="O2658"/>
      <c r="P2658" s="225"/>
      <c r="Q2658" s="225"/>
      <c r="R2658"/>
      <c r="S2658"/>
      <c r="T2658"/>
      <c r="U2658"/>
      <c r="V2658"/>
      <c r="W2658"/>
      <c r="X2658"/>
    </row>
    <row r="2659" spans="5:24" x14ac:dyDescent="0.3">
      <c r="E2659" s="173"/>
      <c r="F2659" s="173"/>
      <c r="I2659"/>
      <c r="J2659"/>
      <c r="K2659"/>
      <c r="L2659"/>
      <c r="M2659"/>
      <c r="N2659"/>
      <c r="O2659"/>
      <c r="P2659" s="225"/>
      <c r="Q2659" s="225"/>
      <c r="R2659"/>
      <c r="S2659"/>
      <c r="T2659"/>
      <c r="U2659"/>
      <c r="V2659"/>
      <c r="W2659"/>
      <c r="X2659"/>
    </row>
    <row r="2660" spans="5:24" x14ac:dyDescent="0.3">
      <c r="E2660" s="173"/>
      <c r="F2660" s="173"/>
      <c r="I2660"/>
      <c r="J2660"/>
      <c r="K2660"/>
      <c r="L2660"/>
      <c r="M2660"/>
      <c r="N2660"/>
      <c r="O2660"/>
      <c r="P2660" s="225"/>
      <c r="Q2660" s="225"/>
      <c r="R2660"/>
      <c r="S2660"/>
      <c r="T2660"/>
      <c r="U2660"/>
      <c r="V2660"/>
      <c r="W2660"/>
      <c r="X2660"/>
    </row>
    <row r="2661" spans="5:24" x14ac:dyDescent="0.3">
      <c r="E2661" s="173"/>
      <c r="F2661" s="173"/>
      <c r="I2661"/>
      <c r="J2661"/>
      <c r="K2661"/>
      <c r="L2661"/>
      <c r="M2661"/>
      <c r="N2661"/>
      <c r="O2661"/>
      <c r="P2661" s="225"/>
      <c r="Q2661" s="225"/>
      <c r="R2661"/>
      <c r="S2661"/>
      <c r="T2661"/>
      <c r="U2661"/>
      <c r="V2661"/>
      <c r="W2661"/>
      <c r="X2661"/>
    </row>
    <row r="2662" spans="5:24" x14ac:dyDescent="0.3">
      <c r="E2662" s="173"/>
      <c r="F2662" s="173"/>
      <c r="I2662"/>
      <c r="J2662"/>
      <c r="K2662"/>
      <c r="L2662"/>
      <c r="M2662"/>
      <c r="N2662"/>
      <c r="O2662"/>
      <c r="P2662" s="225"/>
      <c r="Q2662" s="225"/>
      <c r="R2662"/>
      <c r="S2662"/>
      <c r="T2662"/>
      <c r="U2662"/>
      <c r="V2662"/>
      <c r="W2662"/>
      <c r="X2662"/>
    </row>
    <row r="2663" spans="5:24" x14ac:dyDescent="0.3">
      <c r="E2663" s="173"/>
      <c r="F2663" s="173"/>
      <c r="I2663"/>
      <c r="J2663"/>
      <c r="K2663"/>
      <c r="L2663"/>
      <c r="M2663"/>
      <c r="N2663"/>
      <c r="O2663"/>
      <c r="P2663" s="225"/>
      <c r="Q2663" s="225"/>
      <c r="R2663"/>
      <c r="S2663"/>
      <c r="T2663"/>
      <c r="U2663"/>
      <c r="V2663"/>
      <c r="W2663"/>
      <c r="X2663"/>
    </row>
    <row r="2664" spans="5:24" x14ac:dyDescent="0.3">
      <c r="E2664" s="173"/>
      <c r="F2664" s="173"/>
      <c r="I2664"/>
      <c r="J2664"/>
      <c r="K2664"/>
      <c r="L2664"/>
      <c r="M2664"/>
      <c r="N2664"/>
      <c r="O2664"/>
      <c r="P2664" s="225"/>
      <c r="Q2664" s="225"/>
      <c r="R2664"/>
      <c r="S2664"/>
      <c r="T2664"/>
      <c r="U2664"/>
      <c r="V2664"/>
      <c r="W2664"/>
      <c r="X2664"/>
    </row>
    <row r="2665" spans="5:24" x14ac:dyDescent="0.3">
      <c r="E2665" s="173"/>
      <c r="F2665" s="173"/>
      <c r="I2665"/>
      <c r="J2665"/>
      <c r="K2665"/>
      <c r="L2665"/>
      <c r="M2665"/>
      <c r="N2665"/>
      <c r="O2665"/>
      <c r="P2665" s="225"/>
      <c r="Q2665" s="225"/>
      <c r="R2665"/>
      <c r="S2665"/>
      <c r="T2665"/>
      <c r="U2665"/>
      <c r="V2665"/>
      <c r="W2665"/>
      <c r="X2665"/>
    </row>
    <row r="2666" spans="5:24" x14ac:dyDescent="0.3">
      <c r="E2666" s="173"/>
      <c r="F2666" s="173"/>
      <c r="I2666"/>
      <c r="J2666"/>
      <c r="K2666"/>
      <c r="L2666"/>
      <c r="M2666"/>
      <c r="N2666"/>
      <c r="O2666"/>
      <c r="P2666" s="225"/>
      <c r="Q2666" s="225"/>
      <c r="R2666"/>
      <c r="S2666"/>
      <c r="T2666"/>
      <c r="U2666"/>
      <c r="V2666"/>
      <c r="W2666"/>
      <c r="X2666"/>
    </row>
    <row r="2667" spans="5:24" x14ac:dyDescent="0.3">
      <c r="E2667" s="173"/>
      <c r="F2667" s="173"/>
      <c r="I2667"/>
      <c r="J2667"/>
      <c r="K2667"/>
      <c r="L2667"/>
      <c r="M2667"/>
      <c r="N2667"/>
      <c r="O2667"/>
      <c r="P2667" s="225"/>
      <c r="Q2667" s="225"/>
      <c r="R2667"/>
      <c r="S2667"/>
      <c r="T2667"/>
      <c r="U2667"/>
      <c r="V2667"/>
      <c r="W2667"/>
      <c r="X2667"/>
    </row>
    <row r="2668" spans="5:24" x14ac:dyDescent="0.3">
      <c r="E2668" s="173"/>
      <c r="F2668" s="173"/>
      <c r="I2668"/>
      <c r="J2668"/>
      <c r="K2668"/>
      <c r="L2668"/>
      <c r="M2668"/>
      <c r="N2668"/>
      <c r="O2668"/>
      <c r="P2668" s="225"/>
      <c r="Q2668" s="225"/>
      <c r="R2668"/>
      <c r="S2668"/>
      <c r="T2668"/>
      <c r="U2668"/>
      <c r="V2668"/>
      <c r="W2668"/>
      <c r="X2668"/>
    </row>
    <row r="2669" spans="5:24" x14ac:dyDescent="0.3">
      <c r="E2669" s="173"/>
      <c r="F2669" s="173"/>
      <c r="I2669"/>
      <c r="J2669"/>
      <c r="K2669"/>
      <c r="L2669"/>
      <c r="M2669"/>
      <c r="N2669"/>
      <c r="O2669"/>
      <c r="P2669" s="225"/>
      <c r="Q2669" s="225"/>
      <c r="R2669"/>
      <c r="S2669"/>
      <c r="T2669"/>
      <c r="U2669"/>
      <c r="V2669"/>
      <c r="W2669"/>
      <c r="X2669"/>
    </row>
    <row r="2670" spans="5:24" x14ac:dyDescent="0.3">
      <c r="E2670" s="173"/>
      <c r="F2670" s="173"/>
      <c r="I2670"/>
      <c r="J2670"/>
      <c r="K2670"/>
      <c r="L2670"/>
      <c r="M2670"/>
      <c r="N2670"/>
      <c r="O2670"/>
      <c r="P2670" s="225"/>
      <c r="Q2670" s="225"/>
      <c r="R2670"/>
      <c r="S2670"/>
      <c r="T2670"/>
      <c r="U2670"/>
      <c r="V2670"/>
      <c r="W2670"/>
      <c r="X2670"/>
    </row>
    <row r="2671" spans="5:24" x14ac:dyDescent="0.3">
      <c r="E2671" s="173"/>
      <c r="F2671" s="173"/>
      <c r="I2671"/>
      <c r="J2671"/>
      <c r="K2671"/>
      <c r="L2671"/>
      <c r="M2671"/>
      <c r="N2671"/>
      <c r="O2671"/>
      <c r="P2671" s="225"/>
      <c r="Q2671" s="225"/>
      <c r="R2671"/>
      <c r="S2671"/>
      <c r="T2671"/>
      <c r="U2671"/>
      <c r="V2671"/>
      <c r="W2671"/>
      <c r="X2671"/>
    </row>
    <row r="2672" spans="5:24" x14ac:dyDescent="0.3">
      <c r="E2672" s="173"/>
      <c r="F2672" s="173"/>
      <c r="I2672"/>
      <c r="J2672"/>
      <c r="K2672"/>
      <c r="L2672"/>
      <c r="M2672"/>
      <c r="N2672"/>
      <c r="O2672"/>
      <c r="P2672" s="225"/>
      <c r="Q2672" s="225"/>
      <c r="R2672"/>
      <c r="S2672"/>
      <c r="T2672"/>
      <c r="U2672"/>
      <c r="V2672"/>
      <c r="W2672"/>
      <c r="X2672"/>
    </row>
    <row r="2673" spans="5:24" x14ac:dyDescent="0.3">
      <c r="E2673" s="173"/>
      <c r="F2673" s="173"/>
      <c r="I2673"/>
      <c r="J2673"/>
      <c r="K2673"/>
      <c r="L2673"/>
      <c r="M2673"/>
      <c r="N2673"/>
      <c r="O2673"/>
      <c r="P2673" s="225"/>
      <c r="Q2673" s="225"/>
      <c r="R2673"/>
      <c r="S2673"/>
      <c r="T2673"/>
      <c r="U2673"/>
      <c r="V2673"/>
      <c r="W2673"/>
      <c r="X2673"/>
    </row>
    <row r="2674" spans="5:24" x14ac:dyDescent="0.3">
      <c r="E2674" s="173"/>
      <c r="F2674" s="173"/>
      <c r="I2674"/>
      <c r="J2674"/>
      <c r="K2674"/>
      <c r="L2674"/>
      <c r="M2674"/>
      <c r="N2674"/>
      <c r="O2674"/>
      <c r="P2674" s="225"/>
      <c r="Q2674" s="225"/>
      <c r="R2674"/>
      <c r="S2674"/>
      <c r="T2674"/>
      <c r="U2674"/>
      <c r="V2674"/>
      <c r="W2674"/>
      <c r="X2674"/>
    </row>
    <row r="2675" spans="5:24" x14ac:dyDescent="0.3">
      <c r="E2675" s="173"/>
      <c r="F2675" s="173"/>
      <c r="I2675"/>
      <c r="J2675"/>
      <c r="K2675"/>
      <c r="L2675"/>
      <c r="M2675"/>
      <c r="N2675"/>
      <c r="O2675"/>
      <c r="P2675" s="225"/>
      <c r="Q2675" s="225"/>
      <c r="R2675"/>
      <c r="S2675"/>
      <c r="T2675"/>
      <c r="U2675"/>
      <c r="V2675"/>
      <c r="W2675"/>
      <c r="X2675"/>
    </row>
    <row r="2676" spans="5:24" x14ac:dyDescent="0.3">
      <c r="E2676" s="173"/>
      <c r="F2676" s="173"/>
      <c r="I2676"/>
      <c r="J2676"/>
      <c r="K2676"/>
      <c r="L2676"/>
      <c r="M2676"/>
      <c r="N2676"/>
      <c r="O2676"/>
      <c r="P2676" s="225"/>
      <c r="Q2676" s="225"/>
      <c r="R2676"/>
      <c r="S2676"/>
      <c r="T2676"/>
      <c r="U2676"/>
      <c r="V2676"/>
      <c r="W2676"/>
      <c r="X2676"/>
    </row>
    <row r="2677" spans="5:24" x14ac:dyDescent="0.3">
      <c r="E2677" s="173"/>
      <c r="F2677" s="173"/>
      <c r="I2677"/>
      <c r="J2677"/>
      <c r="K2677"/>
      <c r="L2677"/>
      <c r="M2677"/>
      <c r="N2677"/>
      <c r="O2677"/>
      <c r="P2677" s="225"/>
      <c r="Q2677" s="225"/>
      <c r="R2677"/>
      <c r="S2677"/>
      <c r="T2677"/>
      <c r="U2677"/>
      <c r="V2677"/>
      <c r="W2677"/>
      <c r="X2677"/>
    </row>
    <row r="2678" spans="5:24" x14ac:dyDescent="0.3">
      <c r="E2678" s="173"/>
      <c r="F2678" s="173"/>
      <c r="I2678"/>
      <c r="J2678"/>
      <c r="K2678"/>
      <c r="L2678"/>
      <c r="M2678"/>
      <c r="N2678"/>
      <c r="O2678"/>
      <c r="P2678" s="225"/>
      <c r="Q2678" s="225"/>
      <c r="R2678"/>
      <c r="S2678"/>
      <c r="T2678"/>
      <c r="U2678"/>
      <c r="V2678"/>
      <c r="W2678"/>
      <c r="X2678"/>
    </row>
    <row r="2679" spans="5:24" x14ac:dyDescent="0.3">
      <c r="E2679" s="173"/>
      <c r="F2679" s="173"/>
      <c r="I2679"/>
      <c r="J2679"/>
      <c r="K2679"/>
      <c r="L2679"/>
      <c r="M2679"/>
      <c r="N2679"/>
      <c r="O2679"/>
      <c r="P2679" s="225"/>
      <c r="Q2679" s="225"/>
      <c r="R2679"/>
      <c r="S2679"/>
      <c r="T2679"/>
      <c r="U2679"/>
      <c r="V2679"/>
      <c r="W2679"/>
      <c r="X2679"/>
    </row>
    <row r="2680" spans="5:24" x14ac:dyDescent="0.3">
      <c r="E2680" s="173"/>
      <c r="F2680" s="173"/>
      <c r="I2680"/>
      <c r="J2680"/>
      <c r="K2680"/>
      <c r="L2680"/>
      <c r="M2680"/>
      <c r="N2680"/>
      <c r="O2680"/>
      <c r="P2680" s="225"/>
      <c r="Q2680" s="225"/>
      <c r="R2680"/>
      <c r="S2680"/>
      <c r="T2680"/>
      <c r="U2680"/>
      <c r="V2680"/>
      <c r="W2680"/>
      <c r="X2680"/>
    </row>
    <row r="2681" spans="5:24" x14ac:dyDescent="0.3">
      <c r="E2681" s="173"/>
      <c r="F2681" s="173"/>
      <c r="I2681"/>
      <c r="J2681"/>
      <c r="K2681"/>
      <c r="L2681"/>
      <c r="M2681"/>
      <c r="N2681"/>
      <c r="O2681"/>
      <c r="P2681" s="225"/>
      <c r="Q2681" s="225"/>
      <c r="R2681"/>
      <c r="S2681"/>
      <c r="T2681"/>
      <c r="U2681"/>
      <c r="V2681"/>
      <c r="W2681"/>
      <c r="X2681"/>
    </row>
    <row r="2682" spans="5:24" x14ac:dyDescent="0.3">
      <c r="E2682" s="173"/>
      <c r="F2682" s="173"/>
      <c r="I2682"/>
      <c r="J2682"/>
      <c r="K2682"/>
      <c r="L2682"/>
      <c r="M2682"/>
      <c r="N2682"/>
      <c r="O2682"/>
      <c r="P2682" s="225"/>
      <c r="Q2682" s="225"/>
      <c r="R2682"/>
      <c r="S2682"/>
      <c r="T2682"/>
      <c r="U2682"/>
      <c r="V2682"/>
      <c r="W2682"/>
      <c r="X2682"/>
    </row>
    <row r="2683" spans="5:24" x14ac:dyDescent="0.3">
      <c r="E2683" s="173"/>
      <c r="F2683" s="173"/>
      <c r="I2683"/>
      <c r="J2683"/>
      <c r="K2683"/>
      <c r="L2683"/>
      <c r="M2683"/>
      <c r="N2683"/>
      <c r="O2683"/>
      <c r="P2683" s="225"/>
      <c r="Q2683" s="225"/>
      <c r="R2683"/>
      <c r="S2683"/>
      <c r="T2683"/>
      <c r="U2683"/>
      <c r="V2683"/>
      <c r="W2683"/>
      <c r="X2683"/>
    </row>
    <row r="2684" spans="5:24" x14ac:dyDescent="0.3">
      <c r="E2684" s="173"/>
      <c r="F2684" s="173"/>
      <c r="I2684"/>
      <c r="J2684"/>
      <c r="K2684"/>
      <c r="L2684"/>
      <c r="M2684"/>
      <c r="N2684"/>
      <c r="O2684"/>
      <c r="P2684" s="225"/>
      <c r="Q2684" s="225"/>
      <c r="R2684"/>
      <c r="S2684"/>
      <c r="T2684"/>
      <c r="U2684"/>
      <c r="V2684"/>
      <c r="W2684"/>
      <c r="X2684"/>
    </row>
    <row r="2685" spans="5:24" x14ac:dyDescent="0.3">
      <c r="E2685" s="173"/>
      <c r="F2685" s="173"/>
      <c r="I2685"/>
      <c r="J2685"/>
      <c r="K2685"/>
      <c r="L2685"/>
      <c r="M2685"/>
      <c r="N2685"/>
      <c r="O2685"/>
      <c r="P2685" s="225"/>
      <c r="Q2685" s="225"/>
      <c r="R2685"/>
      <c r="S2685"/>
      <c r="T2685"/>
      <c r="U2685"/>
      <c r="V2685"/>
      <c r="W2685"/>
      <c r="X2685"/>
    </row>
    <row r="2686" spans="5:24" x14ac:dyDescent="0.3">
      <c r="E2686" s="173"/>
      <c r="F2686" s="173"/>
      <c r="I2686"/>
      <c r="J2686"/>
      <c r="K2686"/>
      <c r="L2686"/>
      <c r="M2686"/>
      <c r="N2686"/>
      <c r="O2686"/>
      <c r="P2686" s="225"/>
      <c r="Q2686" s="225"/>
      <c r="R2686"/>
      <c r="S2686"/>
      <c r="T2686"/>
      <c r="U2686"/>
      <c r="V2686"/>
      <c r="W2686"/>
      <c r="X2686"/>
    </row>
    <row r="2687" spans="5:24" x14ac:dyDescent="0.3">
      <c r="E2687" s="173"/>
      <c r="F2687" s="173"/>
      <c r="I2687"/>
      <c r="J2687"/>
      <c r="K2687"/>
      <c r="L2687"/>
      <c r="M2687"/>
      <c r="N2687"/>
      <c r="O2687"/>
      <c r="P2687" s="225"/>
      <c r="Q2687" s="225"/>
      <c r="R2687"/>
      <c r="S2687"/>
      <c r="T2687"/>
      <c r="U2687"/>
      <c r="V2687"/>
      <c r="W2687"/>
      <c r="X2687"/>
    </row>
    <row r="2688" spans="5:24" x14ac:dyDescent="0.3">
      <c r="E2688" s="173"/>
      <c r="F2688" s="173"/>
      <c r="I2688"/>
      <c r="J2688"/>
      <c r="K2688"/>
      <c r="L2688"/>
      <c r="M2688"/>
      <c r="N2688"/>
      <c r="O2688"/>
      <c r="P2688" s="225"/>
      <c r="Q2688" s="225"/>
      <c r="R2688"/>
      <c r="S2688"/>
      <c r="T2688"/>
      <c r="U2688"/>
      <c r="V2688"/>
      <c r="W2688"/>
      <c r="X2688"/>
    </row>
    <row r="2689" spans="5:24" x14ac:dyDescent="0.3">
      <c r="E2689" s="173"/>
      <c r="F2689" s="173"/>
      <c r="I2689"/>
      <c r="J2689"/>
      <c r="K2689"/>
      <c r="L2689"/>
      <c r="M2689"/>
      <c r="N2689"/>
      <c r="O2689"/>
      <c r="P2689" s="225"/>
      <c r="Q2689" s="225"/>
      <c r="R2689"/>
      <c r="S2689"/>
      <c r="T2689"/>
      <c r="U2689"/>
      <c r="V2689"/>
      <c r="W2689"/>
      <c r="X2689"/>
    </row>
    <row r="2690" spans="5:24" x14ac:dyDescent="0.3">
      <c r="E2690" s="173"/>
      <c r="F2690" s="173"/>
      <c r="I2690"/>
      <c r="J2690"/>
      <c r="K2690"/>
      <c r="L2690"/>
      <c r="M2690"/>
      <c r="N2690"/>
      <c r="O2690"/>
      <c r="P2690" s="225"/>
      <c r="Q2690" s="225"/>
      <c r="R2690"/>
      <c r="S2690"/>
      <c r="T2690"/>
      <c r="U2690"/>
      <c r="V2690"/>
      <c r="W2690"/>
      <c r="X2690"/>
    </row>
    <row r="2691" spans="5:24" x14ac:dyDescent="0.3">
      <c r="E2691" s="173"/>
      <c r="F2691" s="173"/>
      <c r="I2691"/>
      <c r="J2691"/>
      <c r="K2691"/>
      <c r="L2691"/>
      <c r="M2691"/>
      <c r="N2691"/>
      <c r="O2691"/>
      <c r="P2691" s="225"/>
      <c r="Q2691" s="225"/>
      <c r="R2691"/>
      <c r="S2691"/>
      <c r="T2691"/>
      <c r="U2691"/>
      <c r="V2691"/>
      <c r="W2691"/>
      <c r="X2691"/>
    </row>
    <row r="2692" spans="5:24" x14ac:dyDescent="0.3">
      <c r="E2692" s="173"/>
      <c r="F2692" s="173"/>
      <c r="I2692"/>
      <c r="J2692"/>
      <c r="K2692"/>
      <c r="L2692"/>
      <c r="M2692"/>
      <c r="N2692"/>
      <c r="O2692"/>
      <c r="P2692" s="225"/>
      <c r="Q2692" s="225"/>
      <c r="R2692"/>
      <c r="S2692"/>
      <c r="T2692"/>
      <c r="U2692"/>
      <c r="V2692"/>
      <c r="W2692"/>
      <c r="X2692"/>
    </row>
    <row r="2693" spans="5:24" x14ac:dyDescent="0.3">
      <c r="E2693" s="173"/>
      <c r="F2693" s="173"/>
      <c r="I2693"/>
      <c r="J2693"/>
      <c r="K2693"/>
      <c r="L2693"/>
      <c r="M2693"/>
      <c r="N2693"/>
      <c r="O2693"/>
      <c r="P2693" s="225"/>
      <c r="Q2693" s="225"/>
      <c r="R2693"/>
      <c r="S2693"/>
      <c r="T2693"/>
      <c r="U2693"/>
      <c r="V2693"/>
      <c r="W2693"/>
      <c r="X2693"/>
    </row>
    <row r="2694" spans="5:24" x14ac:dyDescent="0.3">
      <c r="E2694" s="173"/>
      <c r="F2694" s="173"/>
      <c r="I2694"/>
      <c r="J2694"/>
      <c r="K2694"/>
      <c r="L2694"/>
      <c r="M2694"/>
      <c r="N2694"/>
      <c r="O2694"/>
      <c r="P2694" s="225"/>
      <c r="Q2694" s="225"/>
      <c r="R2694"/>
      <c r="S2694"/>
      <c r="T2694"/>
      <c r="U2694"/>
      <c r="V2694"/>
      <c r="W2694"/>
      <c r="X2694"/>
    </row>
    <row r="2695" spans="5:24" x14ac:dyDescent="0.3">
      <c r="E2695" s="173"/>
      <c r="F2695" s="173"/>
      <c r="I2695"/>
      <c r="J2695"/>
      <c r="K2695"/>
      <c r="L2695"/>
      <c r="M2695"/>
      <c r="N2695"/>
      <c r="O2695"/>
      <c r="P2695" s="225"/>
      <c r="Q2695" s="225"/>
      <c r="R2695"/>
      <c r="S2695"/>
      <c r="T2695"/>
      <c r="U2695"/>
      <c r="V2695"/>
      <c r="W2695"/>
      <c r="X2695"/>
    </row>
    <row r="2696" spans="5:24" x14ac:dyDescent="0.3">
      <c r="E2696" s="173"/>
      <c r="F2696" s="173"/>
      <c r="I2696"/>
      <c r="J2696"/>
      <c r="K2696"/>
      <c r="L2696"/>
      <c r="M2696"/>
      <c r="N2696"/>
      <c r="O2696"/>
      <c r="P2696" s="225"/>
      <c r="Q2696" s="225"/>
      <c r="R2696"/>
      <c r="S2696"/>
      <c r="T2696"/>
      <c r="U2696"/>
      <c r="V2696"/>
      <c r="W2696"/>
      <c r="X2696"/>
    </row>
    <row r="2697" spans="5:24" x14ac:dyDescent="0.3">
      <c r="E2697" s="173"/>
      <c r="F2697" s="173"/>
      <c r="I2697"/>
      <c r="J2697"/>
      <c r="K2697"/>
      <c r="L2697"/>
      <c r="M2697"/>
      <c r="N2697"/>
      <c r="O2697"/>
      <c r="P2697" s="225"/>
      <c r="Q2697" s="225"/>
      <c r="R2697"/>
      <c r="S2697"/>
      <c r="T2697"/>
      <c r="U2697"/>
      <c r="V2697"/>
      <c r="W2697"/>
      <c r="X2697"/>
    </row>
    <row r="2698" spans="5:24" x14ac:dyDescent="0.3">
      <c r="E2698" s="173"/>
      <c r="F2698" s="173"/>
      <c r="I2698"/>
      <c r="J2698"/>
      <c r="K2698"/>
      <c r="L2698"/>
      <c r="M2698"/>
      <c r="N2698"/>
      <c r="O2698"/>
      <c r="P2698" s="225"/>
      <c r="Q2698" s="225"/>
      <c r="R2698"/>
      <c r="S2698"/>
      <c r="T2698"/>
      <c r="U2698"/>
      <c r="V2698"/>
      <c r="W2698"/>
      <c r="X2698"/>
    </row>
    <row r="2699" spans="5:24" x14ac:dyDescent="0.3">
      <c r="E2699" s="173"/>
      <c r="F2699" s="173"/>
      <c r="I2699"/>
      <c r="J2699"/>
      <c r="K2699"/>
      <c r="L2699"/>
      <c r="M2699"/>
      <c r="N2699"/>
      <c r="O2699"/>
      <c r="P2699" s="225"/>
      <c r="Q2699" s="225"/>
      <c r="R2699"/>
      <c r="S2699"/>
      <c r="T2699"/>
      <c r="U2699"/>
      <c r="V2699"/>
      <c r="W2699"/>
      <c r="X2699"/>
    </row>
    <row r="2700" spans="5:24" x14ac:dyDescent="0.3">
      <c r="E2700" s="173"/>
      <c r="F2700" s="173"/>
      <c r="I2700"/>
      <c r="J2700"/>
      <c r="K2700"/>
      <c r="L2700"/>
      <c r="M2700"/>
      <c r="N2700"/>
      <c r="O2700"/>
      <c r="P2700" s="225"/>
      <c r="Q2700" s="225"/>
      <c r="R2700"/>
      <c r="S2700"/>
      <c r="T2700"/>
      <c r="U2700"/>
      <c r="V2700"/>
      <c r="W2700"/>
      <c r="X2700"/>
    </row>
    <row r="2701" spans="5:24" x14ac:dyDescent="0.3">
      <c r="E2701" s="173"/>
      <c r="F2701" s="173"/>
      <c r="I2701"/>
      <c r="J2701"/>
      <c r="K2701"/>
      <c r="L2701"/>
      <c r="M2701"/>
      <c r="N2701"/>
      <c r="O2701"/>
      <c r="P2701" s="225"/>
      <c r="Q2701" s="225"/>
      <c r="R2701"/>
      <c r="S2701"/>
      <c r="T2701"/>
      <c r="U2701"/>
      <c r="V2701"/>
      <c r="W2701"/>
      <c r="X2701"/>
    </row>
    <row r="2702" spans="5:24" x14ac:dyDescent="0.3">
      <c r="E2702" s="173"/>
      <c r="F2702" s="173"/>
      <c r="I2702"/>
      <c r="J2702"/>
      <c r="K2702"/>
      <c r="L2702"/>
      <c r="M2702"/>
      <c r="N2702"/>
      <c r="O2702"/>
      <c r="P2702" s="225"/>
      <c r="Q2702" s="225"/>
      <c r="R2702"/>
      <c r="S2702"/>
      <c r="T2702"/>
      <c r="U2702"/>
      <c r="V2702"/>
      <c r="W2702"/>
      <c r="X2702"/>
    </row>
    <row r="2703" spans="5:24" x14ac:dyDescent="0.3">
      <c r="E2703" s="173"/>
      <c r="F2703" s="173"/>
      <c r="I2703"/>
      <c r="J2703"/>
      <c r="K2703"/>
      <c r="L2703"/>
      <c r="M2703"/>
      <c r="N2703"/>
      <c r="O2703"/>
      <c r="P2703" s="225"/>
      <c r="Q2703" s="225"/>
      <c r="R2703"/>
      <c r="S2703"/>
      <c r="T2703"/>
      <c r="U2703"/>
      <c r="V2703"/>
      <c r="W2703"/>
      <c r="X2703"/>
    </row>
    <row r="2704" spans="5:24" x14ac:dyDescent="0.3">
      <c r="E2704" s="173"/>
      <c r="F2704" s="173"/>
      <c r="I2704"/>
      <c r="J2704"/>
      <c r="K2704"/>
      <c r="L2704"/>
      <c r="M2704"/>
      <c r="N2704"/>
      <c r="O2704"/>
      <c r="P2704" s="225"/>
      <c r="Q2704" s="225"/>
      <c r="R2704"/>
      <c r="S2704"/>
      <c r="T2704"/>
      <c r="U2704"/>
      <c r="V2704"/>
      <c r="W2704"/>
      <c r="X2704"/>
    </row>
    <row r="2705" spans="5:24" x14ac:dyDescent="0.3">
      <c r="E2705" s="173"/>
      <c r="F2705" s="173"/>
      <c r="I2705"/>
      <c r="J2705"/>
      <c r="K2705"/>
      <c r="L2705"/>
      <c r="M2705"/>
      <c r="N2705"/>
      <c r="O2705"/>
      <c r="P2705" s="225"/>
      <c r="Q2705" s="225"/>
      <c r="R2705"/>
      <c r="S2705"/>
      <c r="T2705"/>
      <c r="U2705"/>
      <c r="V2705"/>
      <c r="W2705"/>
      <c r="X2705"/>
    </row>
    <row r="2706" spans="5:24" x14ac:dyDescent="0.3">
      <c r="E2706" s="173"/>
      <c r="F2706" s="173"/>
      <c r="I2706"/>
      <c r="J2706"/>
      <c r="K2706"/>
      <c r="L2706"/>
      <c r="M2706"/>
      <c r="N2706"/>
      <c r="O2706"/>
      <c r="P2706" s="225"/>
      <c r="Q2706" s="225"/>
      <c r="R2706"/>
      <c r="S2706"/>
      <c r="T2706"/>
      <c r="U2706"/>
      <c r="V2706"/>
      <c r="W2706"/>
      <c r="X2706"/>
    </row>
    <row r="2707" spans="5:24" x14ac:dyDescent="0.3">
      <c r="E2707" s="173"/>
      <c r="F2707" s="173"/>
      <c r="I2707"/>
      <c r="J2707"/>
      <c r="K2707"/>
      <c r="L2707"/>
      <c r="M2707"/>
      <c r="N2707"/>
      <c r="O2707"/>
      <c r="P2707" s="225"/>
      <c r="Q2707" s="225"/>
      <c r="R2707"/>
      <c r="S2707"/>
      <c r="T2707"/>
      <c r="U2707"/>
      <c r="V2707"/>
      <c r="W2707"/>
      <c r="X2707"/>
    </row>
    <row r="2708" spans="5:24" x14ac:dyDescent="0.3">
      <c r="E2708" s="173"/>
      <c r="F2708" s="173"/>
      <c r="I2708"/>
      <c r="J2708"/>
      <c r="K2708"/>
      <c r="L2708"/>
      <c r="M2708"/>
      <c r="N2708"/>
      <c r="O2708"/>
      <c r="P2708" s="225"/>
      <c r="Q2708" s="225"/>
      <c r="R2708"/>
      <c r="S2708"/>
      <c r="T2708"/>
      <c r="U2708"/>
      <c r="V2708"/>
      <c r="W2708"/>
      <c r="X2708"/>
    </row>
    <row r="2709" spans="5:24" x14ac:dyDescent="0.3">
      <c r="E2709" s="173"/>
      <c r="F2709" s="173"/>
      <c r="I2709"/>
      <c r="J2709"/>
      <c r="K2709"/>
      <c r="L2709"/>
      <c r="M2709"/>
      <c r="N2709"/>
      <c r="O2709"/>
      <c r="P2709" s="225"/>
      <c r="Q2709" s="225"/>
      <c r="R2709"/>
      <c r="S2709"/>
      <c r="T2709"/>
      <c r="U2709"/>
      <c r="V2709"/>
      <c r="W2709"/>
      <c r="X2709"/>
    </row>
    <row r="2710" spans="5:24" x14ac:dyDescent="0.3">
      <c r="E2710" s="173"/>
      <c r="F2710" s="173"/>
      <c r="I2710"/>
      <c r="J2710"/>
      <c r="K2710"/>
      <c r="L2710"/>
      <c r="M2710"/>
      <c r="N2710"/>
      <c r="O2710"/>
      <c r="P2710" s="225"/>
      <c r="Q2710" s="225"/>
      <c r="R2710"/>
      <c r="S2710"/>
      <c r="T2710"/>
      <c r="U2710"/>
      <c r="V2710"/>
      <c r="W2710"/>
      <c r="X2710"/>
    </row>
    <row r="2711" spans="5:24" x14ac:dyDescent="0.3">
      <c r="E2711" s="173"/>
      <c r="F2711" s="173"/>
      <c r="I2711"/>
      <c r="J2711"/>
      <c r="K2711"/>
      <c r="L2711"/>
      <c r="M2711"/>
      <c r="N2711"/>
      <c r="O2711"/>
      <c r="P2711" s="225"/>
      <c r="Q2711" s="225"/>
      <c r="R2711"/>
      <c r="S2711"/>
      <c r="T2711"/>
      <c r="U2711"/>
      <c r="V2711"/>
      <c r="W2711"/>
      <c r="X2711"/>
    </row>
    <row r="2712" spans="5:24" x14ac:dyDescent="0.3">
      <c r="E2712" s="173"/>
      <c r="F2712" s="173"/>
      <c r="I2712"/>
      <c r="J2712"/>
      <c r="K2712"/>
      <c r="L2712"/>
      <c r="M2712"/>
      <c r="N2712"/>
      <c r="O2712"/>
      <c r="P2712" s="225"/>
      <c r="Q2712" s="225"/>
      <c r="R2712"/>
      <c r="S2712"/>
      <c r="T2712"/>
      <c r="U2712"/>
      <c r="V2712"/>
      <c r="W2712"/>
      <c r="X2712"/>
    </row>
    <row r="2713" spans="5:24" x14ac:dyDescent="0.3">
      <c r="E2713" s="173"/>
      <c r="F2713" s="173"/>
      <c r="I2713"/>
      <c r="J2713"/>
      <c r="K2713"/>
      <c r="L2713"/>
      <c r="M2713"/>
      <c r="N2713"/>
      <c r="O2713"/>
      <c r="P2713" s="225"/>
      <c r="Q2713" s="225"/>
      <c r="R2713"/>
      <c r="S2713"/>
      <c r="T2713"/>
      <c r="U2713"/>
      <c r="V2713"/>
      <c r="W2713"/>
      <c r="X2713"/>
    </row>
    <row r="2714" spans="5:24" x14ac:dyDescent="0.3">
      <c r="E2714" s="173"/>
      <c r="F2714" s="173"/>
      <c r="I2714"/>
      <c r="J2714"/>
      <c r="K2714"/>
      <c r="L2714"/>
      <c r="M2714"/>
      <c r="N2714"/>
      <c r="O2714"/>
      <c r="P2714" s="225"/>
      <c r="Q2714" s="225"/>
      <c r="R2714"/>
      <c r="S2714"/>
      <c r="T2714"/>
      <c r="U2714"/>
      <c r="V2714"/>
      <c r="W2714"/>
      <c r="X2714"/>
    </row>
    <row r="2715" spans="5:24" x14ac:dyDescent="0.3">
      <c r="E2715" s="173"/>
      <c r="F2715" s="173"/>
      <c r="I2715"/>
      <c r="J2715"/>
      <c r="K2715"/>
      <c r="L2715"/>
      <c r="M2715"/>
      <c r="N2715"/>
      <c r="O2715"/>
      <c r="P2715" s="225"/>
      <c r="Q2715" s="225"/>
      <c r="R2715"/>
      <c r="S2715"/>
      <c r="T2715"/>
      <c r="U2715"/>
      <c r="V2715"/>
      <c r="W2715"/>
      <c r="X2715"/>
    </row>
    <row r="2716" spans="5:24" x14ac:dyDescent="0.3">
      <c r="E2716" s="173"/>
      <c r="F2716" s="173"/>
      <c r="I2716"/>
      <c r="J2716"/>
      <c r="K2716"/>
      <c r="L2716"/>
      <c r="M2716"/>
      <c r="N2716"/>
      <c r="O2716"/>
      <c r="P2716" s="225"/>
      <c r="Q2716" s="225"/>
      <c r="R2716"/>
      <c r="S2716"/>
      <c r="T2716"/>
      <c r="U2716"/>
      <c r="V2716"/>
      <c r="W2716"/>
      <c r="X2716"/>
    </row>
    <row r="2717" spans="5:24" x14ac:dyDescent="0.3">
      <c r="E2717" s="173"/>
      <c r="F2717" s="173"/>
      <c r="I2717"/>
      <c r="J2717"/>
      <c r="K2717"/>
      <c r="L2717"/>
      <c r="M2717"/>
      <c r="N2717"/>
      <c r="O2717"/>
      <c r="P2717" s="225"/>
      <c r="Q2717" s="225"/>
      <c r="R2717"/>
      <c r="S2717"/>
      <c r="T2717"/>
      <c r="U2717"/>
      <c r="V2717"/>
      <c r="W2717"/>
      <c r="X2717"/>
    </row>
    <row r="2718" spans="5:24" x14ac:dyDescent="0.3">
      <c r="E2718" s="173"/>
      <c r="F2718" s="173"/>
      <c r="I2718"/>
      <c r="J2718"/>
      <c r="K2718"/>
      <c r="L2718"/>
      <c r="M2718"/>
      <c r="N2718"/>
      <c r="O2718"/>
      <c r="P2718" s="225"/>
      <c r="Q2718" s="225"/>
      <c r="R2718"/>
      <c r="S2718"/>
      <c r="T2718"/>
      <c r="U2718"/>
      <c r="V2718"/>
      <c r="W2718"/>
      <c r="X2718"/>
    </row>
    <row r="2719" spans="5:24" x14ac:dyDescent="0.3">
      <c r="E2719" s="173"/>
      <c r="F2719" s="173"/>
      <c r="I2719"/>
      <c r="J2719"/>
      <c r="K2719"/>
      <c r="L2719"/>
      <c r="M2719"/>
      <c r="N2719"/>
      <c r="O2719"/>
      <c r="P2719" s="225"/>
      <c r="Q2719" s="225"/>
      <c r="R2719"/>
      <c r="S2719"/>
      <c r="T2719"/>
      <c r="U2719"/>
      <c r="V2719"/>
      <c r="W2719"/>
      <c r="X2719"/>
    </row>
    <row r="2720" spans="5:24" x14ac:dyDescent="0.3">
      <c r="E2720" s="173"/>
      <c r="F2720" s="173"/>
      <c r="I2720"/>
      <c r="J2720"/>
      <c r="K2720"/>
      <c r="L2720"/>
      <c r="M2720"/>
      <c r="N2720"/>
      <c r="O2720"/>
      <c r="P2720" s="225"/>
      <c r="Q2720" s="225"/>
      <c r="R2720"/>
      <c r="S2720"/>
      <c r="T2720"/>
      <c r="U2720"/>
      <c r="V2720"/>
      <c r="W2720"/>
      <c r="X2720"/>
    </row>
    <row r="2721" spans="5:24" x14ac:dyDescent="0.3">
      <c r="E2721" s="173"/>
      <c r="F2721" s="173"/>
      <c r="I2721"/>
      <c r="J2721"/>
      <c r="K2721"/>
      <c r="L2721"/>
      <c r="M2721"/>
      <c r="N2721"/>
      <c r="O2721"/>
      <c r="P2721" s="225"/>
      <c r="Q2721" s="225"/>
      <c r="R2721"/>
      <c r="S2721"/>
      <c r="T2721"/>
      <c r="U2721"/>
      <c r="V2721"/>
      <c r="W2721"/>
      <c r="X2721"/>
    </row>
    <row r="2722" spans="5:24" x14ac:dyDescent="0.3">
      <c r="E2722" s="173"/>
      <c r="F2722" s="173"/>
      <c r="I2722"/>
      <c r="J2722"/>
      <c r="K2722"/>
      <c r="L2722"/>
      <c r="M2722"/>
      <c r="N2722"/>
      <c r="O2722"/>
      <c r="P2722" s="225"/>
      <c r="Q2722" s="225"/>
      <c r="R2722"/>
      <c r="S2722"/>
      <c r="T2722"/>
      <c r="U2722"/>
      <c r="V2722"/>
      <c r="W2722"/>
      <c r="X2722"/>
    </row>
    <row r="2723" spans="5:24" x14ac:dyDescent="0.3">
      <c r="E2723" s="173"/>
      <c r="F2723" s="173"/>
      <c r="I2723"/>
      <c r="J2723"/>
      <c r="K2723"/>
      <c r="L2723"/>
      <c r="M2723"/>
      <c r="N2723"/>
      <c r="O2723"/>
      <c r="P2723" s="225"/>
      <c r="Q2723" s="225"/>
      <c r="R2723"/>
      <c r="S2723"/>
      <c r="T2723"/>
      <c r="U2723"/>
      <c r="V2723"/>
      <c r="W2723"/>
      <c r="X2723"/>
    </row>
    <row r="2724" spans="5:24" x14ac:dyDescent="0.3">
      <c r="E2724" s="173"/>
      <c r="F2724" s="173"/>
      <c r="I2724"/>
      <c r="J2724"/>
      <c r="K2724"/>
      <c r="L2724"/>
      <c r="M2724"/>
      <c r="N2724"/>
      <c r="O2724"/>
      <c r="P2724" s="225"/>
      <c r="Q2724" s="225"/>
      <c r="R2724"/>
      <c r="S2724"/>
      <c r="T2724"/>
      <c r="U2724"/>
      <c r="V2724"/>
      <c r="W2724"/>
      <c r="X2724"/>
    </row>
    <row r="2725" spans="5:24" x14ac:dyDescent="0.3">
      <c r="E2725" s="173"/>
      <c r="F2725" s="173"/>
      <c r="I2725"/>
      <c r="J2725"/>
      <c r="K2725"/>
      <c r="L2725"/>
      <c r="M2725"/>
      <c r="N2725"/>
      <c r="O2725"/>
      <c r="P2725" s="225"/>
      <c r="Q2725" s="225"/>
      <c r="R2725"/>
      <c r="S2725"/>
      <c r="T2725"/>
      <c r="U2725"/>
      <c r="V2725"/>
      <c r="W2725"/>
      <c r="X2725"/>
    </row>
    <row r="2726" spans="5:24" x14ac:dyDescent="0.3">
      <c r="E2726" s="173"/>
      <c r="F2726" s="173"/>
      <c r="I2726"/>
      <c r="J2726"/>
      <c r="K2726"/>
      <c r="L2726"/>
      <c r="M2726"/>
      <c r="N2726"/>
      <c r="O2726"/>
      <c r="P2726" s="225"/>
      <c r="Q2726" s="225"/>
      <c r="R2726"/>
      <c r="S2726"/>
      <c r="T2726"/>
      <c r="U2726"/>
      <c r="V2726"/>
      <c r="W2726"/>
      <c r="X2726"/>
    </row>
    <row r="2727" spans="5:24" x14ac:dyDescent="0.3">
      <c r="E2727" s="173"/>
      <c r="F2727" s="173"/>
      <c r="I2727"/>
      <c r="J2727"/>
      <c r="K2727"/>
      <c r="L2727"/>
      <c r="M2727"/>
      <c r="N2727"/>
      <c r="O2727"/>
      <c r="P2727" s="225"/>
      <c r="Q2727" s="225"/>
      <c r="R2727"/>
      <c r="S2727"/>
      <c r="T2727"/>
      <c r="U2727"/>
      <c r="V2727"/>
      <c r="W2727"/>
      <c r="X2727"/>
    </row>
    <row r="2728" spans="5:24" x14ac:dyDescent="0.3">
      <c r="E2728" s="173"/>
      <c r="F2728" s="173"/>
      <c r="I2728"/>
      <c r="J2728"/>
      <c r="K2728"/>
      <c r="L2728"/>
      <c r="M2728"/>
      <c r="N2728"/>
      <c r="O2728"/>
      <c r="P2728" s="225"/>
      <c r="Q2728" s="225"/>
      <c r="R2728"/>
      <c r="S2728"/>
      <c r="T2728"/>
      <c r="U2728"/>
      <c r="V2728"/>
      <c r="W2728"/>
      <c r="X2728"/>
    </row>
    <row r="2729" spans="5:24" x14ac:dyDescent="0.3">
      <c r="E2729" s="173"/>
      <c r="F2729" s="173"/>
      <c r="I2729"/>
      <c r="J2729"/>
      <c r="K2729"/>
      <c r="L2729"/>
      <c r="M2729"/>
      <c r="N2729"/>
      <c r="O2729"/>
      <c r="P2729" s="225"/>
      <c r="Q2729" s="225"/>
      <c r="R2729"/>
      <c r="S2729"/>
      <c r="T2729"/>
      <c r="U2729"/>
      <c r="V2729"/>
      <c r="W2729"/>
      <c r="X2729"/>
    </row>
    <row r="2730" spans="5:24" x14ac:dyDescent="0.3">
      <c r="E2730" s="173"/>
      <c r="F2730" s="173"/>
      <c r="I2730"/>
      <c r="J2730"/>
      <c r="K2730"/>
      <c r="L2730"/>
      <c r="M2730"/>
      <c r="N2730"/>
      <c r="O2730"/>
      <c r="P2730" s="225"/>
      <c r="Q2730" s="225"/>
      <c r="R2730"/>
      <c r="S2730"/>
      <c r="T2730"/>
      <c r="U2730"/>
      <c r="V2730"/>
      <c r="W2730"/>
      <c r="X2730"/>
    </row>
    <row r="2731" spans="5:24" x14ac:dyDescent="0.3">
      <c r="E2731" s="173"/>
      <c r="F2731" s="173"/>
      <c r="I2731"/>
      <c r="J2731"/>
      <c r="K2731"/>
      <c r="L2731"/>
      <c r="M2731"/>
      <c r="N2731"/>
      <c r="O2731"/>
      <c r="P2731" s="225"/>
      <c r="Q2731" s="225"/>
      <c r="R2731"/>
      <c r="S2731"/>
      <c r="T2731"/>
      <c r="U2731"/>
      <c r="V2731"/>
      <c r="W2731"/>
      <c r="X2731"/>
    </row>
    <row r="2732" spans="5:24" x14ac:dyDescent="0.3">
      <c r="E2732" s="173"/>
      <c r="F2732" s="173"/>
      <c r="I2732"/>
      <c r="J2732"/>
      <c r="K2732"/>
      <c r="L2732"/>
      <c r="M2732"/>
      <c r="N2732"/>
      <c r="O2732"/>
      <c r="P2732" s="225"/>
      <c r="Q2732" s="225"/>
      <c r="R2732"/>
      <c r="S2732"/>
      <c r="T2732"/>
      <c r="U2732"/>
      <c r="V2732"/>
      <c r="W2732"/>
      <c r="X2732"/>
    </row>
    <row r="2733" spans="5:24" x14ac:dyDescent="0.3">
      <c r="E2733" s="173"/>
      <c r="F2733" s="173"/>
      <c r="I2733"/>
      <c r="J2733"/>
      <c r="K2733"/>
      <c r="L2733"/>
      <c r="M2733"/>
      <c r="N2733"/>
      <c r="O2733"/>
      <c r="P2733" s="225"/>
      <c r="Q2733" s="225"/>
      <c r="R2733"/>
      <c r="S2733"/>
      <c r="T2733"/>
      <c r="U2733"/>
      <c r="V2733"/>
      <c r="W2733"/>
      <c r="X2733"/>
    </row>
    <row r="2734" spans="5:24" x14ac:dyDescent="0.3">
      <c r="E2734" s="173"/>
      <c r="F2734" s="173"/>
      <c r="I2734"/>
      <c r="J2734"/>
      <c r="K2734"/>
      <c r="L2734"/>
      <c r="M2734"/>
      <c r="N2734"/>
      <c r="O2734"/>
      <c r="P2734" s="225"/>
      <c r="Q2734" s="225"/>
      <c r="R2734"/>
      <c r="S2734"/>
      <c r="T2734"/>
      <c r="U2734"/>
      <c r="V2734"/>
      <c r="W2734"/>
      <c r="X2734"/>
    </row>
    <row r="2735" spans="5:24" x14ac:dyDescent="0.3">
      <c r="E2735" s="173"/>
      <c r="F2735" s="173"/>
      <c r="I2735"/>
      <c r="J2735"/>
      <c r="K2735"/>
      <c r="L2735"/>
      <c r="M2735"/>
      <c r="N2735"/>
      <c r="O2735"/>
      <c r="P2735" s="225"/>
      <c r="Q2735" s="225"/>
      <c r="R2735"/>
      <c r="S2735"/>
      <c r="T2735"/>
      <c r="U2735"/>
      <c r="V2735"/>
      <c r="W2735"/>
      <c r="X2735"/>
    </row>
    <row r="2736" spans="5:24" x14ac:dyDescent="0.3">
      <c r="E2736" s="173"/>
      <c r="F2736" s="173"/>
      <c r="I2736"/>
      <c r="J2736"/>
      <c r="K2736"/>
      <c r="L2736"/>
      <c r="M2736"/>
      <c r="N2736"/>
      <c r="O2736"/>
      <c r="P2736" s="225"/>
      <c r="Q2736" s="225"/>
      <c r="R2736"/>
      <c r="S2736"/>
      <c r="T2736"/>
      <c r="U2736"/>
      <c r="V2736"/>
      <c r="W2736"/>
      <c r="X2736"/>
    </row>
    <row r="2737" spans="5:24" x14ac:dyDescent="0.3">
      <c r="E2737" s="173"/>
      <c r="F2737" s="173"/>
      <c r="I2737"/>
      <c r="J2737"/>
      <c r="K2737"/>
      <c r="L2737"/>
      <c r="M2737"/>
      <c r="N2737"/>
      <c r="O2737"/>
      <c r="P2737" s="225"/>
      <c r="Q2737" s="225"/>
      <c r="R2737"/>
      <c r="S2737"/>
      <c r="T2737"/>
      <c r="U2737"/>
      <c r="V2737"/>
      <c r="W2737"/>
      <c r="X2737"/>
    </row>
    <row r="2738" spans="5:24" x14ac:dyDescent="0.3">
      <c r="E2738" s="173"/>
      <c r="F2738" s="173"/>
      <c r="I2738"/>
      <c r="J2738"/>
      <c r="K2738"/>
      <c r="L2738"/>
      <c r="M2738"/>
      <c r="N2738"/>
      <c r="O2738"/>
      <c r="P2738" s="225"/>
      <c r="Q2738" s="225"/>
      <c r="R2738"/>
      <c r="S2738"/>
      <c r="T2738"/>
      <c r="U2738"/>
      <c r="V2738"/>
      <c r="W2738"/>
      <c r="X2738"/>
    </row>
    <row r="2739" spans="5:24" x14ac:dyDescent="0.3">
      <c r="E2739" s="173"/>
      <c r="F2739" s="173"/>
      <c r="I2739"/>
      <c r="J2739"/>
      <c r="K2739"/>
      <c r="L2739"/>
      <c r="M2739"/>
      <c r="N2739"/>
      <c r="O2739"/>
      <c r="P2739" s="225"/>
      <c r="Q2739" s="225"/>
      <c r="R2739"/>
      <c r="S2739"/>
      <c r="T2739"/>
      <c r="U2739"/>
      <c r="V2739"/>
      <c r="W2739"/>
      <c r="X2739"/>
    </row>
    <row r="2740" spans="5:24" x14ac:dyDescent="0.3">
      <c r="E2740" s="173"/>
      <c r="F2740" s="173"/>
      <c r="I2740"/>
      <c r="J2740"/>
      <c r="K2740"/>
      <c r="L2740"/>
      <c r="M2740"/>
      <c r="N2740"/>
      <c r="O2740"/>
      <c r="P2740" s="225"/>
      <c r="Q2740" s="225"/>
      <c r="R2740"/>
      <c r="S2740"/>
      <c r="T2740"/>
      <c r="U2740"/>
      <c r="V2740"/>
      <c r="W2740"/>
      <c r="X2740"/>
    </row>
    <row r="2741" spans="5:24" x14ac:dyDescent="0.3">
      <c r="E2741" s="173"/>
      <c r="F2741" s="173"/>
      <c r="I2741"/>
      <c r="J2741"/>
      <c r="K2741"/>
      <c r="L2741"/>
      <c r="M2741"/>
      <c r="N2741"/>
      <c r="O2741"/>
      <c r="P2741" s="225"/>
      <c r="Q2741" s="225"/>
      <c r="R2741"/>
      <c r="S2741"/>
      <c r="T2741"/>
      <c r="U2741"/>
      <c r="V2741"/>
      <c r="W2741"/>
      <c r="X2741"/>
    </row>
    <row r="2742" spans="5:24" x14ac:dyDescent="0.3">
      <c r="E2742" s="173"/>
      <c r="F2742" s="173"/>
      <c r="I2742"/>
      <c r="J2742"/>
      <c r="K2742"/>
      <c r="L2742"/>
      <c r="M2742"/>
      <c r="N2742"/>
      <c r="O2742"/>
      <c r="P2742" s="225"/>
      <c r="Q2742" s="225"/>
      <c r="R2742"/>
      <c r="S2742"/>
      <c r="T2742"/>
      <c r="U2742"/>
      <c r="V2742"/>
      <c r="W2742"/>
      <c r="X2742"/>
    </row>
    <row r="2743" spans="5:24" x14ac:dyDescent="0.3">
      <c r="E2743" s="173"/>
      <c r="F2743" s="173"/>
      <c r="I2743"/>
      <c r="J2743"/>
      <c r="K2743"/>
      <c r="L2743"/>
      <c r="M2743"/>
      <c r="N2743"/>
      <c r="O2743"/>
      <c r="P2743" s="225"/>
      <c r="Q2743" s="225"/>
      <c r="R2743"/>
      <c r="S2743"/>
      <c r="T2743"/>
      <c r="U2743"/>
      <c r="V2743"/>
      <c r="W2743"/>
      <c r="X2743"/>
    </row>
    <row r="2744" spans="5:24" x14ac:dyDescent="0.3">
      <c r="E2744" s="173"/>
      <c r="F2744" s="173"/>
      <c r="I2744"/>
      <c r="J2744"/>
      <c r="K2744"/>
      <c r="L2744"/>
      <c r="M2744"/>
      <c r="N2744"/>
      <c r="O2744"/>
      <c r="P2744" s="225"/>
      <c r="Q2744" s="225"/>
      <c r="R2744"/>
      <c r="S2744"/>
      <c r="T2744"/>
      <c r="U2744"/>
      <c r="V2744"/>
      <c r="W2744"/>
      <c r="X2744"/>
    </row>
    <row r="2745" spans="5:24" x14ac:dyDescent="0.3">
      <c r="E2745" s="173"/>
      <c r="F2745" s="173"/>
      <c r="I2745"/>
      <c r="J2745"/>
      <c r="K2745"/>
      <c r="L2745"/>
      <c r="M2745"/>
      <c r="N2745"/>
      <c r="O2745"/>
      <c r="P2745" s="225"/>
      <c r="Q2745" s="225"/>
      <c r="R2745"/>
      <c r="S2745"/>
      <c r="T2745"/>
      <c r="U2745"/>
      <c r="V2745"/>
      <c r="W2745"/>
      <c r="X2745"/>
    </row>
    <row r="2746" spans="5:24" x14ac:dyDescent="0.3">
      <c r="E2746" s="173"/>
      <c r="F2746" s="173"/>
      <c r="I2746"/>
      <c r="J2746"/>
      <c r="K2746"/>
      <c r="L2746"/>
      <c r="M2746"/>
      <c r="N2746"/>
      <c r="O2746"/>
      <c r="P2746" s="225"/>
      <c r="Q2746" s="225"/>
      <c r="R2746"/>
      <c r="S2746"/>
      <c r="T2746"/>
      <c r="U2746"/>
      <c r="V2746"/>
      <c r="W2746"/>
      <c r="X2746"/>
    </row>
    <row r="2747" spans="5:24" x14ac:dyDescent="0.3">
      <c r="E2747" s="173"/>
      <c r="F2747" s="173"/>
      <c r="I2747"/>
      <c r="J2747"/>
      <c r="K2747"/>
      <c r="L2747"/>
      <c r="M2747"/>
      <c r="N2747"/>
      <c r="O2747"/>
      <c r="P2747" s="225"/>
      <c r="Q2747" s="225"/>
      <c r="R2747"/>
      <c r="S2747"/>
      <c r="T2747"/>
      <c r="U2747"/>
      <c r="V2747"/>
      <c r="W2747"/>
      <c r="X2747"/>
    </row>
    <row r="2748" spans="5:24" x14ac:dyDescent="0.3">
      <c r="E2748" s="173"/>
      <c r="F2748" s="173"/>
      <c r="I2748"/>
      <c r="J2748"/>
      <c r="K2748"/>
      <c r="L2748"/>
      <c r="M2748"/>
      <c r="N2748"/>
      <c r="O2748"/>
      <c r="P2748" s="225"/>
      <c r="Q2748" s="225"/>
      <c r="R2748"/>
      <c r="S2748"/>
      <c r="T2748"/>
      <c r="U2748"/>
      <c r="V2748"/>
      <c r="W2748"/>
      <c r="X2748"/>
    </row>
    <row r="2749" spans="5:24" x14ac:dyDescent="0.3">
      <c r="E2749" s="173"/>
      <c r="F2749" s="173"/>
      <c r="I2749"/>
      <c r="J2749"/>
      <c r="K2749"/>
      <c r="L2749"/>
      <c r="M2749"/>
      <c r="N2749"/>
      <c r="O2749"/>
      <c r="P2749" s="225"/>
      <c r="Q2749" s="225"/>
      <c r="R2749"/>
      <c r="S2749"/>
      <c r="T2749"/>
      <c r="U2749"/>
      <c r="V2749"/>
      <c r="W2749"/>
      <c r="X2749"/>
    </row>
    <row r="2750" spans="5:24" x14ac:dyDescent="0.3">
      <c r="E2750" s="173"/>
      <c r="F2750" s="173"/>
      <c r="I2750"/>
      <c r="J2750"/>
      <c r="K2750"/>
      <c r="L2750"/>
      <c r="M2750"/>
      <c r="N2750"/>
      <c r="O2750"/>
      <c r="P2750" s="225"/>
      <c r="Q2750" s="225"/>
      <c r="R2750"/>
      <c r="S2750"/>
      <c r="T2750"/>
      <c r="U2750"/>
      <c r="V2750"/>
      <c r="W2750"/>
      <c r="X2750"/>
    </row>
    <row r="2751" spans="5:24" x14ac:dyDescent="0.3">
      <c r="E2751" s="173"/>
      <c r="F2751" s="173"/>
      <c r="I2751"/>
      <c r="J2751"/>
      <c r="K2751"/>
      <c r="L2751"/>
      <c r="M2751"/>
      <c r="N2751"/>
      <c r="O2751"/>
      <c r="P2751" s="225"/>
      <c r="Q2751" s="225"/>
      <c r="R2751"/>
      <c r="S2751"/>
      <c r="T2751"/>
      <c r="U2751"/>
      <c r="V2751"/>
      <c r="W2751"/>
      <c r="X2751"/>
    </row>
    <row r="2752" spans="5:24" x14ac:dyDescent="0.3">
      <c r="E2752" s="173"/>
      <c r="F2752" s="173"/>
      <c r="I2752"/>
      <c r="J2752"/>
      <c r="K2752"/>
      <c r="L2752"/>
      <c r="M2752"/>
      <c r="N2752"/>
      <c r="O2752"/>
      <c r="P2752" s="225"/>
      <c r="Q2752" s="225"/>
      <c r="R2752"/>
      <c r="S2752"/>
      <c r="T2752"/>
      <c r="U2752"/>
      <c r="V2752"/>
      <c r="W2752"/>
      <c r="X2752"/>
    </row>
    <row r="2753" spans="5:24" x14ac:dyDescent="0.3">
      <c r="E2753" s="173"/>
      <c r="F2753" s="173"/>
      <c r="I2753"/>
      <c r="J2753"/>
      <c r="K2753"/>
      <c r="L2753"/>
      <c r="M2753"/>
      <c r="N2753"/>
      <c r="O2753"/>
      <c r="P2753" s="225"/>
      <c r="Q2753" s="225"/>
      <c r="R2753"/>
      <c r="S2753"/>
      <c r="T2753"/>
      <c r="U2753"/>
      <c r="V2753"/>
      <c r="W2753"/>
      <c r="X2753"/>
    </row>
    <row r="2754" spans="5:24" x14ac:dyDescent="0.3">
      <c r="E2754" s="173"/>
      <c r="F2754" s="173"/>
      <c r="I2754"/>
      <c r="J2754"/>
      <c r="K2754"/>
      <c r="L2754"/>
      <c r="M2754"/>
      <c r="N2754"/>
      <c r="O2754"/>
      <c r="P2754" s="225"/>
      <c r="Q2754" s="225"/>
      <c r="R2754"/>
      <c r="S2754"/>
      <c r="T2754"/>
      <c r="U2754"/>
      <c r="V2754"/>
      <c r="W2754"/>
      <c r="X2754"/>
    </row>
    <row r="2755" spans="5:24" x14ac:dyDescent="0.3">
      <c r="E2755" s="173"/>
      <c r="F2755" s="173"/>
      <c r="I2755"/>
      <c r="J2755"/>
      <c r="K2755"/>
      <c r="L2755"/>
      <c r="M2755"/>
      <c r="N2755"/>
      <c r="O2755"/>
      <c r="P2755" s="225"/>
      <c r="Q2755" s="225"/>
      <c r="R2755"/>
      <c r="S2755"/>
      <c r="T2755"/>
      <c r="U2755"/>
      <c r="V2755"/>
      <c r="W2755"/>
      <c r="X2755"/>
    </row>
    <row r="2756" spans="5:24" x14ac:dyDescent="0.3">
      <c r="E2756" s="173"/>
      <c r="F2756" s="173"/>
      <c r="I2756"/>
      <c r="J2756"/>
      <c r="K2756"/>
      <c r="L2756"/>
      <c r="M2756"/>
      <c r="N2756"/>
      <c r="O2756"/>
      <c r="P2756" s="225"/>
      <c r="Q2756" s="225"/>
      <c r="R2756"/>
      <c r="S2756"/>
      <c r="T2756"/>
      <c r="U2756"/>
      <c r="V2756"/>
      <c r="W2756"/>
      <c r="X2756"/>
    </row>
    <row r="2757" spans="5:24" x14ac:dyDescent="0.3">
      <c r="E2757" s="173"/>
      <c r="F2757" s="173"/>
      <c r="I2757"/>
      <c r="J2757"/>
      <c r="K2757"/>
      <c r="L2757"/>
      <c r="M2757"/>
      <c r="N2757"/>
      <c r="O2757"/>
      <c r="P2757" s="225"/>
      <c r="Q2757" s="225"/>
      <c r="R2757"/>
      <c r="S2757"/>
      <c r="T2757"/>
      <c r="U2757"/>
      <c r="V2757"/>
      <c r="W2757"/>
      <c r="X2757"/>
    </row>
    <row r="2758" spans="5:24" x14ac:dyDescent="0.3">
      <c r="E2758" s="173"/>
      <c r="F2758" s="173"/>
      <c r="I2758"/>
      <c r="J2758"/>
      <c r="K2758"/>
      <c r="L2758"/>
      <c r="M2758"/>
      <c r="N2758"/>
      <c r="O2758"/>
      <c r="P2758" s="225"/>
      <c r="Q2758" s="225"/>
      <c r="R2758"/>
      <c r="S2758"/>
      <c r="T2758"/>
      <c r="U2758"/>
      <c r="V2758"/>
      <c r="W2758"/>
      <c r="X2758"/>
    </row>
    <row r="2759" spans="5:24" x14ac:dyDescent="0.3">
      <c r="E2759" s="173"/>
      <c r="F2759" s="173"/>
      <c r="I2759"/>
      <c r="J2759"/>
      <c r="K2759"/>
      <c r="L2759"/>
      <c r="M2759"/>
      <c r="N2759"/>
      <c r="O2759"/>
      <c r="P2759" s="225"/>
      <c r="Q2759" s="225"/>
      <c r="R2759"/>
      <c r="S2759"/>
      <c r="T2759"/>
      <c r="U2759"/>
      <c r="V2759"/>
      <c r="W2759"/>
      <c r="X2759"/>
    </row>
    <row r="2760" spans="5:24" x14ac:dyDescent="0.3">
      <c r="E2760" s="173"/>
      <c r="F2760" s="173"/>
      <c r="I2760"/>
      <c r="J2760"/>
      <c r="K2760"/>
      <c r="L2760"/>
      <c r="M2760"/>
      <c r="N2760"/>
      <c r="O2760"/>
      <c r="P2760" s="225"/>
      <c r="Q2760" s="225"/>
      <c r="R2760"/>
      <c r="S2760"/>
      <c r="T2760"/>
      <c r="U2760"/>
      <c r="V2760"/>
      <c r="W2760"/>
      <c r="X2760"/>
    </row>
    <row r="2761" spans="5:24" x14ac:dyDescent="0.3">
      <c r="E2761" s="173"/>
      <c r="F2761" s="173"/>
      <c r="I2761"/>
      <c r="J2761"/>
      <c r="K2761"/>
      <c r="L2761"/>
      <c r="M2761"/>
      <c r="N2761"/>
      <c r="O2761"/>
      <c r="P2761" s="225"/>
      <c r="Q2761" s="225"/>
      <c r="R2761"/>
      <c r="S2761"/>
      <c r="T2761"/>
      <c r="U2761"/>
      <c r="V2761"/>
      <c r="W2761"/>
      <c r="X2761"/>
    </row>
    <row r="2762" spans="5:24" x14ac:dyDescent="0.3">
      <c r="E2762" s="173"/>
      <c r="F2762" s="173"/>
      <c r="I2762"/>
      <c r="J2762"/>
      <c r="K2762"/>
      <c r="L2762"/>
      <c r="M2762"/>
      <c r="N2762"/>
      <c r="O2762"/>
      <c r="P2762" s="225"/>
      <c r="Q2762" s="225"/>
      <c r="R2762"/>
      <c r="S2762"/>
      <c r="T2762"/>
      <c r="U2762"/>
      <c r="V2762"/>
      <c r="W2762"/>
      <c r="X2762"/>
    </row>
    <row r="2763" spans="5:24" x14ac:dyDescent="0.3">
      <c r="E2763" s="173"/>
      <c r="F2763" s="173"/>
      <c r="I2763"/>
      <c r="J2763"/>
      <c r="K2763"/>
      <c r="L2763"/>
      <c r="M2763"/>
      <c r="N2763"/>
      <c r="O2763"/>
      <c r="P2763" s="225"/>
      <c r="Q2763" s="225"/>
      <c r="R2763"/>
      <c r="S2763"/>
      <c r="T2763"/>
      <c r="U2763"/>
      <c r="V2763"/>
      <c r="W2763"/>
      <c r="X2763"/>
    </row>
    <row r="2764" spans="5:24" x14ac:dyDescent="0.3">
      <c r="E2764" s="173"/>
      <c r="F2764" s="173"/>
      <c r="I2764"/>
      <c r="J2764"/>
      <c r="K2764"/>
      <c r="L2764"/>
      <c r="M2764"/>
      <c r="N2764"/>
      <c r="O2764"/>
      <c r="P2764" s="225"/>
      <c r="Q2764" s="225"/>
      <c r="R2764"/>
      <c r="S2764"/>
      <c r="T2764"/>
      <c r="U2764"/>
      <c r="V2764"/>
      <c r="W2764"/>
      <c r="X2764"/>
    </row>
    <row r="2765" spans="5:24" x14ac:dyDescent="0.3">
      <c r="E2765" s="173"/>
      <c r="F2765" s="173"/>
      <c r="I2765"/>
      <c r="J2765"/>
      <c r="K2765"/>
      <c r="L2765"/>
      <c r="M2765"/>
      <c r="N2765"/>
      <c r="O2765"/>
      <c r="P2765" s="225"/>
      <c r="Q2765" s="225"/>
      <c r="R2765"/>
      <c r="S2765"/>
      <c r="T2765"/>
      <c r="U2765"/>
      <c r="V2765"/>
      <c r="W2765"/>
      <c r="X2765"/>
    </row>
    <row r="2766" spans="5:24" x14ac:dyDescent="0.3">
      <c r="E2766" s="173"/>
      <c r="F2766" s="173"/>
      <c r="I2766"/>
      <c r="J2766"/>
      <c r="K2766"/>
      <c r="L2766"/>
      <c r="M2766"/>
      <c r="N2766"/>
      <c r="O2766"/>
      <c r="P2766" s="225"/>
      <c r="Q2766" s="225"/>
      <c r="R2766"/>
      <c r="S2766"/>
      <c r="T2766"/>
      <c r="U2766"/>
      <c r="V2766"/>
      <c r="W2766"/>
      <c r="X2766"/>
    </row>
    <row r="2767" spans="5:24" x14ac:dyDescent="0.3">
      <c r="E2767" s="173"/>
      <c r="F2767" s="173"/>
      <c r="I2767"/>
      <c r="J2767"/>
      <c r="K2767"/>
      <c r="L2767"/>
      <c r="M2767"/>
      <c r="N2767"/>
      <c r="O2767"/>
      <c r="P2767" s="225"/>
      <c r="Q2767" s="225"/>
      <c r="R2767"/>
      <c r="S2767"/>
      <c r="T2767"/>
      <c r="U2767"/>
      <c r="V2767"/>
      <c r="W2767"/>
      <c r="X2767"/>
    </row>
    <row r="2768" spans="5:24" x14ac:dyDescent="0.3">
      <c r="E2768" s="173"/>
      <c r="F2768" s="173"/>
      <c r="I2768"/>
      <c r="J2768"/>
      <c r="K2768"/>
      <c r="L2768"/>
      <c r="M2768"/>
      <c r="N2768"/>
      <c r="O2768"/>
      <c r="P2768" s="225"/>
      <c r="Q2768" s="225"/>
      <c r="R2768"/>
      <c r="S2768"/>
      <c r="T2768"/>
      <c r="U2768"/>
      <c r="V2768"/>
      <c r="W2768"/>
      <c r="X2768"/>
    </row>
    <row r="2769" spans="5:24" x14ac:dyDescent="0.3">
      <c r="E2769" s="173"/>
      <c r="F2769" s="173"/>
      <c r="I2769"/>
      <c r="J2769"/>
      <c r="K2769"/>
      <c r="L2769"/>
      <c r="M2769"/>
      <c r="N2769"/>
      <c r="O2769"/>
      <c r="P2769" s="225"/>
      <c r="Q2769" s="225"/>
      <c r="R2769"/>
      <c r="S2769"/>
      <c r="T2769"/>
      <c r="U2769"/>
      <c r="V2769"/>
      <c r="W2769"/>
      <c r="X2769"/>
    </row>
    <row r="2770" spans="5:24" x14ac:dyDescent="0.3">
      <c r="E2770" s="173"/>
      <c r="F2770" s="173"/>
      <c r="I2770"/>
      <c r="J2770"/>
      <c r="K2770"/>
      <c r="L2770"/>
      <c r="M2770"/>
      <c r="N2770"/>
      <c r="O2770"/>
      <c r="P2770" s="225"/>
      <c r="Q2770" s="225"/>
      <c r="R2770"/>
      <c r="S2770"/>
      <c r="T2770"/>
      <c r="U2770"/>
      <c r="V2770"/>
      <c r="W2770"/>
      <c r="X2770"/>
    </row>
    <row r="2771" spans="5:24" x14ac:dyDescent="0.3">
      <c r="E2771" s="173"/>
      <c r="F2771" s="173"/>
      <c r="I2771"/>
      <c r="J2771"/>
      <c r="K2771"/>
      <c r="L2771"/>
      <c r="M2771"/>
      <c r="N2771"/>
      <c r="O2771"/>
      <c r="P2771" s="225"/>
      <c r="Q2771" s="225"/>
      <c r="R2771"/>
      <c r="S2771"/>
      <c r="T2771"/>
      <c r="U2771"/>
      <c r="V2771"/>
      <c r="W2771"/>
      <c r="X2771"/>
    </row>
    <row r="2772" spans="5:24" x14ac:dyDescent="0.3">
      <c r="E2772" s="173"/>
      <c r="F2772" s="173"/>
      <c r="I2772"/>
      <c r="J2772"/>
      <c r="K2772"/>
      <c r="L2772"/>
      <c r="M2772"/>
      <c r="N2772"/>
      <c r="O2772"/>
      <c r="P2772" s="225"/>
      <c r="Q2772" s="225"/>
      <c r="R2772"/>
      <c r="S2772"/>
      <c r="T2772"/>
      <c r="U2772"/>
      <c r="V2772"/>
      <c r="W2772"/>
      <c r="X2772"/>
    </row>
    <row r="2773" spans="5:24" x14ac:dyDescent="0.3">
      <c r="E2773" s="173"/>
      <c r="F2773" s="173"/>
      <c r="I2773"/>
      <c r="J2773"/>
      <c r="K2773"/>
      <c r="L2773"/>
      <c r="M2773"/>
      <c r="N2773"/>
      <c r="O2773"/>
      <c r="P2773" s="225"/>
      <c r="Q2773" s="225"/>
      <c r="R2773"/>
      <c r="S2773"/>
      <c r="T2773"/>
      <c r="U2773"/>
      <c r="V2773"/>
      <c r="W2773"/>
      <c r="X2773"/>
    </row>
    <row r="2774" spans="5:24" x14ac:dyDescent="0.3">
      <c r="E2774" s="173"/>
      <c r="F2774" s="173"/>
      <c r="I2774"/>
      <c r="J2774"/>
      <c r="K2774"/>
      <c r="L2774"/>
      <c r="M2774"/>
      <c r="N2774"/>
      <c r="O2774"/>
      <c r="P2774" s="225"/>
      <c r="Q2774" s="225"/>
      <c r="R2774"/>
      <c r="S2774"/>
      <c r="T2774"/>
      <c r="U2774"/>
      <c r="V2774"/>
      <c r="W2774"/>
      <c r="X2774"/>
    </row>
    <row r="2775" spans="5:24" x14ac:dyDescent="0.3">
      <c r="E2775" s="173"/>
      <c r="F2775" s="173"/>
      <c r="I2775"/>
      <c r="J2775"/>
      <c r="K2775"/>
      <c r="L2775"/>
      <c r="M2775"/>
      <c r="N2775"/>
      <c r="O2775"/>
      <c r="P2775" s="225"/>
      <c r="Q2775" s="225"/>
      <c r="R2775"/>
      <c r="S2775"/>
      <c r="T2775"/>
      <c r="U2775"/>
      <c r="V2775"/>
      <c r="W2775"/>
      <c r="X2775"/>
    </row>
    <row r="2776" spans="5:24" x14ac:dyDescent="0.3">
      <c r="E2776" s="173"/>
      <c r="F2776" s="173"/>
      <c r="I2776"/>
      <c r="J2776"/>
      <c r="K2776"/>
      <c r="L2776"/>
      <c r="M2776"/>
      <c r="N2776"/>
      <c r="O2776"/>
      <c r="P2776" s="225"/>
      <c r="Q2776" s="225"/>
      <c r="R2776"/>
      <c r="S2776"/>
      <c r="T2776"/>
      <c r="U2776"/>
      <c r="V2776"/>
      <c r="W2776"/>
      <c r="X2776"/>
    </row>
    <row r="2777" spans="5:24" x14ac:dyDescent="0.3">
      <c r="E2777" s="173"/>
      <c r="F2777" s="173"/>
      <c r="I2777"/>
      <c r="J2777"/>
      <c r="K2777"/>
      <c r="L2777"/>
      <c r="M2777"/>
      <c r="N2777"/>
      <c r="O2777"/>
      <c r="P2777" s="225"/>
      <c r="Q2777" s="225"/>
      <c r="R2777"/>
      <c r="S2777"/>
      <c r="T2777"/>
      <c r="U2777"/>
      <c r="V2777"/>
      <c r="W2777"/>
      <c r="X2777"/>
    </row>
    <row r="2778" spans="5:24" x14ac:dyDescent="0.3">
      <c r="E2778" s="173"/>
      <c r="F2778" s="173"/>
      <c r="I2778"/>
      <c r="J2778"/>
      <c r="K2778"/>
      <c r="L2778"/>
      <c r="M2778"/>
      <c r="N2778"/>
      <c r="O2778"/>
      <c r="P2778" s="225"/>
      <c r="Q2778" s="225"/>
      <c r="R2778"/>
      <c r="S2778"/>
      <c r="T2778"/>
      <c r="U2778"/>
      <c r="V2778"/>
      <c r="W2778"/>
      <c r="X2778"/>
    </row>
    <row r="2779" spans="5:24" x14ac:dyDescent="0.3">
      <c r="E2779" s="173"/>
      <c r="F2779" s="173"/>
      <c r="I2779"/>
      <c r="J2779"/>
      <c r="K2779"/>
      <c r="L2779"/>
      <c r="M2779"/>
      <c r="N2779"/>
      <c r="O2779"/>
      <c r="P2779" s="225"/>
      <c r="Q2779" s="225"/>
      <c r="R2779"/>
      <c r="S2779"/>
      <c r="T2779"/>
      <c r="U2779"/>
      <c r="V2779"/>
      <c r="W2779"/>
      <c r="X2779"/>
    </row>
    <row r="2780" spans="5:24" x14ac:dyDescent="0.3">
      <c r="E2780" s="173"/>
      <c r="F2780" s="173"/>
      <c r="I2780"/>
      <c r="J2780"/>
      <c r="K2780"/>
      <c r="L2780"/>
      <c r="M2780"/>
      <c r="N2780"/>
      <c r="O2780"/>
      <c r="P2780" s="225"/>
      <c r="Q2780" s="225"/>
      <c r="R2780"/>
      <c r="S2780"/>
      <c r="T2780"/>
      <c r="U2780"/>
      <c r="V2780"/>
      <c r="W2780"/>
      <c r="X2780"/>
    </row>
    <row r="2781" spans="5:24" x14ac:dyDescent="0.3">
      <c r="E2781" s="173"/>
      <c r="F2781" s="173"/>
      <c r="I2781"/>
      <c r="J2781"/>
      <c r="K2781"/>
      <c r="L2781"/>
      <c r="M2781"/>
      <c r="N2781"/>
      <c r="O2781"/>
      <c r="P2781" s="225"/>
      <c r="Q2781" s="225"/>
      <c r="R2781"/>
      <c r="S2781"/>
      <c r="T2781"/>
      <c r="U2781"/>
      <c r="V2781"/>
      <c r="W2781"/>
      <c r="X2781"/>
    </row>
    <row r="2782" spans="5:24" x14ac:dyDescent="0.3">
      <c r="E2782" s="173"/>
      <c r="F2782" s="173"/>
      <c r="I2782"/>
      <c r="J2782"/>
      <c r="K2782"/>
      <c r="L2782"/>
      <c r="M2782"/>
      <c r="N2782"/>
      <c r="O2782"/>
      <c r="P2782" s="225"/>
      <c r="Q2782" s="225"/>
      <c r="R2782"/>
      <c r="S2782"/>
      <c r="T2782"/>
      <c r="U2782"/>
      <c r="V2782"/>
      <c r="W2782"/>
      <c r="X2782"/>
    </row>
    <row r="2783" spans="5:24" x14ac:dyDescent="0.3">
      <c r="E2783" s="173"/>
      <c r="F2783" s="173"/>
      <c r="I2783"/>
      <c r="J2783"/>
      <c r="K2783"/>
      <c r="L2783"/>
      <c r="M2783"/>
      <c r="N2783"/>
      <c r="O2783"/>
      <c r="P2783" s="225"/>
      <c r="Q2783" s="225"/>
      <c r="R2783"/>
      <c r="S2783"/>
      <c r="T2783"/>
      <c r="U2783"/>
      <c r="V2783"/>
      <c r="W2783"/>
      <c r="X2783"/>
    </row>
    <row r="2784" spans="5:24" x14ac:dyDescent="0.3">
      <c r="E2784" s="173"/>
      <c r="F2784" s="173"/>
      <c r="I2784"/>
      <c r="J2784"/>
      <c r="K2784"/>
      <c r="L2784"/>
      <c r="M2784"/>
      <c r="N2784"/>
      <c r="O2784"/>
      <c r="P2784" s="225"/>
      <c r="Q2784" s="225"/>
      <c r="R2784"/>
      <c r="S2784"/>
      <c r="T2784"/>
      <c r="U2784"/>
      <c r="V2784"/>
      <c r="W2784"/>
      <c r="X2784"/>
    </row>
    <row r="2785" spans="5:24" x14ac:dyDescent="0.3">
      <c r="E2785" s="173"/>
      <c r="F2785" s="173"/>
      <c r="I2785"/>
      <c r="J2785"/>
      <c r="K2785"/>
      <c r="L2785"/>
      <c r="M2785"/>
      <c r="N2785"/>
      <c r="O2785"/>
      <c r="P2785" s="225"/>
      <c r="Q2785" s="225"/>
      <c r="R2785"/>
      <c r="S2785"/>
      <c r="T2785"/>
      <c r="U2785"/>
      <c r="V2785"/>
      <c r="W2785"/>
      <c r="X2785"/>
    </row>
    <row r="2786" spans="5:24" x14ac:dyDescent="0.3">
      <c r="E2786" s="173"/>
      <c r="F2786" s="173"/>
      <c r="I2786"/>
      <c r="J2786"/>
      <c r="K2786"/>
      <c r="L2786"/>
      <c r="M2786"/>
      <c r="N2786"/>
      <c r="O2786"/>
      <c r="P2786" s="225"/>
      <c r="Q2786" s="225"/>
      <c r="R2786"/>
      <c r="S2786"/>
      <c r="T2786"/>
      <c r="U2786"/>
      <c r="V2786"/>
      <c r="W2786"/>
      <c r="X2786"/>
    </row>
    <row r="2787" spans="5:24" x14ac:dyDescent="0.3">
      <c r="E2787" s="173"/>
      <c r="F2787" s="173"/>
      <c r="I2787"/>
      <c r="J2787"/>
      <c r="K2787"/>
      <c r="L2787"/>
      <c r="M2787"/>
      <c r="N2787"/>
      <c r="O2787"/>
      <c r="P2787" s="225"/>
      <c r="Q2787" s="225"/>
      <c r="R2787"/>
      <c r="S2787"/>
      <c r="T2787"/>
      <c r="U2787"/>
      <c r="V2787"/>
      <c r="W2787"/>
      <c r="X2787"/>
    </row>
    <row r="2788" spans="5:24" x14ac:dyDescent="0.3">
      <c r="E2788" s="173"/>
      <c r="F2788" s="173"/>
      <c r="I2788"/>
      <c r="J2788"/>
      <c r="K2788"/>
      <c r="L2788"/>
      <c r="M2788"/>
      <c r="N2788"/>
      <c r="O2788"/>
      <c r="P2788" s="225"/>
      <c r="Q2788" s="225"/>
      <c r="R2788"/>
      <c r="S2788"/>
      <c r="T2788"/>
      <c r="U2788"/>
      <c r="V2788"/>
      <c r="W2788"/>
      <c r="X2788"/>
    </row>
    <row r="2789" spans="5:24" x14ac:dyDescent="0.3">
      <c r="E2789" s="173"/>
      <c r="F2789" s="173"/>
      <c r="I2789"/>
      <c r="J2789"/>
      <c r="K2789"/>
      <c r="L2789"/>
      <c r="M2789"/>
      <c r="N2789"/>
      <c r="O2789"/>
      <c r="P2789" s="225"/>
      <c r="Q2789" s="225"/>
      <c r="R2789"/>
      <c r="S2789"/>
      <c r="T2789"/>
      <c r="U2789"/>
      <c r="V2789"/>
      <c r="W2789"/>
      <c r="X2789"/>
    </row>
    <row r="2790" spans="5:24" x14ac:dyDescent="0.3">
      <c r="E2790" s="173"/>
      <c r="F2790" s="173"/>
      <c r="I2790"/>
      <c r="J2790"/>
      <c r="K2790"/>
      <c r="L2790"/>
      <c r="M2790"/>
      <c r="N2790"/>
      <c r="O2790"/>
      <c r="P2790" s="225"/>
      <c r="Q2790" s="225"/>
      <c r="R2790"/>
      <c r="S2790"/>
      <c r="T2790"/>
      <c r="U2790"/>
      <c r="V2790"/>
      <c r="W2790"/>
      <c r="X2790"/>
    </row>
    <row r="2791" spans="5:24" x14ac:dyDescent="0.3">
      <c r="E2791" s="173"/>
      <c r="F2791" s="173"/>
      <c r="I2791"/>
      <c r="J2791"/>
      <c r="K2791"/>
      <c r="L2791"/>
      <c r="M2791"/>
      <c r="N2791"/>
      <c r="O2791"/>
      <c r="P2791" s="225"/>
      <c r="Q2791" s="225"/>
      <c r="R2791"/>
      <c r="S2791"/>
      <c r="T2791"/>
      <c r="U2791"/>
      <c r="V2791"/>
      <c r="W2791"/>
      <c r="X2791"/>
    </row>
    <row r="2792" spans="5:24" x14ac:dyDescent="0.3">
      <c r="E2792" s="173"/>
      <c r="F2792" s="173"/>
      <c r="I2792"/>
      <c r="J2792"/>
      <c r="K2792"/>
      <c r="L2792"/>
      <c r="M2792"/>
      <c r="N2792"/>
      <c r="O2792"/>
      <c r="P2792" s="225"/>
      <c r="Q2792" s="225"/>
      <c r="R2792"/>
      <c r="S2792"/>
      <c r="T2792"/>
      <c r="U2792"/>
      <c r="V2792"/>
      <c r="W2792"/>
      <c r="X2792"/>
    </row>
    <row r="2793" spans="5:24" x14ac:dyDescent="0.3">
      <c r="E2793" s="173"/>
      <c r="F2793" s="173"/>
      <c r="I2793"/>
      <c r="J2793"/>
      <c r="K2793"/>
      <c r="L2793"/>
      <c r="M2793"/>
      <c r="N2793"/>
      <c r="O2793"/>
      <c r="P2793" s="225"/>
      <c r="Q2793" s="225"/>
      <c r="R2793"/>
      <c r="S2793"/>
      <c r="T2793"/>
      <c r="U2793"/>
      <c r="V2793"/>
      <c r="W2793"/>
      <c r="X2793"/>
    </row>
    <row r="2794" spans="5:24" x14ac:dyDescent="0.3">
      <c r="E2794" s="173"/>
      <c r="F2794" s="173"/>
      <c r="I2794"/>
      <c r="J2794"/>
      <c r="K2794"/>
      <c r="L2794"/>
      <c r="M2794"/>
      <c r="N2794"/>
      <c r="O2794"/>
      <c r="P2794" s="225"/>
      <c r="Q2794" s="225"/>
      <c r="R2794"/>
      <c r="S2794"/>
      <c r="T2794"/>
      <c r="U2794"/>
      <c r="V2794"/>
      <c r="W2794"/>
      <c r="X2794"/>
    </row>
    <row r="2795" spans="5:24" x14ac:dyDescent="0.3">
      <c r="E2795" s="173"/>
      <c r="F2795" s="173"/>
      <c r="I2795"/>
      <c r="J2795"/>
      <c r="K2795"/>
      <c r="L2795"/>
      <c r="M2795"/>
      <c r="N2795"/>
      <c r="O2795"/>
      <c r="P2795" s="225"/>
      <c r="Q2795" s="225"/>
      <c r="R2795"/>
      <c r="S2795"/>
      <c r="T2795"/>
      <c r="U2795"/>
      <c r="V2795"/>
      <c r="W2795"/>
      <c r="X2795"/>
    </row>
    <row r="2796" spans="5:24" x14ac:dyDescent="0.3">
      <c r="E2796" s="173"/>
      <c r="F2796" s="173"/>
      <c r="I2796"/>
      <c r="J2796"/>
      <c r="K2796"/>
      <c r="L2796"/>
      <c r="M2796"/>
      <c r="N2796"/>
      <c r="O2796"/>
      <c r="P2796" s="225"/>
      <c r="Q2796" s="225"/>
      <c r="R2796"/>
      <c r="S2796"/>
      <c r="T2796"/>
      <c r="U2796"/>
      <c r="V2796"/>
      <c r="W2796"/>
      <c r="X2796"/>
    </row>
    <row r="2797" spans="5:24" x14ac:dyDescent="0.3">
      <c r="E2797" s="173"/>
      <c r="F2797" s="173"/>
      <c r="I2797"/>
      <c r="J2797"/>
      <c r="K2797"/>
      <c r="L2797"/>
      <c r="M2797"/>
      <c r="N2797"/>
      <c r="O2797"/>
      <c r="P2797" s="225"/>
      <c r="Q2797" s="225"/>
      <c r="R2797"/>
      <c r="S2797"/>
      <c r="T2797"/>
      <c r="U2797"/>
      <c r="V2797"/>
      <c r="W2797"/>
      <c r="X2797"/>
    </row>
    <row r="2798" spans="5:24" x14ac:dyDescent="0.3">
      <c r="E2798" s="173"/>
      <c r="F2798" s="173"/>
      <c r="I2798"/>
      <c r="J2798"/>
      <c r="K2798"/>
      <c r="L2798"/>
      <c r="M2798"/>
      <c r="N2798"/>
      <c r="O2798"/>
      <c r="P2798" s="225"/>
      <c r="Q2798" s="225"/>
      <c r="R2798"/>
      <c r="S2798"/>
      <c r="T2798"/>
      <c r="U2798"/>
      <c r="V2798"/>
      <c r="W2798"/>
      <c r="X2798"/>
    </row>
    <row r="2799" spans="5:24" x14ac:dyDescent="0.3">
      <c r="E2799" s="173"/>
      <c r="F2799" s="173"/>
      <c r="I2799"/>
      <c r="J2799"/>
      <c r="K2799"/>
      <c r="L2799"/>
      <c r="M2799"/>
      <c r="N2799"/>
      <c r="O2799"/>
      <c r="P2799" s="225"/>
      <c r="Q2799" s="225"/>
      <c r="R2799"/>
      <c r="S2799"/>
      <c r="T2799"/>
      <c r="U2799"/>
      <c r="V2799"/>
      <c r="W2799"/>
      <c r="X2799"/>
    </row>
    <row r="2800" spans="5:24" x14ac:dyDescent="0.3">
      <c r="E2800" s="173"/>
      <c r="F2800" s="173"/>
      <c r="I2800"/>
      <c r="J2800"/>
      <c r="K2800"/>
      <c r="L2800"/>
      <c r="M2800"/>
      <c r="N2800"/>
      <c r="O2800"/>
      <c r="P2800" s="225"/>
      <c r="Q2800" s="225"/>
      <c r="R2800"/>
      <c r="S2800"/>
      <c r="T2800"/>
      <c r="U2800"/>
      <c r="V2800"/>
      <c r="W2800"/>
      <c r="X2800"/>
    </row>
    <row r="2801" spans="5:24" x14ac:dyDescent="0.3">
      <c r="E2801" s="173"/>
      <c r="F2801" s="173"/>
      <c r="I2801"/>
      <c r="J2801"/>
      <c r="K2801"/>
      <c r="L2801"/>
      <c r="M2801"/>
      <c r="N2801"/>
      <c r="O2801"/>
      <c r="P2801" s="225"/>
      <c r="Q2801" s="225"/>
      <c r="R2801"/>
      <c r="S2801"/>
      <c r="T2801"/>
      <c r="U2801"/>
      <c r="V2801"/>
      <c r="W2801"/>
      <c r="X2801"/>
    </row>
    <row r="2802" spans="5:24" x14ac:dyDescent="0.3">
      <c r="E2802" s="173"/>
      <c r="F2802" s="173"/>
      <c r="I2802"/>
      <c r="J2802"/>
      <c r="K2802"/>
      <c r="L2802"/>
      <c r="M2802"/>
      <c r="N2802"/>
      <c r="O2802"/>
      <c r="P2802" s="225"/>
      <c r="Q2802" s="225"/>
      <c r="R2802"/>
      <c r="S2802"/>
      <c r="T2802"/>
      <c r="U2802"/>
      <c r="V2802"/>
      <c r="W2802"/>
      <c r="X2802"/>
    </row>
    <row r="2803" spans="5:24" x14ac:dyDescent="0.3">
      <c r="E2803" s="173"/>
      <c r="F2803" s="173"/>
      <c r="I2803"/>
      <c r="J2803"/>
      <c r="K2803"/>
      <c r="L2803"/>
      <c r="M2803"/>
      <c r="N2803"/>
      <c r="O2803"/>
      <c r="P2803" s="225"/>
      <c r="Q2803" s="225"/>
      <c r="R2803"/>
      <c r="S2803"/>
      <c r="T2803"/>
      <c r="U2803"/>
      <c r="V2803"/>
      <c r="W2803"/>
      <c r="X2803"/>
    </row>
    <row r="2804" spans="5:24" x14ac:dyDescent="0.3">
      <c r="E2804" s="173"/>
      <c r="F2804" s="173"/>
      <c r="I2804"/>
      <c r="J2804"/>
      <c r="K2804"/>
      <c r="L2804"/>
      <c r="M2804"/>
      <c r="N2804"/>
      <c r="O2804"/>
      <c r="P2804" s="225"/>
      <c r="Q2804" s="225"/>
      <c r="R2804"/>
      <c r="S2804"/>
      <c r="T2804"/>
      <c r="U2804"/>
      <c r="V2804"/>
      <c r="W2804"/>
      <c r="X2804"/>
    </row>
    <row r="2805" spans="5:24" x14ac:dyDescent="0.3">
      <c r="E2805" s="173"/>
      <c r="F2805" s="173"/>
      <c r="I2805"/>
      <c r="J2805"/>
      <c r="K2805"/>
      <c r="L2805"/>
      <c r="M2805"/>
      <c r="N2805"/>
      <c r="O2805"/>
      <c r="P2805" s="225"/>
      <c r="Q2805" s="225"/>
      <c r="R2805"/>
      <c r="S2805"/>
      <c r="T2805"/>
      <c r="U2805"/>
      <c r="V2805"/>
      <c r="W2805"/>
      <c r="X2805"/>
    </row>
    <row r="2806" spans="5:24" x14ac:dyDescent="0.3">
      <c r="E2806" s="173"/>
      <c r="F2806" s="173"/>
      <c r="I2806"/>
      <c r="J2806"/>
      <c r="K2806"/>
      <c r="L2806"/>
      <c r="M2806"/>
      <c r="N2806"/>
      <c r="O2806"/>
      <c r="P2806" s="225"/>
      <c r="Q2806" s="225"/>
      <c r="R2806"/>
      <c r="S2806"/>
      <c r="T2806"/>
      <c r="U2806"/>
      <c r="V2806"/>
      <c r="W2806"/>
      <c r="X2806"/>
    </row>
    <row r="2807" spans="5:24" x14ac:dyDescent="0.3">
      <c r="E2807" s="173"/>
      <c r="F2807" s="173"/>
      <c r="I2807"/>
      <c r="J2807"/>
      <c r="K2807"/>
      <c r="L2807"/>
      <c r="M2807"/>
      <c r="N2807"/>
      <c r="O2807"/>
      <c r="P2807" s="225"/>
      <c r="Q2807" s="225"/>
      <c r="R2807"/>
      <c r="S2807"/>
      <c r="T2807"/>
      <c r="U2807"/>
      <c r="V2807"/>
      <c r="W2807"/>
      <c r="X2807"/>
    </row>
    <row r="2808" spans="5:24" x14ac:dyDescent="0.3">
      <c r="E2808" s="173"/>
      <c r="F2808" s="173"/>
      <c r="I2808"/>
      <c r="J2808"/>
      <c r="K2808"/>
      <c r="L2808"/>
      <c r="M2808"/>
      <c r="N2808"/>
      <c r="O2808"/>
      <c r="P2808" s="225"/>
      <c r="Q2808" s="225"/>
      <c r="R2808"/>
      <c r="S2808"/>
      <c r="T2808"/>
      <c r="U2808"/>
      <c r="V2808"/>
      <c r="W2808"/>
      <c r="X2808"/>
    </row>
    <row r="2809" spans="5:24" x14ac:dyDescent="0.3">
      <c r="E2809" s="173"/>
      <c r="F2809" s="173"/>
      <c r="I2809"/>
      <c r="J2809"/>
      <c r="K2809"/>
      <c r="L2809"/>
      <c r="M2809"/>
      <c r="N2809"/>
      <c r="O2809"/>
      <c r="P2809" s="225"/>
      <c r="Q2809" s="225"/>
      <c r="R2809"/>
      <c r="S2809"/>
      <c r="T2809"/>
      <c r="U2809"/>
      <c r="V2809"/>
      <c r="W2809"/>
      <c r="X2809"/>
    </row>
    <row r="2810" spans="5:24" x14ac:dyDescent="0.3">
      <c r="E2810" s="173"/>
      <c r="F2810" s="173"/>
      <c r="I2810"/>
      <c r="J2810"/>
      <c r="K2810"/>
      <c r="L2810"/>
      <c r="M2810"/>
      <c r="N2810"/>
      <c r="O2810"/>
      <c r="P2810" s="225"/>
      <c r="Q2810" s="225"/>
      <c r="R2810"/>
      <c r="S2810"/>
      <c r="T2810"/>
      <c r="U2810"/>
      <c r="V2810"/>
      <c r="W2810"/>
      <c r="X2810"/>
    </row>
    <row r="2811" spans="5:24" x14ac:dyDescent="0.3">
      <c r="E2811" s="173"/>
      <c r="F2811" s="173"/>
      <c r="I2811"/>
      <c r="J2811"/>
      <c r="K2811"/>
      <c r="L2811"/>
      <c r="M2811"/>
      <c r="N2811"/>
      <c r="O2811"/>
      <c r="P2811" s="225"/>
      <c r="Q2811" s="225"/>
      <c r="R2811"/>
      <c r="S2811"/>
      <c r="T2811"/>
      <c r="U2811"/>
      <c r="V2811"/>
      <c r="W2811"/>
      <c r="X2811"/>
    </row>
    <row r="2812" spans="5:24" x14ac:dyDescent="0.3">
      <c r="E2812" s="173"/>
      <c r="F2812" s="173"/>
      <c r="I2812"/>
      <c r="J2812"/>
      <c r="K2812"/>
      <c r="L2812"/>
      <c r="M2812"/>
      <c r="N2812"/>
      <c r="O2812"/>
      <c r="P2812" s="225"/>
      <c r="Q2812" s="225"/>
      <c r="R2812"/>
      <c r="S2812"/>
      <c r="T2812"/>
      <c r="U2812"/>
      <c r="V2812"/>
      <c r="W2812"/>
      <c r="X2812"/>
    </row>
    <row r="2813" spans="5:24" x14ac:dyDescent="0.3">
      <c r="E2813" s="173"/>
      <c r="F2813" s="173"/>
      <c r="I2813"/>
      <c r="J2813"/>
      <c r="K2813"/>
      <c r="L2813"/>
      <c r="M2813"/>
      <c r="N2813"/>
      <c r="O2813"/>
      <c r="P2813" s="225"/>
      <c r="Q2813" s="225"/>
      <c r="R2813"/>
      <c r="S2813"/>
      <c r="T2813"/>
      <c r="U2813"/>
      <c r="V2813"/>
      <c r="W2813"/>
      <c r="X2813"/>
    </row>
    <row r="2814" spans="5:24" x14ac:dyDescent="0.3">
      <c r="E2814" s="173"/>
      <c r="F2814" s="173"/>
      <c r="I2814"/>
      <c r="J2814"/>
      <c r="K2814"/>
      <c r="L2814"/>
      <c r="M2814"/>
      <c r="N2814"/>
      <c r="O2814"/>
      <c r="P2814" s="225"/>
      <c r="Q2814" s="225"/>
      <c r="R2814"/>
      <c r="S2814"/>
      <c r="T2814"/>
      <c r="U2814"/>
      <c r="V2814"/>
      <c r="W2814"/>
      <c r="X2814"/>
    </row>
    <row r="2815" spans="5:24" x14ac:dyDescent="0.3">
      <c r="E2815" s="173"/>
      <c r="F2815" s="173"/>
      <c r="I2815"/>
      <c r="J2815"/>
      <c r="K2815"/>
      <c r="L2815"/>
      <c r="M2815"/>
      <c r="N2815"/>
      <c r="O2815"/>
      <c r="P2815" s="225"/>
      <c r="Q2815" s="225"/>
      <c r="R2815"/>
      <c r="S2815"/>
      <c r="T2815"/>
      <c r="U2815"/>
      <c r="V2815"/>
      <c r="W2815"/>
      <c r="X2815"/>
    </row>
    <row r="2816" spans="5:24" x14ac:dyDescent="0.3">
      <c r="E2816" s="173"/>
      <c r="F2816" s="173"/>
      <c r="I2816"/>
      <c r="J2816"/>
      <c r="K2816"/>
      <c r="L2816"/>
      <c r="M2816"/>
      <c r="N2816"/>
      <c r="O2816"/>
      <c r="P2816" s="225"/>
      <c r="Q2816" s="225"/>
      <c r="R2816"/>
      <c r="S2816"/>
      <c r="T2816"/>
      <c r="U2816"/>
      <c r="V2816"/>
      <c r="W2816"/>
      <c r="X2816"/>
    </row>
    <row r="2817" spans="5:24" x14ac:dyDescent="0.3">
      <c r="E2817" s="173"/>
      <c r="F2817" s="173"/>
      <c r="I2817"/>
      <c r="J2817"/>
      <c r="K2817"/>
      <c r="L2817"/>
      <c r="M2817"/>
      <c r="N2817"/>
      <c r="O2817"/>
      <c r="P2817" s="225"/>
      <c r="Q2817" s="225"/>
      <c r="R2817"/>
      <c r="S2817"/>
      <c r="T2817"/>
      <c r="U2817"/>
      <c r="V2817"/>
      <c r="W2817"/>
      <c r="X2817"/>
    </row>
    <row r="2818" spans="5:24" x14ac:dyDescent="0.3">
      <c r="E2818" s="173"/>
      <c r="F2818" s="173"/>
      <c r="I2818"/>
      <c r="J2818"/>
      <c r="K2818"/>
      <c r="L2818"/>
      <c r="M2818"/>
      <c r="N2818"/>
      <c r="O2818"/>
      <c r="P2818" s="225"/>
      <c r="Q2818" s="225"/>
      <c r="R2818"/>
      <c r="S2818"/>
      <c r="T2818"/>
      <c r="U2818"/>
      <c r="V2818"/>
      <c r="W2818"/>
      <c r="X2818"/>
    </row>
    <row r="2819" spans="5:24" x14ac:dyDescent="0.3">
      <c r="E2819" s="173"/>
      <c r="F2819" s="173"/>
      <c r="I2819"/>
      <c r="J2819"/>
      <c r="K2819"/>
      <c r="L2819"/>
      <c r="M2819"/>
      <c r="N2819"/>
      <c r="O2819"/>
      <c r="P2819" s="225"/>
      <c r="Q2819" s="225"/>
      <c r="R2819"/>
      <c r="S2819"/>
      <c r="T2819"/>
      <c r="U2819"/>
      <c r="V2819"/>
      <c r="W2819"/>
      <c r="X2819"/>
    </row>
    <row r="2820" spans="5:24" x14ac:dyDescent="0.3">
      <c r="E2820" s="173"/>
      <c r="F2820" s="173"/>
      <c r="I2820"/>
      <c r="J2820"/>
      <c r="K2820"/>
      <c r="L2820"/>
      <c r="M2820"/>
      <c r="N2820"/>
      <c r="O2820"/>
      <c r="P2820" s="225"/>
      <c r="Q2820" s="225"/>
      <c r="R2820"/>
      <c r="S2820"/>
      <c r="T2820"/>
      <c r="U2820"/>
      <c r="V2820"/>
      <c r="W2820"/>
      <c r="X2820"/>
    </row>
    <row r="2821" spans="5:24" x14ac:dyDescent="0.3">
      <c r="E2821" s="173"/>
      <c r="F2821" s="173"/>
      <c r="I2821"/>
      <c r="J2821"/>
      <c r="K2821"/>
      <c r="L2821"/>
      <c r="M2821"/>
      <c r="N2821"/>
      <c r="O2821"/>
      <c r="P2821" s="225"/>
      <c r="Q2821" s="225"/>
      <c r="R2821"/>
      <c r="S2821"/>
      <c r="T2821"/>
      <c r="U2821"/>
      <c r="V2821"/>
      <c r="W2821"/>
      <c r="X2821"/>
    </row>
    <row r="2822" spans="5:24" x14ac:dyDescent="0.3">
      <c r="E2822" s="173"/>
      <c r="F2822" s="173"/>
      <c r="I2822"/>
      <c r="J2822"/>
      <c r="K2822"/>
      <c r="L2822"/>
      <c r="M2822"/>
      <c r="N2822"/>
      <c r="O2822"/>
      <c r="P2822" s="225"/>
      <c r="Q2822" s="225"/>
      <c r="R2822"/>
      <c r="S2822"/>
      <c r="T2822"/>
      <c r="U2822"/>
      <c r="V2822"/>
      <c r="W2822"/>
      <c r="X2822"/>
    </row>
    <row r="2823" spans="5:24" x14ac:dyDescent="0.3">
      <c r="E2823" s="173"/>
      <c r="F2823" s="173"/>
      <c r="I2823"/>
      <c r="J2823"/>
      <c r="K2823"/>
      <c r="L2823"/>
      <c r="M2823"/>
      <c r="N2823"/>
      <c r="O2823"/>
      <c r="P2823" s="225"/>
      <c r="Q2823" s="225"/>
      <c r="R2823"/>
      <c r="S2823"/>
      <c r="T2823"/>
      <c r="U2823"/>
      <c r="V2823"/>
      <c r="W2823"/>
      <c r="X2823"/>
    </row>
    <row r="2824" spans="5:24" x14ac:dyDescent="0.3">
      <c r="E2824" s="173"/>
      <c r="F2824" s="173"/>
      <c r="I2824"/>
      <c r="J2824"/>
      <c r="K2824"/>
      <c r="L2824"/>
      <c r="M2824"/>
      <c r="N2824"/>
      <c r="O2824"/>
      <c r="P2824" s="225"/>
      <c r="Q2824" s="225"/>
      <c r="R2824"/>
      <c r="S2824"/>
      <c r="T2824"/>
      <c r="U2824"/>
      <c r="V2824"/>
      <c r="W2824"/>
      <c r="X2824"/>
    </row>
    <row r="2825" spans="5:24" x14ac:dyDescent="0.3">
      <c r="E2825" s="173"/>
      <c r="F2825" s="173"/>
      <c r="I2825"/>
      <c r="J2825"/>
      <c r="K2825"/>
      <c r="L2825"/>
      <c r="M2825"/>
      <c r="N2825"/>
      <c r="O2825"/>
      <c r="P2825" s="225"/>
      <c r="Q2825" s="225"/>
      <c r="R2825"/>
      <c r="S2825"/>
      <c r="T2825"/>
      <c r="U2825"/>
      <c r="V2825"/>
      <c r="W2825"/>
      <c r="X2825"/>
    </row>
    <row r="2826" spans="5:24" x14ac:dyDescent="0.3">
      <c r="E2826" s="173"/>
      <c r="F2826" s="173"/>
      <c r="I2826"/>
      <c r="J2826"/>
      <c r="K2826"/>
      <c r="L2826"/>
      <c r="M2826"/>
      <c r="N2826"/>
      <c r="O2826"/>
      <c r="P2826" s="225"/>
      <c r="Q2826" s="225"/>
      <c r="R2826"/>
      <c r="S2826"/>
      <c r="T2826"/>
      <c r="U2826"/>
      <c r="V2826"/>
      <c r="W2826"/>
      <c r="X2826"/>
    </row>
    <row r="2827" spans="5:24" x14ac:dyDescent="0.3">
      <c r="E2827" s="173"/>
      <c r="F2827" s="173"/>
      <c r="I2827"/>
      <c r="J2827"/>
      <c r="K2827"/>
      <c r="L2827"/>
      <c r="M2827"/>
      <c r="N2827"/>
      <c r="O2827"/>
      <c r="P2827" s="225"/>
      <c r="Q2827" s="225"/>
      <c r="R2827"/>
      <c r="S2827"/>
      <c r="T2827"/>
      <c r="U2827"/>
      <c r="V2827"/>
      <c r="W2827"/>
      <c r="X2827"/>
    </row>
    <row r="2828" spans="5:24" x14ac:dyDescent="0.3">
      <c r="E2828" s="173"/>
      <c r="F2828" s="173"/>
      <c r="I2828"/>
      <c r="J2828"/>
      <c r="K2828"/>
      <c r="L2828"/>
      <c r="M2828"/>
      <c r="N2828"/>
      <c r="O2828"/>
      <c r="P2828" s="225"/>
      <c r="Q2828" s="225"/>
      <c r="R2828"/>
      <c r="S2828"/>
      <c r="T2828"/>
      <c r="U2828"/>
      <c r="V2828"/>
      <c r="W2828"/>
      <c r="X2828"/>
    </row>
    <row r="2829" spans="5:24" x14ac:dyDescent="0.3">
      <c r="E2829" s="173"/>
      <c r="F2829" s="173"/>
      <c r="I2829"/>
      <c r="J2829"/>
      <c r="K2829"/>
      <c r="L2829"/>
      <c r="M2829"/>
      <c r="N2829"/>
      <c r="O2829"/>
      <c r="P2829" s="225"/>
      <c r="Q2829" s="225"/>
      <c r="R2829"/>
      <c r="S2829"/>
      <c r="T2829"/>
      <c r="U2829"/>
      <c r="V2829"/>
      <c r="W2829"/>
      <c r="X2829"/>
    </row>
    <row r="2830" spans="5:24" x14ac:dyDescent="0.3">
      <c r="E2830" s="173"/>
      <c r="F2830" s="173"/>
      <c r="I2830"/>
      <c r="J2830"/>
      <c r="K2830"/>
      <c r="L2830"/>
      <c r="M2830"/>
      <c r="N2830"/>
      <c r="O2830"/>
      <c r="P2830" s="225"/>
      <c r="Q2830" s="225"/>
      <c r="R2830"/>
      <c r="S2830"/>
      <c r="T2830"/>
      <c r="U2830"/>
      <c r="V2830"/>
      <c r="W2830"/>
      <c r="X2830"/>
    </row>
    <row r="2831" spans="5:24" x14ac:dyDescent="0.3">
      <c r="E2831" s="173"/>
      <c r="F2831" s="173"/>
      <c r="I2831"/>
      <c r="J2831"/>
      <c r="K2831"/>
      <c r="L2831"/>
      <c r="M2831"/>
      <c r="N2831"/>
      <c r="O2831"/>
      <c r="P2831" s="225"/>
      <c r="Q2831" s="225"/>
      <c r="R2831"/>
      <c r="S2831"/>
      <c r="T2831"/>
      <c r="U2831"/>
      <c r="V2831"/>
      <c r="W2831"/>
      <c r="X2831"/>
    </row>
    <row r="2832" spans="5:24" x14ac:dyDescent="0.3">
      <c r="E2832" s="173"/>
      <c r="F2832" s="173"/>
      <c r="I2832"/>
      <c r="J2832"/>
      <c r="K2832"/>
      <c r="L2832"/>
      <c r="M2832"/>
      <c r="N2832"/>
      <c r="O2832"/>
      <c r="P2832" s="225"/>
      <c r="Q2832" s="225"/>
      <c r="R2832"/>
      <c r="S2832"/>
      <c r="T2832"/>
      <c r="U2832"/>
      <c r="V2832"/>
      <c r="W2832"/>
      <c r="X2832"/>
    </row>
    <row r="2833" spans="5:24" x14ac:dyDescent="0.3">
      <c r="E2833" s="173"/>
      <c r="F2833" s="173"/>
      <c r="I2833"/>
      <c r="J2833"/>
      <c r="K2833"/>
      <c r="L2833"/>
      <c r="M2833"/>
      <c r="N2833"/>
      <c r="O2833"/>
      <c r="P2833" s="225"/>
      <c r="Q2833" s="225"/>
      <c r="R2833"/>
      <c r="S2833"/>
      <c r="T2833"/>
      <c r="U2833"/>
      <c r="V2833"/>
      <c r="W2833"/>
      <c r="X2833"/>
    </row>
    <row r="2834" spans="5:24" x14ac:dyDescent="0.3">
      <c r="E2834" s="173"/>
      <c r="F2834" s="173"/>
      <c r="I2834"/>
      <c r="J2834"/>
      <c r="K2834"/>
      <c r="L2834"/>
      <c r="M2834"/>
      <c r="N2834"/>
      <c r="O2834"/>
      <c r="P2834" s="225"/>
      <c r="Q2834" s="225"/>
      <c r="R2834"/>
      <c r="S2834"/>
      <c r="T2834"/>
      <c r="U2834"/>
      <c r="V2834"/>
      <c r="W2834"/>
      <c r="X2834"/>
    </row>
    <row r="2835" spans="5:24" x14ac:dyDescent="0.3">
      <c r="E2835" s="173"/>
      <c r="F2835" s="173"/>
      <c r="I2835"/>
      <c r="J2835"/>
      <c r="K2835"/>
      <c r="L2835"/>
      <c r="M2835"/>
      <c r="N2835"/>
      <c r="O2835"/>
      <c r="P2835" s="225"/>
      <c r="Q2835" s="225"/>
      <c r="R2835"/>
      <c r="S2835"/>
      <c r="T2835"/>
      <c r="U2835"/>
      <c r="V2835"/>
      <c r="W2835"/>
      <c r="X2835"/>
    </row>
    <row r="2836" spans="5:24" x14ac:dyDescent="0.3">
      <c r="E2836" s="173"/>
      <c r="F2836" s="173"/>
      <c r="I2836"/>
      <c r="J2836"/>
      <c r="K2836"/>
      <c r="L2836"/>
      <c r="M2836"/>
      <c r="N2836"/>
      <c r="O2836"/>
      <c r="P2836" s="225"/>
      <c r="Q2836" s="225"/>
      <c r="R2836"/>
      <c r="S2836"/>
      <c r="T2836"/>
      <c r="U2836"/>
      <c r="V2836"/>
      <c r="W2836"/>
      <c r="X2836"/>
    </row>
    <row r="2837" spans="5:24" x14ac:dyDescent="0.3">
      <c r="E2837" s="173"/>
      <c r="F2837" s="173"/>
      <c r="I2837"/>
      <c r="J2837"/>
      <c r="K2837"/>
      <c r="L2837"/>
      <c r="M2837"/>
      <c r="N2837"/>
      <c r="O2837"/>
      <c r="P2837" s="225"/>
      <c r="Q2837" s="225"/>
      <c r="R2837"/>
      <c r="S2837"/>
      <c r="T2837"/>
      <c r="U2837"/>
      <c r="V2837"/>
      <c r="W2837"/>
      <c r="X2837"/>
    </row>
    <row r="2838" spans="5:24" x14ac:dyDescent="0.3">
      <c r="E2838" s="173"/>
      <c r="F2838" s="173"/>
      <c r="I2838"/>
      <c r="J2838"/>
      <c r="K2838"/>
      <c r="L2838"/>
      <c r="M2838"/>
      <c r="N2838"/>
      <c r="O2838"/>
      <c r="P2838" s="225"/>
      <c r="Q2838" s="225"/>
      <c r="R2838"/>
      <c r="S2838"/>
      <c r="T2838"/>
      <c r="U2838"/>
      <c r="V2838"/>
      <c r="W2838"/>
      <c r="X2838"/>
    </row>
    <row r="2839" spans="5:24" x14ac:dyDescent="0.3">
      <c r="E2839" s="173"/>
      <c r="F2839" s="173"/>
      <c r="I2839"/>
      <c r="J2839"/>
      <c r="K2839"/>
      <c r="L2839"/>
      <c r="M2839"/>
      <c r="N2839"/>
      <c r="O2839"/>
      <c r="P2839" s="225"/>
      <c r="Q2839" s="225"/>
      <c r="R2839"/>
      <c r="S2839"/>
      <c r="T2839"/>
      <c r="U2839"/>
      <c r="V2839"/>
      <c r="W2839"/>
      <c r="X2839"/>
    </row>
    <row r="2840" spans="5:24" x14ac:dyDescent="0.3">
      <c r="E2840" s="173"/>
      <c r="F2840" s="173"/>
      <c r="I2840"/>
      <c r="J2840"/>
      <c r="K2840"/>
      <c r="L2840"/>
      <c r="M2840"/>
      <c r="N2840"/>
      <c r="O2840"/>
      <c r="P2840" s="225"/>
      <c r="Q2840" s="225"/>
      <c r="R2840"/>
      <c r="S2840"/>
      <c r="T2840"/>
      <c r="U2840"/>
      <c r="V2840"/>
      <c r="W2840"/>
      <c r="X2840"/>
    </row>
    <row r="2841" spans="5:24" x14ac:dyDescent="0.3">
      <c r="E2841" s="173"/>
      <c r="F2841" s="173"/>
      <c r="I2841"/>
      <c r="J2841"/>
      <c r="K2841"/>
      <c r="L2841"/>
      <c r="M2841"/>
      <c r="N2841"/>
      <c r="O2841"/>
      <c r="P2841" s="225"/>
      <c r="Q2841" s="225"/>
      <c r="R2841"/>
      <c r="S2841"/>
      <c r="T2841"/>
      <c r="U2841"/>
      <c r="V2841"/>
      <c r="W2841"/>
      <c r="X2841"/>
    </row>
    <row r="2842" spans="5:24" x14ac:dyDescent="0.3">
      <c r="E2842" s="173"/>
      <c r="F2842" s="173"/>
      <c r="I2842"/>
      <c r="J2842"/>
      <c r="K2842"/>
      <c r="L2842"/>
      <c r="M2842"/>
      <c r="N2842"/>
      <c r="O2842"/>
      <c r="P2842" s="225"/>
      <c r="Q2842" s="225"/>
      <c r="R2842"/>
      <c r="S2842"/>
      <c r="T2842"/>
      <c r="U2842"/>
      <c r="V2842"/>
      <c r="W2842"/>
      <c r="X2842"/>
    </row>
    <row r="2843" spans="5:24" x14ac:dyDescent="0.3">
      <c r="E2843" s="173"/>
      <c r="F2843" s="173"/>
      <c r="I2843"/>
      <c r="J2843"/>
      <c r="K2843"/>
      <c r="L2843"/>
      <c r="M2843"/>
      <c r="N2843"/>
      <c r="O2843"/>
      <c r="P2843" s="225"/>
      <c r="Q2843" s="225"/>
      <c r="R2843"/>
      <c r="S2843"/>
      <c r="T2843"/>
      <c r="U2843"/>
      <c r="V2843"/>
      <c r="W2843"/>
      <c r="X2843"/>
    </row>
    <row r="2844" spans="5:24" x14ac:dyDescent="0.3">
      <c r="E2844" s="173"/>
      <c r="F2844" s="173"/>
      <c r="I2844"/>
      <c r="J2844"/>
      <c r="K2844"/>
      <c r="L2844"/>
      <c r="M2844"/>
      <c r="N2844"/>
      <c r="O2844"/>
      <c r="P2844" s="225"/>
      <c r="Q2844" s="225"/>
      <c r="R2844"/>
      <c r="S2844"/>
      <c r="T2844"/>
      <c r="U2844"/>
      <c r="V2844"/>
      <c r="W2844"/>
      <c r="X2844"/>
    </row>
    <row r="2845" spans="5:24" x14ac:dyDescent="0.3">
      <c r="E2845" s="173"/>
      <c r="F2845" s="173"/>
      <c r="I2845"/>
      <c r="J2845"/>
      <c r="K2845"/>
      <c r="L2845"/>
      <c r="M2845"/>
      <c r="N2845"/>
      <c r="O2845"/>
      <c r="P2845" s="225"/>
      <c r="Q2845" s="225"/>
      <c r="R2845"/>
      <c r="S2845"/>
      <c r="T2845"/>
      <c r="U2845"/>
      <c r="V2845"/>
      <c r="W2845"/>
      <c r="X2845"/>
    </row>
    <row r="2846" spans="5:24" x14ac:dyDescent="0.3">
      <c r="E2846" s="173"/>
      <c r="F2846" s="173"/>
      <c r="I2846"/>
      <c r="J2846"/>
      <c r="K2846"/>
      <c r="L2846"/>
      <c r="M2846"/>
      <c r="N2846"/>
      <c r="O2846"/>
      <c r="P2846" s="225"/>
      <c r="Q2846" s="225"/>
      <c r="R2846"/>
      <c r="S2846"/>
      <c r="T2846"/>
      <c r="U2846"/>
      <c r="V2846"/>
      <c r="W2846"/>
      <c r="X2846"/>
    </row>
    <row r="2847" spans="5:24" x14ac:dyDescent="0.3">
      <c r="E2847" s="173"/>
      <c r="F2847" s="173"/>
      <c r="I2847"/>
      <c r="J2847"/>
      <c r="K2847"/>
      <c r="L2847"/>
      <c r="M2847"/>
      <c r="N2847"/>
      <c r="O2847"/>
      <c r="P2847" s="225"/>
      <c r="Q2847" s="225"/>
      <c r="R2847"/>
      <c r="S2847"/>
      <c r="T2847"/>
      <c r="U2847"/>
      <c r="V2847"/>
      <c r="W2847"/>
      <c r="X2847"/>
    </row>
    <row r="2848" spans="5:24" x14ac:dyDescent="0.3">
      <c r="E2848" s="173"/>
      <c r="F2848" s="173"/>
      <c r="I2848"/>
      <c r="J2848"/>
      <c r="K2848"/>
      <c r="L2848"/>
      <c r="M2848"/>
      <c r="N2848"/>
      <c r="O2848"/>
      <c r="P2848" s="225"/>
      <c r="Q2848" s="225"/>
      <c r="R2848"/>
      <c r="S2848"/>
      <c r="T2848"/>
      <c r="U2848"/>
      <c r="V2848"/>
      <c r="W2848"/>
      <c r="X2848"/>
    </row>
    <row r="2849" spans="5:24" x14ac:dyDescent="0.3">
      <c r="E2849" s="173"/>
      <c r="F2849" s="173"/>
      <c r="I2849"/>
      <c r="J2849"/>
      <c r="K2849"/>
      <c r="L2849"/>
      <c r="M2849"/>
      <c r="N2849"/>
      <c r="O2849"/>
      <c r="P2849" s="225"/>
      <c r="Q2849" s="225"/>
      <c r="R2849"/>
      <c r="S2849"/>
      <c r="T2849"/>
      <c r="U2849"/>
      <c r="V2849"/>
      <c r="W2849"/>
      <c r="X2849"/>
    </row>
    <row r="2850" spans="5:24" x14ac:dyDescent="0.3">
      <c r="E2850" s="173"/>
      <c r="F2850" s="173"/>
      <c r="I2850"/>
      <c r="J2850"/>
      <c r="K2850"/>
      <c r="L2850"/>
      <c r="M2850"/>
      <c r="N2850"/>
      <c r="O2850"/>
      <c r="P2850" s="225"/>
      <c r="Q2850" s="225"/>
      <c r="R2850"/>
      <c r="S2850"/>
      <c r="T2850"/>
      <c r="U2850"/>
      <c r="V2850"/>
      <c r="W2850"/>
      <c r="X2850"/>
    </row>
    <row r="2851" spans="5:24" x14ac:dyDescent="0.3">
      <c r="E2851" s="173"/>
      <c r="F2851" s="173"/>
      <c r="I2851"/>
      <c r="J2851"/>
      <c r="K2851"/>
      <c r="L2851"/>
      <c r="M2851"/>
      <c r="N2851"/>
      <c r="O2851"/>
      <c r="P2851" s="225"/>
      <c r="Q2851" s="225"/>
      <c r="R2851"/>
      <c r="S2851"/>
      <c r="T2851"/>
      <c r="U2851"/>
      <c r="V2851"/>
      <c r="W2851"/>
      <c r="X2851"/>
    </row>
    <row r="2852" spans="5:24" x14ac:dyDescent="0.3">
      <c r="E2852" s="173"/>
      <c r="F2852" s="173"/>
      <c r="I2852"/>
      <c r="J2852"/>
      <c r="K2852"/>
      <c r="L2852"/>
      <c r="M2852"/>
      <c r="N2852"/>
      <c r="O2852"/>
      <c r="P2852" s="225"/>
      <c r="Q2852" s="225"/>
      <c r="R2852"/>
      <c r="S2852"/>
      <c r="T2852"/>
      <c r="U2852"/>
      <c r="V2852"/>
      <c r="W2852"/>
      <c r="X2852"/>
    </row>
    <row r="2853" spans="5:24" x14ac:dyDescent="0.3">
      <c r="E2853" s="173"/>
      <c r="F2853" s="173"/>
      <c r="I2853"/>
      <c r="J2853"/>
      <c r="K2853"/>
      <c r="L2853"/>
      <c r="M2853"/>
      <c r="N2853"/>
      <c r="O2853"/>
      <c r="P2853" s="225"/>
      <c r="Q2853" s="225"/>
      <c r="R2853"/>
      <c r="S2853"/>
      <c r="T2853"/>
      <c r="U2853"/>
      <c r="V2853"/>
      <c r="W2853"/>
      <c r="X2853"/>
    </row>
    <row r="2854" spans="5:24" x14ac:dyDescent="0.3">
      <c r="E2854" s="173"/>
      <c r="F2854" s="173"/>
      <c r="I2854"/>
      <c r="J2854"/>
      <c r="K2854"/>
      <c r="L2854"/>
      <c r="M2854"/>
      <c r="N2854"/>
      <c r="O2854"/>
      <c r="P2854" s="225"/>
      <c r="Q2854" s="225"/>
      <c r="R2854"/>
      <c r="S2854"/>
      <c r="T2854"/>
      <c r="U2854"/>
      <c r="V2854"/>
      <c r="W2854"/>
      <c r="X2854"/>
    </row>
    <row r="2855" spans="5:24" x14ac:dyDescent="0.3">
      <c r="E2855" s="173"/>
      <c r="F2855" s="173"/>
      <c r="I2855"/>
      <c r="J2855"/>
      <c r="K2855"/>
      <c r="L2855"/>
      <c r="M2855"/>
      <c r="N2855"/>
      <c r="O2855"/>
      <c r="P2855" s="225"/>
      <c r="Q2855" s="225"/>
      <c r="R2855"/>
      <c r="S2855"/>
      <c r="T2855"/>
      <c r="U2855"/>
      <c r="V2855"/>
      <c r="W2855"/>
      <c r="X2855"/>
    </row>
    <row r="2856" spans="5:24" x14ac:dyDescent="0.3">
      <c r="E2856" s="173"/>
      <c r="F2856" s="173"/>
      <c r="I2856"/>
      <c r="J2856"/>
      <c r="K2856"/>
      <c r="L2856"/>
      <c r="M2856"/>
      <c r="N2856"/>
      <c r="O2856"/>
      <c r="P2856" s="225"/>
      <c r="Q2856" s="225"/>
      <c r="R2856"/>
      <c r="S2856"/>
      <c r="T2856"/>
      <c r="U2856"/>
      <c r="V2856"/>
      <c r="W2856"/>
      <c r="X2856"/>
    </row>
    <row r="2857" spans="5:24" x14ac:dyDescent="0.3">
      <c r="E2857" s="173"/>
      <c r="F2857" s="173"/>
      <c r="I2857"/>
      <c r="J2857"/>
      <c r="K2857"/>
      <c r="L2857"/>
      <c r="M2857"/>
      <c r="N2857"/>
      <c r="O2857"/>
      <c r="P2857" s="225"/>
      <c r="Q2857" s="225"/>
      <c r="R2857"/>
      <c r="S2857"/>
      <c r="T2857"/>
      <c r="U2857"/>
      <c r="V2857"/>
      <c r="W2857"/>
      <c r="X2857"/>
    </row>
    <row r="2858" spans="5:24" x14ac:dyDescent="0.3">
      <c r="E2858" s="173"/>
      <c r="F2858" s="173"/>
      <c r="I2858"/>
      <c r="J2858"/>
      <c r="K2858"/>
      <c r="L2858"/>
      <c r="M2858"/>
      <c r="N2858"/>
      <c r="O2858"/>
      <c r="P2858" s="225"/>
      <c r="Q2858" s="225"/>
      <c r="R2858"/>
      <c r="S2858"/>
      <c r="T2858"/>
      <c r="U2858"/>
      <c r="V2858"/>
      <c r="W2858"/>
      <c r="X2858"/>
    </row>
    <row r="2859" spans="5:24" x14ac:dyDescent="0.3">
      <c r="E2859" s="173"/>
      <c r="F2859" s="173"/>
      <c r="I2859"/>
      <c r="J2859"/>
      <c r="K2859"/>
      <c r="L2859"/>
      <c r="M2859"/>
      <c r="N2859"/>
      <c r="O2859"/>
      <c r="P2859" s="225"/>
      <c r="Q2859" s="225"/>
      <c r="R2859"/>
      <c r="S2859"/>
      <c r="T2859"/>
      <c r="U2859"/>
      <c r="V2859"/>
      <c r="W2859"/>
      <c r="X2859"/>
    </row>
    <row r="2860" spans="5:24" x14ac:dyDescent="0.3">
      <c r="E2860" s="173"/>
      <c r="F2860" s="173"/>
      <c r="I2860"/>
      <c r="J2860"/>
      <c r="K2860"/>
      <c r="L2860"/>
      <c r="M2860"/>
      <c r="N2860"/>
      <c r="O2860"/>
      <c r="P2860" s="225"/>
      <c r="Q2860" s="225"/>
      <c r="R2860"/>
      <c r="S2860"/>
      <c r="T2860"/>
      <c r="U2860"/>
      <c r="V2860"/>
      <c r="W2860"/>
      <c r="X2860"/>
    </row>
    <row r="2861" spans="5:24" x14ac:dyDescent="0.3">
      <c r="E2861" s="173"/>
      <c r="F2861" s="173"/>
      <c r="I2861"/>
      <c r="J2861"/>
      <c r="K2861"/>
      <c r="L2861"/>
      <c r="M2861"/>
      <c r="N2861"/>
      <c r="O2861"/>
      <c r="P2861" s="225"/>
      <c r="Q2861" s="225"/>
      <c r="R2861"/>
      <c r="S2861"/>
      <c r="T2861"/>
      <c r="U2861"/>
      <c r="V2861"/>
      <c r="W2861"/>
      <c r="X2861"/>
    </row>
    <row r="2862" spans="5:24" x14ac:dyDescent="0.3">
      <c r="E2862" s="173"/>
      <c r="F2862" s="173"/>
      <c r="I2862"/>
      <c r="J2862"/>
      <c r="K2862"/>
      <c r="L2862"/>
      <c r="M2862"/>
      <c r="N2862"/>
      <c r="O2862"/>
      <c r="P2862" s="225"/>
      <c r="Q2862" s="225"/>
      <c r="R2862"/>
      <c r="S2862"/>
      <c r="T2862"/>
      <c r="U2862"/>
      <c r="V2862"/>
      <c r="W2862"/>
      <c r="X2862"/>
    </row>
    <row r="2863" spans="5:24" x14ac:dyDescent="0.3">
      <c r="E2863" s="173"/>
      <c r="F2863" s="173"/>
      <c r="I2863"/>
      <c r="J2863"/>
      <c r="K2863"/>
      <c r="L2863"/>
      <c r="M2863"/>
      <c r="N2863"/>
      <c r="O2863"/>
      <c r="P2863" s="225"/>
      <c r="Q2863" s="225"/>
      <c r="R2863"/>
      <c r="S2863"/>
      <c r="T2863"/>
      <c r="U2863"/>
      <c r="V2863"/>
      <c r="W2863"/>
      <c r="X2863"/>
    </row>
    <row r="2864" spans="5:24" x14ac:dyDescent="0.3">
      <c r="E2864" s="173"/>
      <c r="F2864" s="173"/>
      <c r="I2864"/>
      <c r="J2864"/>
      <c r="K2864"/>
      <c r="L2864"/>
      <c r="M2864"/>
      <c r="N2864"/>
      <c r="O2864"/>
      <c r="P2864" s="225"/>
      <c r="Q2864" s="225"/>
      <c r="R2864"/>
      <c r="S2864"/>
      <c r="T2864"/>
      <c r="U2864"/>
      <c r="V2864"/>
      <c r="W2864"/>
      <c r="X2864"/>
    </row>
    <row r="2865" spans="5:24" x14ac:dyDescent="0.3">
      <c r="E2865" s="173"/>
      <c r="F2865" s="173"/>
      <c r="I2865"/>
      <c r="J2865"/>
      <c r="K2865"/>
      <c r="L2865"/>
      <c r="M2865"/>
      <c r="N2865"/>
      <c r="O2865"/>
      <c r="P2865" s="225"/>
      <c r="Q2865" s="225"/>
      <c r="R2865"/>
      <c r="S2865"/>
      <c r="T2865"/>
      <c r="U2865"/>
      <c r="V2865"/>
      <c r="W2865"/>
      <c r="X2865"/>
    </row>
    <row r="2866" spans="5:24" x14ac:dyDescent="0.3">
      <c r="E2866" s="173"/>
      <c r="F2866" s="173"/>
      <c r="I2866"/>
      <c r="J2866"/>
      <c r="K2866"/>
      <c r="L2866"/>
      <c r="M2866"/>
      <c r="N2866"/>
      <c r="O2866"/>
      <c r="P2866" s="225"/>
      <c r="Q2866" s="225"/>
      <c r="R2866"/>
      <c r="S2866"/>
      <c r="T2866"/>
      <c r="U2866"/>
      <c r="V2866"/>
      <c r="W2866"/>
      <c r="X2866"/>
    </row>
    <row r="2867" spans="5:24" x14ac:dyDescent="0.3">
      <c r="E2867" s="173"/>
      <c r="F2867" s="173"/>
      <c r="I2867"/>
      <c r="J2867"/>
      <c r="K2867"/>
      <c r="L2867"/>
      <c r="M2867"/>
      <c r="N2867"/>
      <c r="O2867"/>
      <c r="P2867" s="225"/>
      <c r="Q2867" s="225"/>
      <c r="R2867"/>
      <c r="S2867"/>
      <c r="T2867"/>
      <c r="U2867"/>
      <c r="V2867"/>
      <c r="W2867"/>
      <c r="X2867"/>
    </row>
    <row r="2868" spans="5:24" x14ac:dyDescent="0.3">
      <c r="E2868" s="173"/>
      <c r="F2868" s="173"/>
      <c r="I2868"/>
      <c r="J2868"/>
      <c r="K2868"/>
      <c r="L2868"/>
      <c r="M2868"/>
      <c r="N2868"/>
      <c r="O2868"/>
      <c r="P2868" s="225"/>
      <c r="Q2868" s="225"/>
      <c r="R2868"/>
      <c r="S2868"/>
      <c r="T2868"/>
      <c r="U2868"/>
      <c r="V2868"/>
      <c r="W2868"/>
      <c r="X2868"/>
    </row>
    <row r="2869" spans="5:24" x14ac:dyDescent="0.3">
      <c r="E2869" s="173"/>
      <c r="F2869" s="173"/>
      <c r="I2869"/>
      <c r="J2869"/>
      <c r="K2869"/>
      <c r="L2869"/>
      <c r="M2869"/>
      <c r="N2869"/>
      <c r="O2869"/>
      <c r="P2869" s="225"/>
      <c r="Q2869" s="225"/>
      <c r="R2869"/>
      <c r="S2869"/>
      <c r="T2869"/>
      <c r="U2869"/>
      <c r="V2869"/>
      <c r="W2869"/>
      <c r="X2869"/>
    </row>
    <row r="2870" spans="5:24" x14ac:dyDescent="0.3">
      <c r="E2870" s="173"/>
      <c r="F2870" s="173"/>
      <c r="I2870"/>
      <c r="J2870"/>
      <c r="K2870"/>
      <c r="L2870"/>
      <c r="M2870"/>
      <c r="N2870"/>
      <c r="O2870"/>
      <c r="P2870" s="225"/>
      <c r="Q2870" s="225"/>
      <c r="R2870"/>
      <c r="S2870"/>
      <c r="T2870"/>
      <c r="U2870"/>
      <c r="V2870"/>
      <c r="W2870"/>
      <c r="X2870"/>
    </row>
    <row r="2871" spans="5:24" x14ac:dyDescent="0.3">
      <c r="E2871" s="173"/>
      <c r="F2871" s="173"/>
      <c r="I2871"/>
      <c r="J2871"/>
      <c r="K2871"/>
      <c r="L2871"/>
      <c r="M2871"/>
      <c r="N2871"/>
      <c r="O2871"/>
      <c r="P2871" s="225"/>
      <c r="Q2871" s="225"/>
      <c r="R2871"/>
      <c r="S2871"/>
      <c r="T2871"/>
      <c r="U2871"/>
      <c r="V2871"/>
      <c r="W2871"/>
      <c r="X2871"/>
    </row>
    <row r="2872" spans="5:24" x14ac:dyDescent="0.3">
      <c r="E2872" s="173"/>
      <c r="F2872" s="173"/>
      <c r="I2872"/>
      <c r="J2872"/>
      <c r="K2872"/>
      <c r="L2872"/>
      <c r="M2872"/>
      <c r="N2872"/>
      <c r="O2872"/>
      <c r="P2872" s="225"/>
      <c r="Q2872" s="225"/>
      <c r="R2872"/>
      <c r="S2872"/>
      <c r="T2872"/>
      <c r="U2872"/>
      <c r="V2872"/>
      <c r="W2872"/>
      <c r="X2872"/>
    </row>
    <row r="2873" spans="5:24" x14ac:dyDescent="0.3">
      <c r="E2873" s="173"/>
      <c r="F2873" s="173"/>
      <c r="I2873"/>
      <c r="J2873"/>
      <c r="K2873"/>
      <c r="L2873"/>
      <c r="M2873"/>
      <c r="N2873"/>
      <c r="O2873"/>
      <c r="P2873" s="225"/>
      <c r="Q2873" s="225"/>
      <c r="R2873"/>
      <c r="S2873"/>
      <c r="T2873"/>
      <c r="U2873"/>
      <c r="V2873"/>
      <c r="W2873"/>
      <c r="X2873"/>
    </row>
    <row r="2874" spans="5:24" x14ac:dyDescent="0.3">
      <c r="E2874" s="173"/>
      <c r="F2874" s="173"/>
      <c r="I2874"/>
      <c r="J2874"/>
      <c r="K2874"/>
      <c r="L2874"/>
      <c r="M2874"/>
      <c r="N2874"/>
      <c r="O2874"/>
      <c r="P2874" s="225"/>
      <c r="Q2874" s="225"/>
      <c r="R2874"/>
      <c r="S2874"/>
      <c r="T2874"/>
      <c r="U2874"/>
      <c r="V2874"/>
      <c r="W2874"/>
      <c r="X2874"/>
    </row>
    <row r="2875" spans="5:24" x14ac:dyDescent="0.3">
      <c r="E2875" s="173"/>
      <c r="F2875" s="173"/>
      <c r="I2875"/>
      <c r="J2875"/>
      <c r="K2875"/>
      <c r="L2875"/>
      <c r="M2875"/>
      <c r="N2875"/>
      <c r="O2875"/>
      <c r="P2875" s="225"/>
      <c r="Q2875" s="225"/>
      <c r="R2875"/>
      <c r="S2875"/>
      <c r="T2875"/>
      <c r="U2875"/>
      <c r="V2875"/>
      <c r="W2875"/>
      <c r="X2875"/>
    </row>
    <row r="2876" spans="5:24" x14ac:dyDescent="0.3">
      <c r="E2876" s="173"/>
      <c r="F2876" s="173"/>
      <c r="I2876"/>
      <c r="J2876"/>
      <c r="K2876"/>
      <c r="L2876"/>
      <c r="M2876"/>
      <c r="N2876"/>
      <c r="O2876"/>
      <c r="P2876" s="225"/>
      <c r="Q2876" s="225"/>
      <c r="R2876"/>
      <c r="S2876"/>
      <c r="T2876"/>
      <c r="U2876"/>
      <c r="V2876"/>
      <c r="W2876"/>
      <c r="X2876"/>
    </row>
    <row r="2877" spans="5:24" x14ac:dyDescent="0.3">
      <c r="E2877" s="173"/>
      <c r="F2877" s="173"/>
      <c r="I2877"/>
      <c r="J2877"/>
      <c r="K2877"/>
      <c r="L2877"/>
      <c r="M2877"/>
      <c r="N2877"/>
      <c r="O2877"/>
      <c r="P2877" s="225"/>
      <c r="Q2877" s="225"/>
      <c r="R2877"/>
      <c r="S2877"/>
      <c r="T2877"/>
      <c r="U2877"/>
      <c r="V2877"/>
      <c r="W2877"/>
      <c r="X2877"/>
    </row>
    <row r="2878" spans="5:24" x14ac:dyDescent="0.3">
      <c r="E2878" s="173"/>
      <c r="F2878" s="173"/>
      <c r="I2878"/>
      <c r="J2878"/>
      <c r="K2878"/>
      <c r="L2878"/>
      <c r="M2878"/>
      <c r="N2878"/>
      <c r="O2878"/>
      <c r="P2878" s="225"/>
      <c r="Q2878" s="225"/>
      <c r="R2878"/>
      <c r="S2878"/>
      <c r="T2878"/>
      <c r="U2878"/>
      <c r="V2878"/>
      <c r="W2878"/>
      <c r="X2878"/>
    </row>
    <row r="2879" spans="5:24" x14ac:dyDescent="0.3">
      <c r="E2879" s="173"/>
      <c r="F2879" s="173"/>
      <c r="I2879"/>
      <c r="J2879"/>
      <c r="K2879"/>
      <c r="L2879"/>
      <c r="M2879"/>
      <c r="N2879"/>
      <c r="O2879"/>
      <c r="P2879" s="225"/>
      <c r="Q2879" s="225"/>
      <c r="R2879"/>
      <c r="S2879"/>
      <c r="T2879"/>
      <c r="U2879"/>
      <c r="V2879"/>
      <c r="W2879"/>
      <c r="X2879"/>
    </row>
    <row r="2880" spans="5:24" x14ac:dyDescent="0.3">
      <c r="E2880" s="173"/>
      <c r="F2880" s="173"/>
      <c r="I2880"/>
      <c r="J2880"/>
      <c r="K2880"/>
      <c r="L2880"/>
      <c r="M2880"/>
      <c r="N2880"/>
      <c r="O2880"/>
      <c r="P2880" s="225"/>
      <c r="Q2880" s="225"/>
      <c r="R2880"/>
      <c r="S2880"/>
      <c r="T2880"/>
      <c r="U2880"/>
      <c r="V2880"/>
      <c r="W2880"/>
      <c r="X2880"/>
    </row>
    <row r="2881" spans="5:24" x14ac:dyDescent="0.3">
      <c r="E2881" s="173"/>
      <c r="F2881" s="173"/>
      <c r="I2881"/>
      <c r="J2881"/>
      <c r="K2881"/>
      <c r="L2881"/>
      <c r="M2881"/>
      <c r="N2881"/>
      <c r="O2881"/>
      <c r="P2881" s="225"/>
      <c r="Q2881" s="225"/>
      <c r="R2881"/>
      <c r="S2881"/>
      <c r="T2881"/>
      <c r="U2881"/>
      <c r="V2881"/>
      <c r="W2881"/>
      <c r="X2881"/>
    </row>
    <row r="2882" spans="5:24" x14ac:dyDescent="0.3">
      <c r="E2882" s="173"/>
      <c r="F2882" s="173"/>
      <c r="I2882"/>
      <c r="J2882"/>
      <c r="K2882"/>
      <c r="L2882"/>
      <c r="M2882"/>
      <c r="N2882"/>
      <c r="O2882"/>
      <c r="P2882" s="225"/>
      <c r="Q2882" s="225"/>
      <c r="R2882"/>
      <c r="S2882"/>
      <c r="T2882"/>
      <c r="U2882"/>
      <c r="V2882"/>
      <c r="W2882"/>
      <c r="X2882"/>
    </row>
    <row r="2883" spans="5:24" x14ac:dyDescent="0.3">
      <c r="E2883" s="173"/>
      <c r="F2883" s="173"/>
      <c r="I2883"/>
      <c r="J2883"/>
      <c r="K2883"/>
      <c r="L2883"/>
      <c r="M2883"/>
      <c r="N2883"/>
      <c r="O2883"/>
      <c r="P2883" s="225"/>
      <c r="Q2883" s="225"/>
      <c r="R2883"/>
      <c r="S2883"/>
      <c r="T2883"/>
      <c r="U2883"/>
      <c r="V2883"/>
      <c r="W2883"/>
      <c r="X2883"/>
    </row>
    <row r="2884" spans="5:24" x14ac:dyDescent="0.3">
      <c r="E2884" s="173"/>
      <c r="F2884" s="173"/>
      <c r="I2884"/>
      <c r="J2884"/>
      <c r="K2884"/>
      <c r="L2884"/>
      <c r="M2884"/>
      <c r="N2884"/>
      <c r="O2884"/>
      <c r="P2884" s="225"/>
      <c r="Q2884" s="225"/>
      <c r="R2884"/>
      <c r="S2884"/>
      <c r="T2884"/>
      <c r="U2884"/>
      <c r="V2884"/>
      <c r="W2884"/>
      <c r="X2884"/>
    </row>
    <row r="2885" spans="5:24" x14ac:dyDescent="0.3">
      <c r="E2885" s="173"/>
      <c r="F2885" s="173"/>
      <c r="I2885"/>
      <c r="J2885"/>
      <c r="K2885"/>
      <c r="L2885"/>
      <c r="M2885"/>
      <c r="N2885"/>
      <c r="O2885"/>
      <c r="P2885" s="225"/>
      <c r="Q2885" s="225"/>
      <c r="R2885"/>
      <c r="S2885"/>
      <c r="T2885"/>
      <c r="U2885"/>
      <c r="V2885"/>
      <c r="W2885"/>
      <c r="X2885"/>
    </row>
    <row r="2886" spans="5:24" x14ac:dyDescent="0.3">
      <c r="E2886" s="173"/>
      <c r="F2886" s="173"/>
      <c r="I2886"/>
      <c r="J2886"/>
      <c r="K2886"/>
      <c r="L2886"/>
      <c r="M2886"/>
      <c r="N2886"/>
      <c r="O2886"/>
      <c r="P2886" s="225"/>
      <c r="Q2886" s="225"/>
      <c r="R2886"/>
      <c r="S2886"/>
      <c r="T2886"/>
      <c r="U2886"/>
      <c r="V2886"/>
      <c r="W2886"/>
      <c r="X2886"/>
    </row>
    <row r="2887" spans="5:24" x14ac:dyDescent="0.3">
      <c r="E2887" s="173"/>
      <c r="F2887" s="173"/>
      <c r="I2887"/>
      <c r="J2887"/>
      <c r="K2887"/>
      <c r="L2887"/>
      <c r="M2887"/>
      <c r="N2887"/>
      <c r="O2887"/>
      <c r="P2887" s="225"/>
      <c r="Q2887" s="225"/>
      <c r="R2887"/>
      <c r="S2887"/>
      <c r="T2887"/>
      <c r="U2887"/>
      <c r="V2887"/>
      <c r="W2887"/>
      <c r="X2887"/>
    </row>
    <row r="2888" spans="5:24" x14ac:dyDescent="0.3">
      <c r="E2888" s="173"/>
      <c r="F2888" s="173"/>
      <c r="I2888"/>
      <c r="J2888"/>
      <c r="K2888"/>
      <c r="L2888"/>
      <c r="M2888"/>
      <c r="N2888"/>
      <c r="O2888"/>
      <c r="P2888" s="225"/>
      <c r="Q2888" s="225"/>
      <c r="R2888"/>
      <c r="S2888"/>
      <c r="T2888"/>
      <c r="U2888"/>
      <c r="V2888"/>
      <c r="W2888"/>
      <c r="X2888"/>
    </row>
    <row r="2889" spans="5:24" x14ac:dyDescent="0.3">
      <c r="E2889" s="173"/>
      <c r="F2889" s="173"/>
      <c r="I2889"/>
      <c r="J2889"/>
      <c r="K2889"/>
      <c r="L2889"/>
      <c r="M2889"/>
      <c r="N2889"/>
      <c r="O2889"/>
      <c r="P2889" s="225"/>
      <c r="Q2889" s="225"/>
      <c r="R2889"/>
      <c r="S2889"/>
      <c r="T2889"/>
      <c r="U2889"/>
      <c r="V2889"/>
      <c r="W2889"/>
      <c r="X2889"/>
    </row>
    <row r="2890" spans="5:24" x14ac:dyDescent="0.3">
      <c r="E2890" s="173"/>
      <c r="F2890" s="173"/>
      <c r="I2890"/>
      <c r="J2890"/>
      <c r="K2890"/>
      <c r="L2890"/>
      <c r="M2890"/>
      <c r="N2890"/>
      <c r="O2890"/>
      <c r="P2890" s="225"/>
      <c r="Q2890" s="225"/>
      <c r="R2890"/>
      <c r="S2890"/>
      <c r="T2890"/>
      <c r="U2890"/>
      <c r="V2890"/>
      <c r="W2890"/>
      <c r="X2890"/>
    </row>
    <row r="2891" spans="5:24" x14ac:dyDescent="0.3">
      <c r="E2891" s="173"/>
      <c r="F2891" s="173"/>
      <c r="I2891"/>
      <c r="J2891"/>
      <c r="K2891"/>
      <c r="L2891"/>
      <c r="M2891"/>
      <c r="N2891"/>
      <c r="O2891"/>
      <c r="P2891" s="225"/>
      <c r="Q2891" s="225"/>
      <c r="R2891"/>
      <c r="S2891"/>
      <c r="T2891"/>
      <c r="U2891"/>
      <c r="V2891"/>
      <c r="W2891"/>
      <c r="X2891"/>
    </row>
    <row r="2892" spans="5:24" x14ac:dyDescent="0.3">
      <c r="E2892" s="173"/>
      <c r="F2892" s="173"/>
      <c r="I2892"/>
      <c r="J2892"/>
      <c r="K2892"/>
      <c r="L2892"/>
      <c r="M2892"/>
      <c r="N2892"/>
      <c r="O2892"/>
      <c r="P2892" s="225"/>
      <c r="Q2892" s="225"/>
      <c r="R2892"/>
      <c r="S2892"/>
      <c r="T2892"/>
      <c r="U2892"/>
      <c r="V2892"/>
      <c r="W2892"/>
      <c r="X2892"/>
    </row>
    <row r="2893" spans="5:24" x14ac:dyDescent="0.3">
      <c r="E2893" s="173"/>
      <c r="F2893" s="173"/>
      <c r="I2893"/>
      <c r="J2893"/>
      <c r="K2893"/>
      <c r="L2893"/>
      <c r="M2893"/>
      <c r="N2893"/>
      <c r="O2893"/>
      <c r="P2893" s="225"/>
      <c r="Q2893" s="225"/>
      <c r="R2893"/>
      <c r="S2893"/>
      <c r="T2893"/>
      <c r="U2893"/>
      <c r="V2893"/>
      <c r="W2893"/>
      <c r="X2893"/>
    </row>
    <row r="2894" spans="5:24" x14ac:dyDescent="0.3">
      <c r="E2894" s="173"/>
      <c r="F2894" s="173"/>
      <c r="I2894"/>
      <c r="J2894"/>
      <c r="K2894"/>
      <c r="L2894"/>
      <c r="M2894"/>
      <c r="N2894"/>
      <c r="O2894"/>
      <c r="P2894" s="225"/>
      <c r="Q2894" s="225"/>
      <c r="R2894"/>
      <c r="S2894"/>
      <c r="T2894"/>
      <c r="U2894"/>
      <c r="V2894"/>
      <c r="W2894"/>
      <c r="X2894"/>
    </row>
    <row r="2895" spans="5:24" x14ac:dyDescent="0.3">
      <c r="E2895" s="173"/>
      <c r="F2895" s="173"/>
      <c r="I2895"/>
      <c r="J2895"/>
      <c r="K2895"/>
      <c r="L2895"/>
      <c r="M2895"/>
      <c r="N2895"/>
      <c r="O2895"/>
      <c r="P2895" s="225"/>
      <c r="Q2895" s="225"/>
      <c r="R2895"/>
      <c r="S2895"/>
      <c r="T2895"/>
      <c r="U2895"/>
      <c r="V2895"/>
      <c r="W2895"/>
      <c r="X2895"/>
    </row>
    <row r="2896" spans="5:24" x14ac:dyDescent="0.3">
      <c r="E2896" s="173"/>
      <c r="F2896" s="173"/>
      <c r="I2896"/>
      <c r="J2896"/>
      <c r="K2896"/>
      <c r="L2896"/>
      <c r="M2896"/>
      <c r="N2896"/>
      <c r="O2896"/>
      <c r="P2896" s="225"/>
      <c r="Q2896" s="225"/>
      <c r="R2896"/>
      <c r="S2896"/>
      <c r="T2896"/>
      <c r="U2896"/>
      <c r="V2896"/>
      <c r="W2896"/>
      <c r="X2896"/>
    </row>
    <row r="2897" spans="5:24" x14ac:dyDescent="0.3">
      <c r="E2897" s="173"/>
      <c r="F2897" s="173"/>
      <c r="I2897"/>
      <c r="J2897"/>
      <c r="K2897"/>
      <c r="L2897"/>
      <c r="M2897"/>
      <c r="N2897"/>
      <c r="O2897"/>
      <c r="P2897" s="225"/>
      <c r="Q2897" s="225"/>
      <c r="R2897"/>
      <c r="S2897"/>
      <c r="T2897"/>
      <c r="U2897"/>
      <c r="V2897"/>
      <c r="W2897"/>
      <c r="X2897"/>
    </row>
    <row r="2898" spans="5:24" x14ac:dyDescent="0.3">
      <c r="E2898" s="173"/>
      <c r="F2898" s="173"/>
      <c r="I2898"/>
      <c r="J2898"/>
      <c r="K2898"/>
      <c r="L2898"/>
      <c r="M2898"/>
      <c r="N2898"/>
      <c r="O2898"/>
      <c r="P2898" s="225"/>
      <c r="Q2898" s="225"/>
      <c r="R2898"/>
      <c r="S2898"/>
      <c r="T2898"/>
      <c r="U2898"/>
      <c r="V2898"/>
      <c r="W2898"/>
      <c r="X2898"/>
    </row>
    <row r="2899" spans="5:24" x14ac:dyDescent="0.3">
      <c r="E2899" s="173"/>
      <c r="F2899" s="173"/>
      <c r="I2899"/>
      <c r="J2899"/>
      <c r="K2899"/>
      <c r="L2899"/>
      <c r="M2899"/>
      <c r="N2899"/>
      <c r="O2899"/>
      <c r="P2899" s="225"/>
      <c r="Q2899" s="225"/>
      <c r="R2899"/>
      <c r="S2899"/>
      <c r="T2899"/>
      <c r="U2899"/>
      <c r="V2899"/>
      <c r="W2899"/>
      <c r="X2899"/>
    </row>
    <row r="2900" spans="5:24" x14ac:dyDescent="0.3">
      <c r="E2900" s="173"/>
      <c r="F2900" s="173"/>
      <c r="I2900"/>
      <c r="J2900"/>
      <c r="K2900"/>
      <c r="L2900"/>
      <c r="M2900"/>
      <c r="N2900"/>
      <c r="O2900"/>
      <c r="P2900" s="225"/>
      <c r="Q2900" s="225"/>
      <c r="R2900"/>
      <c r="S2900"/>
      <c r="T2900"/>
      <c r="U2900"/>
      <c r="V2900"/>
      <c r="W2900"/>
      <c r="X2900"/>
    </row>
    <row r="2901" spans="5:24" x14ac:dyDescent="0.3">
      <c r="E2901" s="173"/>
      <c r="F2901" s="173"/>
      <c r="I2901"/>
      <c r="J2901"/>
      <c r="K2901"/>
      <c r="L2901"/>
      <c r="M2901"/>
      <c r="N2901"/>
      <c r="O2901"/>
      <c r="P2901" s="225"/>
      <c r="Q2901" s="225"/>
      <c r="R2901"/>
      <c r="S2901"/>
      <c r="T2901"/>
      <c r="U2901"/>
      <c r="V2901"/>
      <c r="W2901"/>
      <c r="X2901"/>
    </row>
    <row r="2902" spans="5:24" x14ac:dyDescent="0.3">
      <c r="E2902" s="173"/>
      <c r="F2902" s="173"/>
      <c r="I2902"/>
      <c r="J2902"/>
      <c r="K2902"/>
      <c r="L2902"/>
      <c r="M2902"/>
      <c r="N2902"/>
      <c r="O2902"/>
      <c r="P2902" s="225"/>
      <c r="Q2902" s="225"/>
      <c r="R2902"/>
      <c r="S2902"/>
      <c r="T2902"/>
      <c r="U2902"/>
      <c r="V2902"/>
      <c r="W2902"/>
      <c r="X2902"/>
    </row>
    <row r="2903" spans="5:24" x14ac:dyDescent="0.3">
      <c r="E2903" s="173"/>
      <c r="F2903" s="173"/>
      <c r="I2903"/>
      <c r="J2903"/>
      <c r="K2903"/>
      <c r="L2903"/>
      <c r="M2903"/>
      <c r="N2903"/>
      <c r="O2903"/>
      <c r="P2903" s="225"/>
      <c r="Q2903" s="225"/>
      <c r="R2903"/>
      <c r="S2903"/>
      <c r="T2903"/>
      <c r="U2903"/>
      <c r="V2903"/>
      <c r="W2903"/>
      <c r="X2903"/>
    </row>
    <row r="2904" spans="5:24" x14ac:dyDescent="0.3">
      <c r="E2904" s="173"/>
      <c r="F2904" s="173"/>
      <c r="I2904"/>
      <c r="J2904"/>
      <c r="K2904"/>
      <c r="L2904"/>
      <c r="M2904"/>
      <c r="N2904"/>
      <c r="O2904"/>
      <c r="P2904" s="225"/>
      <c r="Q2904" s="225"/>
      <c r="R2904"/>
      <c r="S2904"/>
      <c r="T2904"/>
      <c r="U2904"/>
      <c r="V2904"/>
      <c r="W2904"/>
      <c r="X2904"/>
    </row>
    <row r="2905" spans="5:24" x14ac:dyDescent="0.3">
      <c r="E2905" s="173"/>
      <c r="F2905" s="173"/>
      <c r="I2905"/>
      <c r="J2905"/>
      <c r="K2905"/>
      <c r="L2905"/>
      <c r="M2905"/>
      <c r="N2905"/>
      <c r="O2905"/>
      <c r="P2905" s="225"/>
      <c r="Q2905" s="225"/>
      <c r="R2905"/>
      <c r="S2905"/>
      <c r="T2905"/>
      <c r="U2905"/>
      <c r="V2905"/>
      <c r="W2905"/>
      <c r="X2905"/>
    </row>
    <row r="2906" spans="5:24" x14ac:dyDescent="0.3">
      <c r="E2906" s="173"/>
      <c r="F2906" s="173"/>
      <c r="I2906"/>
      <c r="J2906"/>
      <c r="K2906"/>
      <c r="L2906"/>
      <c r="M2906"/>
      <c r="N2906"/>
      <c r="O2906"/>
      <c r="P2906" s="225"/>
      <c r="Q2906" s="225"/>
      <c r="R2906"/>
      <c r="S2906"/>
      <c r="T2906"/>
      <c r="U2906"/>
      <c r="V2906"/>
      <c r="W2906"/>
      <c r="X2906"/>
    </row>
    <row r="2907" spans="5:24" x14ac:dyDescent="0.3">
      <c r="E2907" s="173"/>
      <c r="F2907" s="173"/>
      <c r="I2907"/>
      <c r="J2907"/>
      <c r="K2907"/>
      <c r="L2907"/>
      <c r="M2907"/>
      <c r="N2907"/>
      <c r="O2907"/>
      <c r="P2907" s="225"/>
      <c r="Q2907" s="225"/>
      <c r="R2907"/>
      <c r="S2907"/>
      <c r="T2907"/>
      <c r="U2907"/>
      <c r="V2907"/>
      <c r="W2907"/>
      <c r="X2907"/>
    </row>
    <row r="2908" spans="5:24" x14ac:dyDescent="0.3">
      <c r="E2908" s="173"/>
      <c r="F2908" s="173"/>
      <c r="I2908"/>
      <c r="J2908"/>
      <c r="K2908"/>
      <c r="L2908"/>
      <c r="M2908"/>
      <c r="N2908"/>
      <c r="O2908"/>
      <c r="P2908" s="225"/>
      <c r="Q2908" s="225"/>
      <c r="R2908"/>
      <c r="S2908"/>
      <c r="T2908"/>
      <c r="U2908"/>
      <c r="V2908"/>
      <c r="W2908"/>
      <c r="X2908"/>
    </row>
    <row r="2909" spans="5:24" x14ac:dyDescent="0.3">
      <c r="E2909" s="173"/>
      <c r="F2909" s="173"/>
      <c r="I2909"/>
      <c r="J2909"/>
      <c r="K2909"/>
      <c r="L2909"/>
      <c r="M2909"/>
      <c r="N2909"/>
      <c r="O2909"/>
      <c r="P2909" s="225"/>
      <c r="Q2909" s="225"/>
      <c r="R2909"/>
      <c r="S2909"/>
      <c r="T2909"/>
      <c r="U2909"/>
      <c r="V2909"/>
      <c r="W2909"/>
      <c r="X2909"/>
    </row>
    <row r="2910" spans="5:24" x14ac:dyDescent="0.3">
      <c r="E2910" s="173"/>
      <c r="F2910" s="173"/>
      <c r="I2910"/>
      <c r="J2910"/>
      <c r="K2910"/>
      <c r="L2910"/>
      <c r="M2910"/>
      <c r="N2910"/>
      <c r="O2910"/>
      <c r="P2910" s="225"/>
      <c r="Q2910" s="225"/>
      <c r="R2910"/>
      <c r="S2910"/>
      <c r="T2910"/>
      <c r="U2910"/>
      <c r="V2910"/>
      <c r="W2910"/>
      <c r="X2910"/>
    </row>
    <row r="2911" spans="5:24" x14ac:dyDescent="0.3">
      <c r="E2911" s="173"/>
      <c r="F2911" s="173"/>
      <c r="I2911"/>
      <c r="J2911"/>
      <c r="K2911"/>
      <c r="L2911"/>
      <c r="M2911"/>
      <c r="N2911"/>
      <c r="O2911"/>
      <c r="P2911" s="225"/>
      <c r="Q2911" s="225"/>
      <c r="R2911"/>
      <c r="S2911"/>
      <c r="T2911"/>
      <c r="U2911"/>
      <c r="V2911"/>
      <c r="W2911"/>
      <c r="X2911"/>
    </row>
    <row r="2912" spans="5:24" x14ac:dyDescent="0.3">
      <c r="E2912" s="173"/>
      <c r="F2912" s="173"/>
      <c r="I2912"/>
      <c r="J2912"/>
      <c r="K2912"/>
      <c r="L2912"/>
      <c r="M2912"/>
      <c r="N2912"/>
      <c r="O2912"/>
      <c r="P2912" s="225"/>
      <c r="Q2912" s="225"/>
      <c r="R2912"/>
      <c r="S2912"/>
      <c r="T2912"/>
      <c r="U2912"/>
      <c r="V2912"/>
      <c r="W2912"/>
      <c r="X2912"/>
    </row>
    <row r="2913" spans="5:24" x14ac:dyDescent="0.3">
      <c r="E2913" s="173"/>
      <c r="F2913" s="173"/>
      <c r="I2913"/>
      <c r="J2913"/>
      <c r="K2913"/>
      <c r="L2913"/>
      <c r="M2913"/>
      <c r="N2913"/>
      <c r="O2913"/>
      <c r="P2913" s="225"/>
      <c r="Q2913" s="225"/>
      <c r="R2913"/>
      <c r="S2913"/>
      <c r="T2913"/>
      <c r="U2913"/>
      <c r="V2913"/>
      <c r="W2913"/>
      <c r="X2913"/>
    </row>
    <row r="2914" spans="5:24" x14ac:dyDescent="0.3">
      <c r="E2914" s="173"/>
      <c r="F2914" s="173"/>
      <c r="I2914"/>
      <c r="J2914"/>
      <c r="K2914"/>
      <c r="L2914"/>
      <c r="M2914"/>
      <c r="N2914"/>
      <c r="O2914"/>
      <c r="P2914" s="225"/>
      <c r="Q2914" s="225"/>
      <c r="R2914"/>
      <c r="S2914"/>
      <c r="T2914"/>
      <c r="U2914"/>
      <c r="V2914"/>
      <c r="W2914"/>
      <c r="X2914"/>
    </row>
    <row r="2915" spans="5:24" x14ac:dyDescent="0.3">
      <c r="E2915" s="173"/>
      <c r="F2915" s="173"/>
      <c r="I2915"/>
      <c r="J2915"/>
      <c r="K2915"/>
      <c r="L2915"/>
      <c r="M2915"/>
      <c r="N2915"/>
      <c r="O2915"/>
      <c r="P2915" s="225"/>
      <c r="Q2915" s="225"/>
      <c r="R2915"/>
      <c r="S2915"/>
      <c r="T2915"/>
      <c r="U2915"/>
      <c r="V2915"/>
      <c r="W2915"/>
      <c r="X2915"/>
    </row>
    <row r="2916" spans="5:24" x14ac:dyDescent="0.3">
      <c r="E2916" s="173"/>
      <c r="F2916" s="173"/>
      <c r="I2916"/>
      <c r="J2916"/>
      <c r="K2916"/>
      <c r="L2916"/>
      <c r="M2916"/>
      <c r="N2916"/>
      <c r="O2916"/>
      <c r="P2916" s="225"/>
      <c r="Q2916" s="225"/>
      <c r="R2916"/>
      <c r="S2916"/>
      <c r="T2916"/>
      <c r="U2916"/>
      <c r="V2916"/>
      <c r="W2916"/>
      <c r="X2916"/>
    </row>
    <row r="2917" spans="5:24" x14ac:dyDescent="0.3">
      <c r="E2917" s="173"/>
      <c r="F2917" s="173"/>
      <c r="I2917"/>
      <c r="J2917"/>
      <c r="K2917"/>
      <c r="L2917"/>
      <c r="M2917"/>
      <c r="N2917"/>
      <c r="O2917"/>
      <c r="P2917" s="225"/>
      <c r="Q2917" s="225"/>
      <c r="R2917"/>
      <c r="S2917"/>
      <c r="T2917"/>
      <c r="U2917"/>
      <c r="V2917"/>
      <c r="W2917"/>
      <c r="X2917"/>
    </row>
    <row r="2918" spans="5:24" x14ac:dyDescent="0.3">
      <c r="E2918" s="173"/>
      <c r="F2918" s="173"/>
      <c r="I2918"/>
      <c r="J2918"/>
      <c r="K2918"/>
      <c r="L2918"/>
      <c r="M2918"/>
      <c r="N2918"/>
      <c r="O2918"/>
      <c r="P2918" s="225"/>
      <c r="Q2918" s="225"/>
      <c r="R2918"/>
      <c r="S2918"/>
      <c r="T2918"/>
      <c r="U2918"/>
      <c r="V2918"/>
      <c r="W2918"/>
      <c r="X2918"/>
    </row>
    <row r="2919" spans="5:24" x14ac:dyDescent="0.3">
      <c r="E2919" s="173"/>
      <c r="F2919" s="173"/>
      <c r="I2919"/>
      <c r="J2919"/>
      <c r="K2919"/>
      <c r="L2919"/>
      <c r="M2919"/>
      <c r="N2919"/>
      <c r="O2919"/>
      <c r="P2919" s="225"/>
      <c r="Q2919" s="225"/>
      <c r="R2919"/>
      <c r="S2919"/>
      <c r="T2919"/>
      <c r="U2919"/>
      <c r="V2919"/>
      <c r="W2919"/>
      <c r="X2919"/>
    </row>
    <row r="2920" spans="5:24" x14ac:dyDescent="0.3">
      <c r="E2920" s="173"/>
      <c r="F2920" s="173"/>
      <c r="I2920"/>
      <c r="J2920"/>
      <c r="K2920"/>
      <c r="L2920"/>
      <c r="M2920"/>
      <c r="N2920"/>
      <c r="O2920"/>
      <c r="P2920" s="225"/>
      <c r="Q2920" s="225"/>
      <c r="R2920"/>
      <c r="S2920"/>
      <c r="T2920"/>
      <c r="U2920"/>
      <c r="V2920"/>
      <c r="W2920"/>
      <c r="X2920"/>
    </row>
    <row r="2921" spans="5:24" x14ac:dyDescent="0.3">
      <c r="E2921" s="173"/>
      <c r="F2921" s="173"/>
      <c r="I2921"/>
      <c r="J2921"/>
      <c r="K2921"/>
      <c r="L2921"/>
      <c r="M2921"/>
      <c r="N2921"/>
      <c r="O2921"/>
      <c r="P2921" s="225"/>
      <c r="Q2921" s="225"/>
      <c r="R2921"/>
      <c r="S2921"/>
      <c r="T2921"/>
      <c r="U2921"/>
      <c r="V2921"/>
      <c r="W2921"/>
      <c r="X2921"/>
    </row>
    <row r="2922" spans="5:24" x14ac:dyDescent="0.3">
      <c r="E2922" s="173"/>
      <c r="F2922" s="173"/>
      <c r="I2922"/>
      <c r="J2922"/>
      <c r="K2922"/>
      <c r="L2922"/>
      <c r="M2922"/>
      <c r="N2922"/>
      <c r="O2922"/>
      <c r="P2922" s="225"/>
      <c r="Q2922" s="225"/>
      <c r="R2922"/>
      <c r="S2922"/>
      <c r="T2922"/>
      <c r="U2922"/>
      <c r="V2922"/>
      <c r="W2922"/>
      <c r="X2922"/>
    </row>
    <row r="2923" spans="5:24" x14ac:dyDescent="0.3">
      <c r="E2923" s="173"/>
      <c r="F2923" s="173"/>
      <c r="I2923"/>
      <c r="J2923"/>
      <c r="K2923"/>
      <c r="L2923"/>
      <c r="M2923"/>
      <c r="N2923"/>
      <c r="O2923"/>
      <c r="P2923" s="225"/>
      <c r="Q2923" s="225"/>
      <c r="R2923"/>
      <c r="S2923"/>
      <c r="T2923"/>
      <c r="U2923"/>
      <c r="V2923"/>
      <c r="W2923"/>
      <c r="X2923"/>
    </row>
    <row r="2924" spans="5:24" x14ac:dyDescent="0.3">
      <c r="E2924" s="173"/>
      <c r="F2924" s="173"/>
      <c r="I2924"/>
      <c r="J2924"/>
      <c r="K2924"/>
      <c r="L2924"/>
      <c r="M2924"/>
      <c r="N2924"/>
      <c r="O2924"/>
      <c r="P2924" s="225"/>
      <c r="Q2924" s="225"/>
      <c r="R2924"/>
      <c r="S2924"/>
      <c r="T2924"/>
      <c r="U2924"/>
      <c r="V2924"/>
      <c r="W2924"/>
      <c r="X2924"/>
    </row>
    <row r="2925" spans="5:24" x14ac:dyDescent="0.3">
      <c r="E2925" s="173"/>
      <c r="F2925" s="173"/>
      <c r="I2925"/>
      <c r="J2925"/>
      <c r="K2925"/>
      <c r="L2925"/>
      <c r="M2925"/>
      <c r="N2925"/>
      <c r="O2925"/>
      <c r="P2925" s="225"/>
      <c r="Q2925" s="225"/>
      <c r="R2925"/>
      <c r="S2925"/>
      <c r="T2925"/>
      <c r="U2925"/>
      <c r="V2925"/>
      <c r="W2925"/>
      <c r="X2925"/>
    </row>
    <row r="2926" spans="5:24" x14ac:dyDescent="0.3">
      <c r="E2926" s="173"/>
      <c r="F2926" s="173"/>
      <c r="I2926"/>
      <c r="J2926"/>
      <c r="K2926"/>
      <c r="L2926"/>
      <c r="M2926"/>
      <c r="N2926"/>
      <c r="O2926"/>
      <c r="P2926" s="225"/>
      <c r="Q2926" s="225"/>
      <c r="R2926"/>
      <c r="S2926"/>
      <c r="T2926"/>
      <c r="U2926"/>
      <c r="V2926"/>
      <c r="W2926"/>
      <c r="X2926"/>
    </row>
    <row r="2927" spans="5:24" x14ac:dyDescent="0.3">
      <c r="E2927" s="173"/>
      <c r="F2927" s="173"/>
      <c r="I2927"/>
      <c r="J2927"/>
      <c r="K2927"/>
      <c r="L2927"/>
      <c r="M2927"/>
      <c r="N2927"/>
      <c r="O2927"/>
      <c r="P2927" s="225"/>
      <c r="Q2927" s="225"/>
      <c r="R2927"/>
      <c r="S2927"/>
      <c r="T2927"/>
      <c r="U2927"/>
      <c r="V2927"/>
      <c r="W2927"/>
      <c r="X2927"/>
    </row>
    <row r="2928" spans="5:24" x14ac:dyDescent="0.3">
      <c r="E2928" s="173"/>
      <c r="F2928" s="173"/>
      <c r="I2928"/>
      <c r="J2928"/>
      <c r="K2928"/>
      <c r="L2928"/>
      <c r="M2928"/>
      <c r="N2928"/>
      <c r="O2928"/>
      <c r="P2928" s="225"/>
      <c r="Q2928" s="225"/>
      <c r="R2928"/>
      <c r="S2928"/>
      <c r="T2928"/>
      <c r="U2928"/>
      <c r="V2928"/>
      <c r="W2928"/>
      <c r="X2928"/>
    </row>
    <row r="2929" spans="5:24" x14ac:dyDescent="0.3">
      <c r="E2929" s="173"/>
      <c r="F2929" s="173"/>
      <c r="I2929"/>
      <c r="J2929"/>
      <c r="K2929"/>
      <c r="L2929"/>
      <c r="M2929"/>
      <c r="N2929"/>
      <c r="O2929"/>
      <c r="P2929" s="225"/>
      <c r="Q2929" s="225"/>
      <c r="R2929"/>
      <c r="S2929"/>
      <c r="T2929"/>
      <c r="U2929"/>
      <c r="V2929"/>
      <c r="W2929"/>
      <c r="X2929"/>
    </row>
    <row r="2930" spans="5:24" x14ac:dyDescent="0.3">
      <c r="E2930" s="173"/>
      <c r="F2930" s="173"/>
      <c r="I2930"/>
      <c r="J2930"/>
      <c r="K2930"/>
      <c r="L2930"/>
      <c r="M2930"/>
      <c r="N2930"/>
      <c r="O2930"/>
      <c r="P2930" s="225"/>
      <c r="Q2930" s="225"/>
      <c r="R2930"/>
      <c r="S2930"/>
      <c r="T2930"/>
      <c r="U2930"/>
      <c r="V2930"/>
      <c r="W2930"/>
      <c r="X2930"/>
    </row>
    <row r="2931" spans="5:24" x14ac:dyDescent="0.3">
      <c r="E2931" s="173"/>
      <c r="F2931" s="173"/>
      <c r="I2931"/>
      <c r="J2931"/>
      <c r="K2931"/>
      <c r="L2931"/>
      <c r="M2931"/>
      <c r="N2931"/>
      <c r="O2931"/>
      <c r="P2931" s="225"/>
      <c r="Q2931" s="225"/>
      <c r="R2931"/>
      <c r="S2931"/>
      <c r="T2931"/>
      <c r="U2931"/>
      <c r="V2931"/>
      <c r="W2931"/>
      <c r="X2931"/>
    </row>
    <row r="2932" spans="5:24" x14ac:dyDescent="0.3">
      <c r="E2932" s="173"/>
      <c r="F2932" s="173"/>
      <c r="I2932"/>
      <c r="J2932"/>
      <c r="K2932"/>
      <c r="L2932"/>
      <c r="M2932"/>
      <c r="N2932"/>
      <c r="O2932"/>
      <c r="P2932" s="225"/>
      <c r="Q2932" s="225"/>
      <c r="R2932"/>
      <c r="S2932"/>
      <c r="T2932"/>
      <c r="U2932"/>
      <c r="V2932"/>
      <c r="W2932"/>
      <c r="X2932"/>
    </row>
    <row r="2933" spans="5:24" x14ac:dyDescent="0.3">
      <c r="E2933" s="173"/>
      <c r="F2933" s="173"/>
      <c r="I2933"/>
      <c r="J2933"/>
      <c r="K2933"/>
      <c r="L2933"/>
      <c r="M2933"/>
      <c r="N2933"/>
      <c r="O2933"/>
      <c r="P2933" s="225"/>
      <c r="Q2933" s="225"/>
      <c r="R2933"/>
      <c r="S2933"/>
      <c r="T2933"/>
      <c r="U2933"/>
      <c r="V2933"/>
      <c r="W2933"/>
      <c r="X2933"/>
    </row>
    <row r="2934" spans="5:24" x14ac:dyDescent="0.3">
      <c r="E2934" s="173"/>
      <c r="F2934" s="173"/>
      <c r="I2934"/>
      <c r="J2934"/>
      <c r="K2934"/>
      <c r="L2934"/>
      <c r="M2934"/>
      <c r="N2934"/>
      <c r="O2934"/>
      <c r="P2934" s="225"/>
      <c r="Q2934" s="225"/>
      <c r="R2934"/>
      <c r="S2934"/>
      <c r="T2934"/>
      <c r="U2934"/>
      <c r="V2934"/>
      <c r="W2934"/>
      <c r="X2934"/>
    </row>
    <row r="2935" spans="5:24" x14ac:dyDescent="0.3">
      <c r="E2935" s="173"/>
      <c r="F2935" s="173"/>
      <c r="I2935"/>
      <c r="J2935"/>
      <c r="K2935"/>
      <c r="L2935"/>
      <c r="M2935"/>
      <c r="N2935"/>
      <c r="O2935"/>
      <c r="P2935" s="225"/>
      <c r="Q2935" s="225"/>
      <c r="R2935"/>
      <c r="S2935"/>
      <c r="T2935"/>
      <c r="U2935"/>
      <c r="V2935"/>
      <c r="W2935"/>
      <c r="X2935"/>
    </row>
    <row r="2936" spans="5:24" x14ac:dyDescent="0.3">
      <c r="E2936" s="173"/>
      <c r="F2936" s="173"/>
      <c r="I2936"/>
      <c r="J2936"/>
      <c r="K2936"/>
      <c r="L2936"/>
      <c r="M2936"/>
      <c r="N2936"/>
      <c r="O2936"/>
      <c r="P2936" s="225"/>
      <c r="Q2936" s="225"/>
      <c r="R2936"/>
      <c r="S2936"/>
      <c r="T2936"/>
      <c r="U2936"/>
      <c r="V2936"/>
      <c r="W2936"/>
      <c r="X2936"/>
    </row>
    <row r="2937" spans="5:24" x14ac:dyDescent="0.3">
      <c r="E2937" s="173"/>
      <c r="F2937" s="173"/>
      <c r="I2937"/>
      <c r="J2937"/>
      <c r="K2937"/>
      <c r="L2937"/>
      <c r="M2937"/>
      <c r="N2937"/>
      <c r="O2937"/>
      <c r="P2937" s="225"/>
      <c r="Q2937" s="225"/>
      <c r="R2937"/>
      <c r="S2937"/>
      <c r="T2937"/>
      <c r="U2937"/>
      <c r="V2937"/>
      <c r="W2937"/>
      <c r="X2937"/>
    </row>
    <row r="2938" spans="5:24" x14ac:dyDescent="0.3">
      <c r="E2938" s="173"/>
      <c r="F2938" s="173"/>
      <c r="I2938"/>
      <c r="J2938"/>
      <c r="K2938"/>
      <c r="L2938"/>
      <c r="M2938"/>
      <c r="N2938"/>
      <c r="O2938"/>
      <c r="P2938" s="225"/>
      <c r="Q2938" s="225"/>
      <c r="R2938"/>
      <c r="S2938"/>
      <c r="T2938"/>
      <c r="U2938"/>
      <c r="V2938"/>
      <c r="W2938"/>
      <c r="X2938"/>
    </row>
    <row r="2939" spans="5:24" x14ac:dyDescent="0.3">
      <c r="E2939" s="173"/>
      <c r="F2939" s="173"/>
      <c r="I2939"/>
      <c r="J2939"/>
      <c r="K2939"/>
      <c r="L2939"/>
      <c r="M2939"/>
      <c r="N2939"/>
      <c r="O2939"/>
      <c r="P2939" s="225"/>
      <c r="Q2939" s="225"/>
      <c r="R2939"/>
      <c r="S2939"/>
      <c r="T2939"/>
      <c r="U2939"/>
      <c r="V2939"/>
      <c r="W2939"/>
      <c r="X2939"/>
    </row>
    <row r="2940" spans="5:24" x14ac:dyDescent="0.3">
      <c r="E2940" s="173"/>
      <c r="F2940" s="173"/>
      <c r="I2940"/>
      <c r="J2940"/>
      <c r="K2940"/>
      <c r="L2940"/>
      <c r="M2940"/>
      <c r="N2940"/>
      <c r="O2940"/>
      <c r="P2940" s="225"/>
      <c r="Q2940" s="225"/>
      <c r="R2940"/>
      <c r="S2940"/>
      <c r="T2940"/>
      <c r="U2940"/>
      <c r="V2940"/>
      <c r="W2940"/>
      <c r="X2940"/>
    </row>
    <row r="2941" spans="5:24" x14ac:dyDescent="0.3">
      <c r="E2941" s="173"/>
      <c r="F2941" s="173"/>
      <c r="I2941"/>
      <c r="J2941"/>
      <c r="K2941"/>
      <c r="L2941"/>
      <c r="M2941"/>
      <c r="N2941"/>
      <c r="O2941"/>
      <c r="P2941" s="225"/>
      <c r="Q2941" s="225"/>
      <c r="R2941"/>
      <c r="S2941"/>
      <c r="T2941"/>
      <c r="U2941"/>
      <c r="V2941"/>
      <c r="W2941"/>
      <c r="X2941"/>
    </row>
    <row r="2942" spans="5:24" x14ac:dyDescent="0.3">
      <c r="E2942" s="173"/>
      <c r="F2942" s="173"/>
      <c r="I2942"/>
      <c r="J2942"/>
      <c r="K2942"/>
      <c r="L2942"/>
      <c r="M2942"/>
      <c r="N2942"/>
      <c r="O2942"/>
      <c r="P2942" s="225"/>
      <c r="Q2942" s="225"/>
      <c r="R2942"/>
      <c r="S2942"/>
      <c r="T2942"/>
      <c r="U2942"/>
      <c r="V2942"/>
      <c r="W2942"/>
      <c r="X2942"/>
    </row>
    <row r="2943" spans="5:24" x14ac:dyDescent="0.3">
      <c r="E2943" s="173"/>
      <c r="F2943" s="173"/>
      <c r="I2943"/>
      <c r="J2943"/>
      <c r="K2943"/>
      <c r="L2943"/>
      <c r="M2943"/>
      <c r="N2943"/>
      <c r="O2943"/>
      <c r="P2943" s="225"/>
      <c r="Q2943" s="225"/>
      <c r="R2943"/>
      <c r="S2943"/>
      <c r="T2943"/>
      <c r="U2943"/>
      <c r="V2943"/>
      <c r="W2943"/>
      <c r="X2943"/>
    </row>
    <row r="2944" spans="5:24" x14ac:dyDescent="0.3">
      <c r="E2944" s="173"/>
      <c r="F2944" s="173"/>
      <c r="I2944"/>
      <c r="J2944"/>
      <c r="K2944"/>
      <c r="L2944"/>
      <c r="M2944"/>
      <c r="N2944"/>
      <c r="O2944"/>
      <c r="P2944" s="225"/>
      <c r="Q2944" s="225"/>
      <c r="R2944"/>
      <c r="S2944"/>
      <c r="T2944"/>
      <c r="U2944"/>
      <c r="V2944"/>
      <c r="W2944"/>
      <c r="X2944"/>
    </row>
    <row r="2945" spans="5:24" x14ac:dyDescent="0.3">
      <c r="E2945" s="173"/>
      <c r="F2945" s="173"/>
      <c r="I2945"/>
      <c r="J2945"/>
      <c r="K2945"/>
      <c r="L2945"/>
      <c r="M2945"/>
      <c r="N2945"/>
      <c r="O2945"/>
      <c r="P2945" s="225"/>
      <c r="Q2945" s="225"/>
      <c r="R2945"/>
      <c r="S2945"/>
      <c r="T2945"/>
      <c r="U2945"/>
      <c r="V2945"/>
      <c r="W2945"/>
      <c r="X2945"/>
    </row>
    <row r="2946" spans="5:24" x14ac:dyDescent="0.3">
      <c r="E2946" s="173"/>
      <c r="F2946" s="173"/>
      <c r="I2946"/>
      <c r="J2946"/>
      <c r="K2946"/>
      <c r="L2946"/>
      <c r="M2946"/>
      <c r="N2946"/>
      <c r="O2946"/>
      <c r="P2946" s="225"/>
      <c r="Q2946" s="225"/>
      <c r="R2946"/>
      <c r="S2946"/>
      <c r="T2946"/>
      <c r="U2946"/>
      <c r="V2946"/>
      <c r="W2946"/>
      <c r="X2946"/>
    </row>
    <row r="2947" spans="5:24" x14ac:dyDescent="0.3">
      <c r="E2947" s="173"/>
      <c r="F2947" s="173"/>
      <c r="I2947"/>
      <c r="J2947"/>
      <c r="K2947"/>
      <c r="L2947"/>
      <c r="M2947"/>
      <c r="N2947"/>
      <c r="O2947"/>
      <c r="P2947" s="225"/>
      <c r="Q2947" s="225"/>
      <c r="R2947"/>
      <c r="S2947"/>
      <c r="T2947"/>
      <c r="U2947"/>
      <c r="V2947"/>
      <c r="W2947"/>
      <c r="X2947"/>
    </row>
    <row r="2948" spans="5:24" x14ac:dyDescent="0.3">
      <c r="E2948" s="173"/>
      <c r="F2948" s="173"/>
      <c r="I2948"/>
      <c r="J2948"/>
      <c r="K2948"/>
      <c r="L2948"/>
      <c r="M2948"/>
      <c r="N2948"/>
      <c r="O2948"/>
      <c r="P2948" s="225"/>
      <c r="Q2948" s="225"/>
      <c r="R2948"/>
      <c r="S2948"/>
      <c r="T2948"/>
      <c r="U2948"/>
      <c r="V2948"/>
      <c r="W2948"/>
      <c r="X2948"/>
    </row>
    <row r="2949" spans="5:24" x14ac:dyDescent="0.3">
      <c r="E2949" s="173"/>
      <c r="F2949" s="173"/>
      <c r="I2949"/>
      <c r="J2949"/>
      <c r="K2949"/>
      <c r="L2949"/>
      <c r="M2949"/>
      <c r="N2949"/>
      <c r="O2949"/>
      <c r="P2949" s="225"/>
      <c r="Q2949" s="225"/>
      <c r="R2949"/>
      <c r="S2949"/>
      <c r="T2949"/>
      <c r="U2949"/>
      <c r="V2949"/>
      <c r="W2949"/>
      <c r="X2949"/>
    </row>
    <row r="2950" spans="5:24" x14ac:dyDescent="0.3">
      <c r="E2950" s="173"/>
      <c r="F2950" s="173"/>
      <c r="I2950"/>
      <c r="J2950"/>
      <c r="K2950"/>
      <c r="L2950"/>
      <c r="M2950"/>
      <c r="N2950"/>
      <c r="O2950"/>
      <c r="P2950" s="225"/>
      <c r="Q2950" s="225"/>
      <c r="R2950"/>
      <c r="S2950"/>
      <c r="T2950"/>
      <c r="U2950"/>
      <c r="V2950"/>
      <c r="W2950"/>
      <c r="X2950"/>
    </row>
    <row r="2951" spans="5:24" x14ac:dyDescent="0.3">
      <c r="E2951" s="173"/>
      <c r="F2951" s="173"/>
      <c r="I2951"/>
      <c r="J2951"/>
      <c r="K2951"/>
      <c r="L2951"/>
      <c r="M2951"/>
      <c r="N2951"/>
      <c r="O2951"/>
      <c r="P2951" s="225"/>
      <c r="Q2951" s="225"/>
      <c r="R2951"/>
      <c r="S2951"/>
      <c r="T2951"/>
      <c r="U2951"/>
      <c r="V2951"/>
      <c r="W2951"/>
      <c r="X2951"/>
    </row>
    <row r="2952" spans="5:24" x14ac:dyDescent="0.3">
      <c r="E2952" s="173"/>
      <c r="F2952" s="173"/>
      <c r="I2952"/>
      <c r="J2952"/>
      <c r="K2952"/>
      <c r="L2952"/>
      <c r="M2952"/>
      <c r="N2952"/>
      <c r="O2952"/>
      <c r="P2952" s="225"/>
      <c r="Q2952" s="225"/>
      <c r="R2952"/>
      <c r="S2952"/>
      <c r="T2952"/>
      <c r="U2952"/>
      <c r="V2952"/>
      <c r="W2952"/>
      <c r="X2952"/>
    </row>
    <row r="2953" spans="5:24" x14ac:dyDescent="0.3">
      <c r="E2953" s="173"/>
      <c r="F2953" s="173"/>
      <c r="I2953"/>
      <c r="J2953"/>
      <c r="K2953"/>
      <c r="L2953"/>
      <c r="M2953"/>
      <c r="N2953"/>
      <c r="O2953"/>
      <c r="P2953" s="225"/>
      <c r="Q2953" s="225"/>
      <c r="R2953"/>
      <c r="S2953"/>
      <c r="T2953"/>
      <c r="U2953"/>
      <c r="V2953"/>
      <c r="W2953"/>
      <c r="X2953"/>
    </row>
    <row r="2954" spans="5:24" x14ac:dyDescent="0.3">
      <c r="E2954" s="173"/>
      <c r="F2954" s="173"/>
      <c r="I2954"/>
      <c r="J2954"/>
      <c r="K2954"/>
      <c r="L2954"/>
      <c r="M2954"/>
      <c r="N2954"/>
      <c r="O2954"/>
      <c r="P2954" s="225"/>
      <c r="Q2954" s="225"/>
      <c r="R2954"/>
      <c r="S2954"/>
      <c r="T2954"/>
      <c r="U2954"/>
      <c r="V2954"/>
      <c r="W2954"/>
      <c r="X2954"/>
    </row>
    <row r="2955" spans="5:24" x14ac:dyDescent="0.3">
      <c r="E2955" s="173"/>
      <c r="F2955" s="173"/>
      <c r="I2955"/>
      <c r="J2955"/>
      <c r="K2955"/>
      <c r="L2955"/>
      <c r="M2955"/>
      <c r="N2955"/>
      <c r="O2955"/>
      <c r="P2955" s="225"/>
      <c r="Q2955" s="225"/>
      <c r="R2955"/>
      <c r="S2955"/>
      <c r="T2955"/>
      <c r="U2955"/>
      <c r="V2955"/>
      <c r="W2955"/>
      <c r="X2955"/>
    </row>
    <row r="2956" spans="5:24" x14ac:dyDescent="0.3">
      <c r="E2956" s="173"/>
      <c r="F2956" s="173"/>
      <c r="I2956"/>
      <c r="J2956"/>
      <c r="K2956"/>
      <c r="L2956"/>
      <c r="M2956"/>
      <c r="N2956"/>
      <c r="O2956"/>
      <c r="P2956" s="225"/>
      <c r="Q2956" s="225"/>
      <c r="R2956"/>
      <c r="S2956"/>
      <c r="T2956"/>
      <c r="U2956"/>
      <c r="V2956"/>
      <c r="W2956"/>
      <c r="X2956"/>
    </row>
    <row r="2957" spans="5:24" x14ac:dyDescent="0.3">
      <c r="E2957" s="173"/>
      <c r="F2957" s="173"/>
      <c r="I2957"/>
      <c r="J2957"/>
      <c r="K2957"/>
      <c r="L2957"/>
      <c r="M2957"/>
      <c r="N2957"/>
      <c r="O2957"/>
      <c r="P2957" s="225"/>
      <c r="Q2957" s="225"/>
      <c r="R2957"/>
      <c r="S2957"/>
      <c r="T2957"/>
      <c r="U2957"/>
      <c r="V2957"/>
      <c r="W2957"/>
      <c r="X2957"/>
    </row>
    <row r="2958" spans="5:24" x14ac:dyDescent="0.3">
      <c r="E2958" s="173"/>
      <c r="F2958" s="173"/>
      <c r="I2958"/>
      <c r="J2958"/>
      <c r="K2958"/>
      <c r="L2958"/>
      <c r="M2958"/>
      <c r="N2958"/>
      <c r="O2958"/>
      <c r="P2958" s="225"/>
      <c r="Q2958" s="225"/>
      <c r="R2958"/>
      <c r="S2958"/>
      <c r="T2958"/>
      <c r="U2958"/>
      <c r="V2958"/>
      <c r="W2958"/>
      <c r="X2958"/>
    </row>
    <row r="2959" spans="5:24" x14ac:dyDescent="0.3">
      <c r="E2959" s="173"/>
      <c r="F2959" s="173"/>
      <c r="I2959"/>
      <c r="J2959"/>
      <c r="K2959"/>
      <c r="L2959"/>
      <c r="M2959"/>
      <c r="N2959"/>
      <c r="O2959"/>
      <c r="P2959" s="225"/>
      <c r="Q2959" s="225"/>
      <c r="R2959"/>
      <c r="S2959"/>
      <c r="T2959"/>
      <c r="U2959"/>
      <c r="V2959"/>
      <c r="W2959"/>
      <c r="X2959"/>
    </row>
    <row r="2960" spans="5:24" x14ac:dyDescent="0.3">
      <c r="E2960" s="173"/>
      <c r="F2960" s="173"/>
      <c r="I2960"/>
      <c r="J2960"/>
      <c r="K2960"/>
      <c r="L2960"/>
      <c r="M2960"/>
      <c r="N2960"/>
      <c r="O2960"/>
      <c r="P2960" s="225"/>
      <c r="Q2960" s="225"/>
      <c r="R2960"/>
      <c r="S2960"/>
      <c r="T2960"/>
      <c r="U2960"/>
      <c r="V2960"/>
      <c r="W2960"/>
      <c r="X2960"/>
    </row>
    <row r="2961" spans="5:24" x14ac:dyDescent="0.3">
      <c r="E2961" s="173"/>
      <c r="F2961" s="173"/>
      <c r="I2961"/>
      <c r="J2961"/>
      <c r="K2961"/>
      <c r="L2961"/>
      <c r="M2961"/>
      <c r="N2961"/>
      <c r="O2961"/>
      <c r="P2961" s="225"/>
      <c r="Q2961" s="225"/>
      <c r="R2961"/>
      <c r="S2961"/>
      <c r="T2961"/>
      <c r="U2961"/>
      <c r="V2961"/>
      <c r="W2961"/>
      <c r="X2961"/>
    </row>
    <row r="2962" spans="5:24" x14ac:dyDescent="0.3">
      <c r="E2962" s="173"/>
      <c r="F2962" s="173"/>
      <c r="I2962"/>
      <c r="J2962"/>
      <c r="K2962"/>
      <c r="L2962"/>
      <c r="M2962"/>
      <c r="N2962"/>
      <c r="O2962"/>
      <c r="P2962" s="225"/>
      <c r="Q2962" s="225"/>
      <c r="R2962"/>
      <c r="S2962"/>
      <c r="T2962"/>
      <c r="U2962"/>
      <c r="V2962"/>
      <c r="W2962"/>
      <c r="X2962"/>
    </row>
    <row r="2963" spans="5:24" x14ac:dyDescent="0.3">
      <c r="E2963" s="173"/>
      <c r="F2963" s="173"/>
      <c r="I2963"/>
      <c r="J2963"/>
      <c r="K2963"/>
      <c r="L2963"/>
      <c r="M2963"/>
      <c r="N2963"/>
      <c r="O2963"/>
      <c r="P2963" s="225"/>
      <c r="Q2963" s="225"/>
      <c r="R2963"/>
      <c r="S2963"/>
      <c r="T2963"/>
      <c r="U2963"/>
      <c r="V2963"/>
      <c r="W2963"/>
      <c r="X2963"/>
    </row>
    <row r="2964" spans="5:24" x14ac:dyDescent="0.3">
      <c r="E2964" s="173"/>
      <c r="F2964" s="173"/>
      <c r="I2964"/>
      <c r="J2964"/>
      <c r="K2964"/>
      <c r="L2964"/>
      <c r="M2964"/>
      <c r="N2964"/>
      <c r="O2964"/>
      <c r="P2964" s="225"/>
      <c r="Q2964" s="225"/>
      <c r="R2964"/>
      <c r="S2964"/>
      <c r="T2964"/>
      <c r="U2964"/>
      <c r="V2964"/>
      <c r="W2964"/>
      <c r="X2964"/>
    </row>
    <row r="2965" spans="5:24" x14ac:dyDescent="0.3">
      <c r="E2965" s="173"/>
      <c r="F2965" s="173"/>
      <c r="I2965"/>
      <c r="J2965"/>
      <c r="K2965"/>
      <c r="L2965"/>
      <c r="M2965"/>
      <c r="N2965"/>
      <c r="O2965"/>
      <c r="P2965" s="225"/>
      <c r="Q2965" s="225"/>
      <c r="R2965"/>
      <c r="S2965"/>
      <c r="T2965"/>
      <c r="U2965"/>
      <c r="V2965"/>
      <c r="W2965"/>
      <c r="X2965"/>
    </row>
    <row r="2966" spans="5:24" x14ac:dyDescent="0.3">
      <c r="E2966" s="173"/>
      <c r="F2966" s="173"/>
      <c r="I2966"/>
      <c r="J2966"/>
      <c r="K2966"/>
      <c r="L2966"/>
      <c r="M2966"/>
      <c r="N2966"/>
      <c r="O2966"/>
      <c r="P2966" s="225"/>
      <c r="Q2966" s="225"/>
      <c r="R2966"/>
      <c r="S2966"/>
      <c r="T2966"/>
      <c r="U2966"/>
      <c r="V2966"/>
      <c r="W2966"/>
      <c r="X2966"/>
    </row>
    <row r="2967" spans="5:24" x14ac:dyDescent="0.3">
      <c r="E2967" s="173"/>
      <c r="F2967" s="173"/>
      <c r="I2967"/>
      <c r="J2967"/>
      <c r="K2967"/>
      <c r="L2967"/>
      <c r="M2967"/>
      <c r="N2967"/>
      <c r="O2967"/>
      <c r="P2967" s="225"/>
      <c r="Q2967" s="225"/>
      <c r="R2967"/>
      <c r="S2967"/>
      <c r="T2967"/>
      <c r="U2967"/>
      <c r="V2967"/>
      <c r="W2967"/>
      <c r="X2967"/>
    </row>
    <row r="2968" spans="5:24" x14ac:dyDescent="0.3">
      <c r="E2968" s="173"/>
      <c r="F2968" s="173"/>
      <c r="I2968"/>
      <c r="J2968"/>
      <c r="K2968"/>
      <c r="L2968"/>
      <c r="M2968"/>
      <c r="N2968"/>
      <c r="O2968"/>
      <c r="P2968" s="225"/>
      <c r="Q2968" s="225"/>
      <c r="R2968"/>
      <c r="S2968"/>
      <c r="T2968"/>
      <c r="U2968"/>
      <c r="V2968"/>
      <c r="W2968"/>
      <c r="X2968"/>
    </row>
    <row r="2969" spans="5:24" x14ac:dyDescent="0.3">
      <c r="E2969" s="173"/>
      <c r="F2969" s="173"/>
      <c r="I2969"/>
      <c r="J2969"/>
      <c r="K2969"/>
      <c r="L2969"/>
      <c r="M2969"/>
      <c r="N2969"/>
      <c r="O2969"/>
      <c r="P2969" s="225"/>
      <c r="Q2969" s="225"/>
      <c r="R2969"/>
      <c r="S2969"/>
      <c r="T2969"/>
      <c r="U2969"/>
      <c r="V2969"/>
      <c r="W2969"/>
      <c r="X2969"/>
    </row>
    <row r="2970" spans="5:24" x14ac:dyDescent="0.3">
      <c r="E2970" s="173"/>
      <c r="F2970" s="173"/>
      <c r="I2970"/>
      <c r="J2970"/>
      <c r="K2970"/>
      <c r="L2970"/>
      <c r="M2970"/>
      <c r="N2970"/>
      <c r="O2970"/>
      <c r="P2970" s="225"/>
      <c r="Q2970" s="225"/>
      <c r="R2970"/>
      <c r="S2970"/>
      <c r="T2970"/>
      <c r="U2970"/>
      <c r="V2970"/>
      <c r="W2970"/>
      <c r="X2970"/>
    </row>
    <row r="2971" spans="5:24" x14ac:dyDescent="0.3">
      <c r="E2971" s="173"/>
      <c r="F2971" s="173"/>
      <c r="I2971"/>
      <c r="J2971"/>
      <c r="K2971"/>
      <c r="L2971"/>
      <c r="M2971"/>
      <c r="N2971"/>
      <c r="O2971"/>
      <c r="P2971" s="225"/>
      <c r="Q2971" s="225"/>
      <c r="R2971"/>
      <c r="S2971"/>
      <c r="T2971"/>
      <c r="U2971"/>
      <c r="V2971"/>
      <c r="W2971"/>
      <c r="X2971"/>
    </row>
    <row r="2972" spans="5:24" x14ac:dyDescent="0.3">
      <c r="E2972" s="173"/>
      <c r="F2972" s="173"/>
      <c r="I2972"/>
      <c r="J2972"/>
      <c r="K2972"/>
      <c r="L2972"/>
      <c r="M2972"/>
      <c r="N2972"/>
      <c r="O2972"/>
      <c r="P2972" s="225"/>
      <c r="Q2972" s="225"/>
      <c r="R2972"/>
      <c r="S2972"/>
      <c r="T2972"/>
      <c r="U2972"/>
      <c r="V2972"/>
      <c r="W2972"/>
      <c r="X2972"/>
    </row>
    <row r="2973" spans="5:24" x14ac:dyDescent="0.3">
      <c r="E2973" s="173"/>
      <c r="F2973" s="173"/>
      <c r="I2973"/>
      <c r="J2973"/>
      <c r="K2973"/>
      <c r="L2973"/>
      <c r="M2973"/>
      <c r="N2973"/>
      <c r="O2973"/>
      <c r="P2973" s="225"/>
      <c r="Q2973" s="225"/>
      <c r="R2973"/>
      <c r="S2973"/>
      <c r="T2973"/>
      <c r="U2973"/>
      <c r="V2973"/>
      <c r="W2973"/>
      <c r="X2973"/>
    </row>
    <row r="2974" spans="5:24" x14ac:dyDescent="0.3">
      <c r="E2974" s="173"/>
      <c r="F2974" s="173"/>
      <c r="I2974"/>
      <c r="J2974"/>
      <c r="K2974"/>
      <c r="L2974"/>
      <c r="M2974"/>
      <c r="N2974"/>
      <c r="O2974"/>
      <c r="P2974" s="225"/>
      <c r="Q2974" s="225"/>
      <c r="R2974"/>
      <c r="S2974"/>
      <c r="T2974"/>
      <c r="U2974"/>
      <c r="V2974"/>
      <c r="W2974"/>
      <c r="X2974"/>
    </row>
    <row r="2975" spans="5:24" x14ac:dyDescent="0.3">
      <c r="E2975" s="173"/>
      <c r="F2975" s="173"/>
      <c r="I2975"/>
      <c r="J2975"/>
      <c r="K2975"/>
      <c r="L2975"/>
      <c r="M2975"/>
      <c r="N2975"/>
      <c r="O2975"/>
      <c r="P2975" s="225"/>
      <c r="Q2975" s="225"/>
      <c r="R2975"/>
      <c r="S2975"/>
      <c r="T2975"/>
      <c r="U2975"/>
      <c r="V2975"/>
      <c r="W2975"/>
      <c r="X2975"/>
    </row>
    <row r="2976" spans="5:24" x14ac:dyDescent="0.3">
      <c r="E2976" s="173"/>
      <c r="F2976" s="173"/>
      <c r="I2976"/>
      <c r="J2976"/>
      <c r="K2976"/>
      <c r="L2976"/>
      <c r="M2976"/>
      <c r="N2976"/>
      <c r="O2976"/>
      <c r="P2976" s="225"/>
      <c r="Q2976" s="225"/>
      <c r="R2976"/>
      <c r="S2976"/>
      <c r="T2976"/>
      <c r="U2976"/>
      <c r="V2976"/>
      <c r="W2976"/>
      <c r="X2976"/>
    </row>
    <row r="2977" spans="5:24" x14ac:dyDescent="0.3">
      <c r="E2977" s="173"/>
      <c r="F2977" s="173"/>
      <c r="I2977"/>
      <c r="J2977"/>
      <c r="K2977"/>
      <c r="L2977"/>
      <c r="M2977"/>
      <c r="N2977"/>
      <c r="O2977"/>
      <c r="P2977" s="225"/>
      <c r="Q2977" s="225"/>
      <c r="R2977"/>
      <c r="S2977"/>
      <c r="T2977"/>
      <c r="U2977"/>
      <c r="V2977"/>
      <c r="W2977"/>
      <c r="X2977"/>
    </row>
    <row r="2978" spans="5:24" x14ac:dyDescent="0.3">
      <c r="E2978" s="173"/>
      <c r="F2978" s="173"/>
      <c r="I2978"/>
      <c r="J2978"/>
      <c r="K2978"/>
      <c r="L2978"/>
      <c r="M2978"/>
      <c r="N2978"/>
      <c r="O2978"/>
      <c r="P2978" s="225"/>
      <c r="Q2978" s="225"/>
      <c r="R2978"/>
      <c r="S2978"/>
      <c r="T2978"/>
      <c r="U2978"/>
      <c r="V2978"/>
      <c r="W2978"/>
      <c r="X2978"/>
    </row>
    <row r="2979" spans="5:24" x14ac:dyDescent="0.3">
      <c r="E2979" s="173"/>
      <c r="F2979" s="173"/>
      <c r="I2979"/>
      <c r="J2979"/>
      <c r="K2979"/>
      <c r="L2979"/>
      <c r="M2979"/>
      <c r="N2979"/>
      <c r="O2979"/>
      <c r="P2979" s="225"/>
      <c r="Q2979" s="225"/>
      <c r="R2979"/>
      <c r="S2979"/>
      <c r="T2979"/>
      <c r="U2979"/>
      <c r="V2979"/>
      <c r="W2979"/>
      <c r="X2979"/>
    </row>
    <row r="2980" spans="5:24" x14ac:dyDescent="0.3">
      <c r="E2980" s="173"/>
      <c r="F2980" s="173"/>
      <c r="I2980"/>
      <c r="J2980"/>
      <c r="K2980"/>
      <c r="L2980"/>
      <c r="M2980"/>
      <c r="N2980"/>
      <c r="O2980"/>
      <c r="P2980" s="225"/>
      <c r="Q2980" s="225"/>
      <c r="R2980"/>
      <c r="S2980"/>
      <c r="T2980"/>
      <c r="U2980"/>
      <c r="V2980"/>
      <c r="W2980"/>
      <c r="X2980"/>
    </row>
    <row r="2981" spans="5:24" x14ac:dyDescent="0.3">
      <c r="E2981" s="173"/>
      <c r="F2981" s="173"/>
      <c r="I2981"/>
      <c r="J2981"/>
      <c r="K2981"/>
      <c r="L2981"/>
      <c r="M2981"/>
      <c r="N2981"/>
      <c r="O2981"/>
      <c r="P2981" s="225"/>
      <c r="Q2981" s="225"/>
      <c r="R2981"/>
      <c r="S2981"/>
      <c r="T2981"/>
      <c r="U2981"/>
      <c r="V2981"/>
      <c r="W2981"/>
      <c r="X2981"/>
    </row>
    <row r="2982" spans="5:24" x14ac:dyDescent="0.3">
      <c r="E2982" s="173"/>
      <c r="F2982" s="173"/>
      <c r="I2982"/>
      <c r="J2982"/>
      <c r="K2982"/>
      <c r="L2982"/>
      <c r="M2982"/>
      <c r="N2982"/>
      <c r="O2982"/>
      <c r="P2982" s="225"/>
      <c r="Q2982" s="225"/>
      <c r="R2982"/>
      <c r="S2982"/>
      <c r="T2982"/>
      <c r="U2982"/>
      <c r="V2982"/>
      <c r="W2982"/>
      <c r="X2982"/>
    </row>
    <row r="2983" spans="5:24" x14ac:dyDescent="0.3">
      <c r="E2983" s="173"/>
      <c r="F2983" s="173"/>
      <c r="I2983"/>
      <c r="J2983"/>
      <c r="K2983"/>
      <c r="L2983"/>
      <c r="M2983"/>
      <c r="N2983"/>
      <c r="O2983"/>
      <c r="P2983" s="225"/>
      <c r="Q2983" s="225"/>
      <c r="R2983"/>
      <c r="S2983"/>
      <c r="T2983"/>
      <c r="U2983"/>
      <c r="V2983"/>
      <c r="W2983"/>
      <c r="X2983"/>
    </row>
    <row r="2984" spans="5:24" x14ac:dyDescent="0.3">
      <c r="E2984" s="173"/>
      <c r="F2984" s="173"/>
      <c r="I2984"/>
      <c r="J2984"/>
      <c r="K2984"/>
      <c r="L2984"/>
      <c r="M2984"/>
      <c r="N2984"/>
      <c r="O2984"/>
      <c r="P2984" s="225"/>
      <c r="Q2984" s="225"/>
      <c r="R2984"/>
      <c r="S2984"/>
      <c r="T2984"/>
      <c r="U2984"/>
      <c r="V2984"/>
      <c r="W2984"/>
      <c r="X2984"/>
    </row>
    <row r="2985" spans="5:24" x14ac:dyDescent="0.3">
      <c r="E2985" s="173"/>
      <c r="F2985" s="173"/>
      <c r="I2985"/>
      <c r="J2985"/>
      <c r="K2985"/>
      <c r="L2985"/>
      <c r="M2985"/>
      <c r="N2985"/>
      <c r="O2985"/>
      <c r="P2985" s="225"/>
      <c r="Q2985" s="225"/>
      <c r="R2985"/>
      <c r="S2985"/>
      <c r="T2985"/>
      <c r="U2985"/>
      <c r="V2985"/>
      <c r="W2985"/>
      <c r="X2985"/>
    </row>
    <row r="2986" spans="5:24" x14ac:dyDescent="0.3">
      <c r="E2986" s="173"/>
      <c r="F2986" s="173"/>
      <c r="I2986"/>
      <c r="J2986"/>
      <c r="K2986"/>
      <c r="L2986"/>
      <c r="M2986"/>
      <c r="N2986"/>
      <c r="O2986"/>
      <c r="P2986" s="225"/>
      <c r="Q2986" s="225"/>
      <c r="R2986"/>
      <c r="S2986"/>
      <c r="T2986"/>
      <c r="U2986"/>
      <c r="V2986"/>
      <c r="W2986"/>
      <c r="X2986"/>
    </row>
    <row r="2987" spans="5:24" x14ac:dyDescent="0.3">
      <c r="E2987" s="173"/>
      <c r="F2987" s="173"/>
      <c r="I2987"/>
      <c r="J2987"/>
      <c r="K2987"/>
      <c r="L2987"/>
      <c r="M2987"/>
      <c r="N2987"/>
      <c r="O2987"/>
      <c r="P2987" s="225"/>
      <c r="Q2987" s="225"/>
      <c r="R2987"/>
      <c r="S2987"/>
      <c r="T2987"/>
      <c r="U2987"/>
      <c r="V2987"/>
      <c r="W2987"/>
      <c r="X2987"/>
    </row>
    <row r="2988" spans="5:24" x14ac:dyDescent="0.3">
      <c r="E2988" s="173"/>
      <c r="F2988" s="173"/>
      <c r="I2988"/>
      <c r="J2988"/>
      <c r="K2988"/>
      <c r="L2988"/>
      <c r="M2988"/>
      <c r="N2988"/>
      <c r="O2988"/>
      <c r="P2988" s="225"/>
      <c r="Q2988" s="225"/>
      <c r="R2988"/>
      <c r="S2988"/>
      <c r="T2988"/>
      <c r="U2988"/>
      <c r="V2988"/>
      <c r="W2988"/>
      <c r="X2988"/>
    </row>
    <row r="2989" spans="5:24" x14ac:dyDescent="0.3">
      <c r="E2989" s="173"/>
      <c r="F2989" s="173"/>
      <c r="I2989"/>
      <c r="J2989"/>
      <c r="K2989"/>
      <c r="L2989"/>
      <c r="M2989"/>
      <c r="N2989"/>
      <c r="O2989"/>
      <c r="P2989" s="225"/>
      <c r="Q2989" s="225"/>
      <c r="R2989"/>
      <c r="S2989"/>
      <c r="T2989"/>
      <c r="U2989"/>
      <c r="V2989"/>
      <c r="W2989"/>
      <c r="X2989"/>
    </row>
    <row r="2990" spans="5:24" x14ac:dyDescent="0.3">
      <c r="E2990" s="173"/>
      <c r="F2990" s="173"/>
      <c r="I2990"/>
      <c r="J2990"/>
      <c r="K2990"/>
      <c r="L2990"/>
      <c r="M2990"/>
      <c r="N2990"/>
      <c r="O2990"/>
      <c r="P2990" s="225"/>
      <c r="Q2990" s="225"/>
      <c r="R2990"/>
      <c r="S2990"/>
      <c r="T2990"/>
      <c r="U2990"/>
      <c r="V2990"/>
      <c r="W2990"/>
      <c r="X2990"/>
    </row>
    <row r="2991" spans="5:24" x14ac:dyDescent="0.3">
      <c r="E2991" s="173"/>
      <c r="F2991" s="173"/>
      <c r="I2991"/>
      <c r="J2991"/>
      <c r="K2991"/>
      <c r="L2991"/>
      <c r="M2991"/>
      <c r="N2991"/>
      <c r="O2991"/>
      <c r="P2991" s="225"/>
      <c r="Q2991" s="225"/>
      <c r="R2991"/>
      <c r="S2991"/>
      <c r="T2991"/>
      <c r="U2991"/>
      <c r="V2991"/>
      <c r="W2991"/>
      <c r="X2991"/>
    </row>
    <row r="2992" spans="5:24" x14ac:dyDescent="0.3">
      <c r="E2992" s="173"/>
      <c r="F2992" s="173"/>
      <c r="I2992"/>
      <c r="J2992"/>
      <c r="K2992"/>
      <c r="L2992"/>
      <c r="M2992"/>
      <c r="N2992"/>
      <c r="O2992"/>
      <c r="P2992" s="225"/>
      <c r="Q2992" s="225"/>
      <c r="R2992"/>
      <c r="S2992"/>
      <c r="T2992"/>
      <c r="U2992"/>
      <c r="V2992"/>
      <c r="W2992"/>
      <c r="X2992"/>
    </row>
    <row r="2993" spans="5:24" x14ac:dyDescent="0.3">
      <c r="E2993" s="173"/>
      <c r="F2993" s="173"/>
      <c r="I2993"/>
      <c r="J2993"/>
      <c r="K2993"/>
      <c r="L2993"/>
      <c r="M2993"/>
      <c r="N2993"/>
      <c r="O2993"/>
      <c r="P2993" s="225"/>
      <c r="Q2993" s="225"/>
      <c r="R2993"/>
      <c r="S2993"/>
      <c r="T2993"/>
      <c r="U2993"/>
      <c r="V2993"/>
      <c r="W2993"/>
      <c r="X2993"/>
    </row>
    <row r="2994" spans="5:24" x14ac:dyDescent="0.3">
      <c r="E2994" s="173"/>
      <c r="F2994" s="173"/>
      <c r="I2994"/>
      <c r="J2994"/>
      <c r="K2994"/>
      <c r="L2994"/>
      <c r="M2994"/>
      <c r="N2994"/>
      <c r="O2994"/>
      <c r="P2994" s="225"/>
      <c r="Q2994" s="225"/>
      <c r="R2994"/>
      <c r="S2994"/>
      <c r="T2994"/>
      <c r="U2994"/>
      <c r="V2994"/>
      <c r="W2994"/>
      <c r="X2994"/>
    </row>
    <row r="2995" spans="5:24" x14ac:dyDescent="0.3">
      <c r="E2995" s="173"/>
      <c r="F2995" s="173"/>
      <c r="I2995"/>
      <c r="J2995"/>
      <c r="K2995"/>
      <c r="L2995"/>
      <c r="M2995"/>
      <c r="N2995"/>
      <c r="O2995"/>
      <c r="P2995" s="225"/>
      <c r="Q2995" s="225"/>
      <c r="R2995"/>
      <c r="S2995"/>
      <c r="T2995"/>
      <c r="U2995"/>
      <c r="V2995"/>
      <c r="W2995"/>
      <c r="X2995"/>
    </row>
    <row r="2996" spans="5:24" x14ac:dyDescent="0.3">
      <c r="E2996" s="173"/>
      <c r="F2996" s="173"/>
      <c r="I2996"/>
      <c r="J2996"/>
      <c r="K2996"/>
      <c r="L2996"/>
      <c r="M2996"/>
      <c r="N2996"/>
      <c r="O2996"/>
      <c r="P2996" s="225"/>
      <c r="Q2996" s="225"/>
      <c r="R2996"/>
      <c r="S2996"/>
      <c r="T2996"/>
      <c r="U2996"/>
      <c r="V2996"/>
      <c r="W2996"/>
      <c r="X2996"/>
    </row>
    <row r="2997" spans="5:24" x14ac:dyDescent="0.3">
      <c r="E2997" s="173"/>
      <c r="F2997" s="173"/>
      <c r="I2997"/>
      <c r="J2997"/>
      <c r="K2997"/>
      <c r="L2997"/>
      <c r="M2997"/>
      <c r="N2997"/>
      <c r="O2997"/>
      <c r="P2997" s="225"/>
      <c r="Q2997" s="225"/>
      <c r="R2997"/>
      <c r="S2997"/>
      <c r="T2997"/>
      <c r="U2997"/>
      <c r="V2997"/>
      <c r="W2997"/>
      <c r="X2997"/>
    </row>
    <row r="2998" spans="5:24" x14ac:dyDescent="0.3">
      <c r="E2998" s="173"/>
      <c r="F2998" s="173"/>
      <c r="I2998"/>
      <c r="J2998"/>
      <c r="K2998"/>
      <c r="L2998"/>
      <c r="M2998"/>
      <c r="N2998"/>
      <c r="O2998"/>
      <c r="P2998" s="225"/>
      <c r="Q2998" s="225"/>
      <c r="R2998"/>
      <c r="S2998"/>
      <c r="T2998"/>
      <c r="U2998"/>
      <c r="V2998"/>
      <c r="W2998"/>
      <c r="X2998"/>
    </row>
    <row r="2999" spans="5:24" x14ac:dyDescent="0.3">
      <c r="E2999" s="173"/>
      <c r="F2999" s="173"/>
      <c r="I2999"/>
      <c r="J2999"/>
      <c r="K2999"/>
      <c r="L2999"/>
      <c r="M2999"/>
      <c r="N2999"/>
      <c r="O2999"/>
      <c r="P2999" s="225"/>
      <c r="Q2999" s="225"/>
      <c r="R2999"/>
      <c r="S2999"/>
      <c r="T2999"/>
      <c r="U2999"/>
      <c r="V2999"/>
      <c r="W2999"/>
      <c r="X2999"/>
    </row>
    <row r="3000" spans="5:24" x14ac:dyDescent="0.3">
      <c r="E3000" s="173"/>
      <c r="F3000" s="173"/>
      <c r="I3000"/>
      <c r="J3000"/>
      <c r="K3000"/>
      <c r="L3000"/>
      <c r="M3000"/>
      <c r="N3000"/>
      <c r="O3000"/>
      <c r="P3000" s="225"/>
      <c r="Q3000" s="225"/>
      <c r="R3000"/>
      <c r="S3000"/>
      <c r="T3000"/>
      <c r="U3000"/>
      <c r="V3000"/>
      <c r="W3000"/>
      <c r="X3000"/>
    </row>
    <row r="3001" spans="5:24" x14ac:dyDescent="0.3">
      <c r="E3001" s="173"/>
      <c r="F3001" s="173"/>
      <c r="I3001"/>
      <c r="J3001"/>
      <c r="K3001"/>
      <c r="L3001"/>
      <c r="M3001"/>
      <c r="N3001"/>
      <c r="O3001"/>
      <c r="P3001" s="225"/>
      <c r="Q3001" s="225"/>
      <c r="R3001"/>
      <c r="S3001"/>
      <c r="T3001"/>
      <c r="U3001"/>
      <c r="V3001"/>
      <c r="W3001"/>
      <c r="X3001"/>
    </row>
    <row r="3002" spans="5:24" x14ac:dyDescent="0.3">
      <c r="E3002" s="173"/>
      <c r="F3002" s="173"/>
      <c r="I3002"/>
      <c r="J3002"/>
      <c r="K3002"/>
      <c r="L3002"/>
      <c r="M3002"/>
      <c r="N3002"/>
      <c r="O3002"/>
      <c r="P3002" s="225"/>
      <c r="Q3002" s="225"/>
      <c r="R3002"/>
      <c r="S3002"/>
      <c r="T3002"/>
      <c r="U3002"/>
      <c r="V3002"/>
      <c r="W3002"/>
      <c r="X3002"/>
    </row>
    <row r="3003" spans="5:24" x14ac:dyDescent="0.3">
      <c r="E3003" s="173"/>
      <c r="F3003" s="173"/>
      <c r="I3003"/>
      <c r="J3003"/>
      <c r="K3003"/>
      <c r="L3003"/>
      <c r="M3003"/>
      <c r="N3003"/>
      <c r="O3003"/>
      <c r="P3003" s="225"/>
      <c r="Q3003" s="225"/>
      <c r="R3003"/>
      <c r="S3003"/>
      <c r="T3003"/>
      <c r="U3003"/>
      <c r="V3003"/>
      <c r="W3003"/>
      <c r="X3003"/>
    </row>
    <row r="3004" spans="5:24" x14ac:dyDescent="0.3">
      <c r="E3004" s="173"/>
      <c r="F3004" s="173"/>
      <c r="I3004"/>
      <c r="J3004"/>
      <c r="K3004"/>
      <c r="L3004"/>
      <c r="M3004"/>
      <c r="N3004"/>
      <c r="O3004"/>
      <c r="P3004" s="225"/>
      <c r="Q3004" s="225"/>
      <c r="R3004"/>
      <c r="S3004"/>
      <c r="T3004"/>
      <c r="U3004"/>
      <c r="V3004"/>
      <c r="W3004"/>
      <c r="X3004"/>
    </row>
    <row r="3005" spans="5:24" x14ac:dyDescent="0.3">
      <c r="E3005" s="173"/>
      <c r="F3005" s="173"/>
      <c r="I3005"/>
      <c r="J3005"/>
      <c r="K3005"/>
      <c r="L3005"/>
      <c r="M3005"/>
      <c r="N3005"/>
      <c r="O3005"/>
      <c r="P3005" s="225"/>
      <c r="Q3005" s="225"/>
      <c r="R3005"/>
      <c r="S3005"/>
      <c r="T3005"/>
      <c r="U3005"/>
      <c r="V3005"/>
      <c r="W3005"/>
      <c r="X3005"/>
    </row>
    <row r="3006" spans="5:24" x14ac:dyDescent="0.3">
      <c r="E3006" s="173"/>
      <c r="F3006" s="173"/>
      <c r="I3006"/>
      <c r="J3006"/>
      <c r="K3006"/>
      <c r="L3006"/>
      <c r="M3006"/>
      <c r="N3006"/>
      <c r="O3006"/>
      <c r="P3006" s="225"/>
      <c r="Q3006" s="225"/>
      <c r="R3006"/>
      <c r="S3006"/>
      <c r="T3006"/>
      <c r="U3006"/>
      <c r="V3006"/>
      <c r="W3006"/>
      <c r="X3006"/>
    </row>
    <row r="3007" spans="5:24" x14ac:dyDescent="0.3">
      <c r="E3007" s="173"/>
      <c r="F3007" s="173"/>
      <c r="I3007"/>
      <c r="J3007"/>
      <c r="K3007"/>
      <c r="L3007"/>
      <c r="M3007"/>
      <c r="N3007"/>
      <c r="O3007"/>
      <c r="P3007" s="225"/>
      <c r="Q3007" s="225"/>
      <c r="R3007"/>
      <c r="S3007"/>
      <c r="T3007"/>
      <c r="U3007"/>
      <c r="V3007"/>
      <c r="W3007"/>
      <c r="X3007"/>
    </row>
    <row r="3008" spans="5:24" x14ac:dyDescent="0.3">
      <c r="E3008" s="173"/>
      <c r="F3008" s="173"/>
      <c r="I3008"/>
      <c r="J3008"/>
      <c r="K3008"/>
      <c r="L3008"/>
      <c r="M3008"/>
      <c r="N3008"/>
      <c r="O3008"/>
      <c r="P3008" s="225"/>
      <c r="Q3008" s="225"/>
      <c r="R3008"/>
      <c r="S3008"/>
      <c r="T3008"/>
      <c r="U3008"/>
      <c r="V3008"/>
      <c r="W3008"/>
      <c r="X3008"/>
    </row>
    <row r="3009" spans="5:24" x14ac:dyDescent="0.3">
      <c r="E3009" s="173"/>
      <c r="F3009" s="173"/>
      <c r="I3009"/>
      <c r="J3009"/>
      <c r="K3009"/>
      <c r="L3009"/>
      <c r="M3009"/>
      <c r="N3009"/>
      <c r="O3009"/>
      <c r="P3009" s="225"/>
      <c r="Q3009" s="225"/>
      <c r="R3009"/>
      <c r="S3009"/>
      <c r="T3009"/>
      <c r="U3009"/>
      <c r="V3009"/>
      <c r="W3009"/>
      <c r="X3009"/>
    </row>
    <row r="3010" spans="5:24" x14ac:dyDescent="0.3">
      <c r="E3010" s="173"/>
      <c r="F3010" s="173"/>
      <c r="I3010"/>
      <c r="J3010"/>
      <c r="K3010"/>
      <c r="L3010"/>
      <c r="M3010"/>
      <c r="N3010"/>
      <c r="O3010"/>
      <c r="P3010" s="225"/>
      <c r="Q3010" s="225"/>
      <c r="R3010"/>
      <c r="S3010"/>
      <c r="T3010"/>
      <c r="U3010"/>
      <c r="V3010"/>
      <c r="W3010"/>
      <c r="X3010"/>
    </row>
    <row r="3011" spans="5:24" x14ac:dyDescent="0.3">
      <c r="E3011" s="173"/>
      <c r="F3011" s="173"/>
      <c r="I3011"/>
      <c r="J3011"/>
      <c r="K3011"/>
      <c r="L3011"/>
      <c r="M3011"/>
      <c r="N3011"/>
      <c r="O3011"/>
      <c r="P3011" s="225"/>
      <c r="Q3011" s="225"/>
      <c r="R3011"/>
      <c r="S3011"/>
      <c r="T3011"/>
      <c r="U3011"/>
      <c r="V3011"/>
      <c r="W3011"/>
      <c r="X3011"/>
    </row>
    <row r="3012" spans="5:24" x14ac:dyDescent="0.3">
      <c r="E3012" s="173"/>
      <c r="F3012" s="173"/>
      <c r="I3012"/>
      <c r="J3012"/>
      <c r="K3012"/>
      <c r="L3012"/>
      <c r="M3012"/>
      <c r="N3012"/>
      <c r="O3012"/>
      <c r="P3012" s="225"/>
      <c r="Q3012" s="225"/>
      <c r="R3012"/>
      <c r="S3012"/>
      <c r="T3012"/>
      <c r="U3012"/>
      <c r="V3012"/>
      <c r="W3012"/>
      <c r="X3012"/>
    </row>
    <row r="3013" spans="5:24" x14ac:dyDescent="0.3">
      <c r="E3013" s="173"/>
      <c r="F3013" s="173"/>
      <c r="I3013"/>
      <c r="J3013"/>
      <c r="K3013"/>
      <c r="L3013"/>
      <c r="M3013"/>
      <c r="N3013"/>
      <c r="O3013"/>
      <c r="P3013" s="225"/>
      <c r="Q3013" s="225"/>
      <c r="R3013"/>
      <c r="S3013"/>
      <c r="T3013"/>
      <c r="U3013"/>
      <c r="V3013"/>
      <c r="W3013"/>
      <c r="X3013"/>
    </row>
    <row r="3014" spans="5:24" x14ac:dyDescent="0.3">
      <c r="E3014" s="173"/>
      <c r="F3014" s="173"/>
      <c r="I3014"/>
      <c r="J3014"/>
      <c r="K3014"/>
      <c r="L3014"/>
      <c r="M3014"/>
      <c r="N3014"/>
      <c r="O3014"/>
      <c r="P3014" s="225"/>
      <c r="Q3014" s="225"/>
      <c r="R3014"/>
      <c r="S3014"/>
      <c r="T3014"/>
      <c r="U3014"/>
      <c r="V3014"/>
      <c r="W3014"/>
      <c r="X3014"/>
    </row>
    <row r="3015" spans="5:24" x14ac:dyDescent="0.3">
      <c r="E3015" s="173"/>
      <c r="F3015" s="173"/>
      <c r="I3015"/>
      <c r="J3015"/>
      <c r="K3015"/>
      <c r="L3015"/>
      <c r="M3015"/>
      <c r="N3015"/>
      <c r="O3015"/>
      <c r="P3015" s="225"/>
      <c r="Q3015" s="225"/>
      <c r="R3015"/>
      <c r="S3015"/>
      <c r="T3015"/>
      <c r="U3015"/>
      <c r="V3015"/>
      <c r="W3015"/>
      <c r="X3015"/>
    </row>
    <row r="3016" spans="5:24" x14ac:dyDescent="0.3">
      <c r="E3016" s="173"/>
      <c r="F3016" s="173"/>
      <c r="I3016"/>
      <c r="J3016"/>
      <c r="K3016"/>
      <c r="L3016"/>
      <c r="M3016"/>
      <c r="N3016"/>
      <c r="O3016"/>
      <c r="P3016" s="225"/>
      <c r="Q3016" s="225"/>
      <c r="R3016"/>
      <c r="S3016"/>
      <c r="T3016"/>
      <c r="U3016"/>
      <c r="V3016"/>
      <c r="W3016"/>
      <c r="X3016"/>
    </row>
    <row r="3017" spans="5:24" x14ac:dyDescent="0.3">
      <c r="E3017" s="173"/>
      <c r="F3017" s="173"/>
      <c r="I3017"/>
      <c r="J3017"/>
      <c r="K3017"/>
      <c r="L3017"/>
      <c r="M3017"/>
      <c r="N3017"/>
      <c r="O3017"/>
      <c r="P3017" s="225"/>
      <c r="Q3017" s="225"/>
      <c r="R3017"/>
      <c r="S3017"/>
      <c r="T3017"/>
      <c r="U3017"/>
      <c r="V3017"/>
      <c r="W3017"/>
      <c r="X3017"/>
    </row>
    <row r="3018" spans="5:24" x14ac:dyDescent="0.3">
      <c r="E3018" s="173"/>
      <c r="F3018" s="173"/>
      <c r="I3018"/>
      <c r="J3018"/>
      <c r="K3018"/>
      <c r="L3018"/>
      <c r="M3018"/>
      <c r="N3018"/>
      <c r="O3018"/>
      <c r="P3018" s="225"/>
      <c r="Q3018" s="225"/>
      <c r="R3018"/>
      <c r="S3018"/>
      <c r="T3018"/>
      <c r="U3018"/>
      <c r="V3018"/>
      <c r="W3018"/>
      <c r="X3018"/>
    </row>
    <row r="3019" spans="5:24" x14ac:dyDescent="0.3">
      <c r="E3019" s="173"/>
      <c r="F3019" s="173"/>
      <c r="I3019"/>
      <c r="J3019"/>
      <c r="K3019"/>
      <c r="L3019"/>
      <c r="M3019"/>
      <c r="N3019"/>
      <c r="O3019"/>
      <c r="P3019" s="225"/>
      <c r="Q3019" s="225"/>
      <c r="R3019"/>
      <c r="S3019"/>
      <c r="T3019"/>
      <c r="U3019"/>
      <c r="V3019"/>
      <c r="W3019"/>
      <c r="X3019"/>
    </row>
    <row r="3020" spans="5:24" x14ac:dyDescent="0.3">
      <c r="E3020" s="173"/>
      <c r="F3020" s="173"/>
      <c r="I3020"/>
      <c r="J3020"/>
      <c r="K3020"/>
      <c r="L3020"/>
      <c r="M3020"/>
      <c r="N3020"/>
      <c r="O3020"/>
      <c r="P3020" s="225"/>
      <c r="Q3020" s="225"/>
      <c r="R3020"/>
      <c r="S3020"/>
      <c r="T3020"/>
      <c r="U3020"/>
      <c r="V3020"/>
      <c r="W3020"/>
      <c r="X3020"/>
    </row>
    <row r="3021" spans="5:24" x14ac:dyDescent="0.3">
      <c r="E3021" s="173"/>
      <c r="F3021" s="173"/>
      <c r="I3021"/>
      <c r="J3021"/>
      <c r="K3021"/>
      <c r="L3021"/>
      <c r="M3021"/>
      <c r="N3021"/>
      <c r="O3021"/>
      <c r="P3021" s="225"/>
      <c r="Q3021" s="225"/>
      <c r="R3021"/>
      <c r="S3021"/>
      <c r="T3021"/>
      <c r="U3021"/>
      <c r="V3021"/>
      <c r="W3021"/>
      <c r="X3021"/>
    </row>
    <row r="3022" spans="5:24" x14ac:dyDescent="0.3">
      <c r="E3022" s="173"/>
      <c r="F3022" s="173"/>
      <c r="I3022"/>
      <c r="J3022"/>
      <c r="K3022"/>
      <c r="L3022"/>
      <c r="M3022"/>
      <c r="N3022"/>
      <c r="O3022"/>
      <c r="P3022" s="225"/>
      <c r="Q3022" s="225"/>
      <c r="R3022"/>
      <c r="S3022"/>
      <c r="T3022"/>
      <c r="U3022"/>
      <c r="V3022"/>
      <c r="W3022"/>
      <c r="X3022"/>
    </row>
    <row r="3023" spans="5:24" x14ac:dyDescent="0.3">
      <c r="E3023" s="173"/>
      <c r="F3023" s="173"/>
      <c r="I3023"/>
      <c r="J3023"/>
      <c r="K3023"/>
      <c r="L3023"/>
      <c r="M3023"/>
      <c r="N3023"/>
      <c r="O3023"/>
      <c r="P3023" s="225"/>
      <c r="Q3023" s="225"/>
      <c r="R3023"/>
      <c r="S3023"/>
      <c r="T3023"/>
      <c r="U3023"/>
      <c r="V3023"/>
      <c r="W3023"/>
      <c r="X3023"/>
    </row>
    <row r="3024" spans="5:24" x14ac:dyDescent="0.3">
      <c r="E3024" s="173"/>
      <c r="F3024" s="173"/>
      <c r="I3024"/>
      <c r="J3024"/>
      <c r="K3024"/>
      <c r="L3024"/>
      <c r="M3024"/>
      <c r="N3024"/>
      <c r="O3024"/>
      <c r="P3024" s="225"/>
      <c r="Q3024" s="225"/>
      <c r="R3024"/>
      <c r="S3024"/>
      <c r="T3024"/>
      <c r="U3024"/>
      <c r="V3024"/>
      <c r="W3024"/>
      <c r="X3024"/>
    </row>
    <row r="3025" spans="5:24" x14ac:dyDescent="0.3">
      <c r="E3025" s="173"/>
      <c r="F3025" s="173"/>
      <c r="I3025"/>
      <c r="J3025"/>
      <c r="K3025"/>
      <c r="L3025"/>
      <c r="M3025"/>
      <c r="N3025"/>
      <c r="O3025"/>
      <c r="P3025" s="225"/>
      <c r="Q3025" s="225"/>
      <c r="R3025"/>
      <c r="S3025"/>
      <c r="T3025"/>
      <c r="U3025"/>
      <c r="V3025"/>
      <c r="W3025"/>
      <c r="X3025"/>
    </row>
    <row r="3026" spans="5:24" x14ac:dyDescent="0.3">
      <c r="E3026" s="173"/>
      <c r="F3026" s="173"/>
      <c r="I3026"/>
      <c r="J3026"/>
      <c r="K3026"/>
      <c r="L3026"/>
      <c r="M3026"/>
      <c r="N3026"/>
      <c r="O3026"/>
      <c r="P3026" s="225"/>
      <c r="Q3026" s="225"/>
      <c r="R3026"/>
      <c r="S3026"/>
      <c r="T3026"/>
      <c r="U3026"/>
      <c r="V3026"/>
      <c r="W3026"/>
      <c r="X3026"/>
    </row>
    <row r="3027" spans="5:24" x14ac:dyDescent="0.3">
      <c r="E3027" s="173"/>
      <c r="F3027" s="173"/>
      <c r="I3027"/>
      <c r="J3027"/>
      <c r="K3027"/>
      <c r="L3027"/>
      <c r="M3027"/>
      <c r="N3027"/>
      <c r="O3027"/>
      <c r="P3027" s="225"/>
      <c r="Q3027" s="225"/>
      <c r="R3027"/>
      <c r="S3027"/>
      <c r="T3027"/>
      <c r="U3027"/>
      <c r="V3027"/>
      <c r="W3027"/>
      <c r="X3027"/>
    </row>
    <row r="3028" spans="5:24" x14ac:dyDescent="0.3">
      <c r="E3028" s="173"/>
      <c r="F3028" s="173"/>
      <c r="I3028"/>
      <c r="J3028"/>
      <c r="K3028"/>
      <c r="L3028"/>
      <c r="M3028"/>
      <c r="N3028"/>
      <c r="O3028"/>
      <c r="P3028" s="225"/>
      <c r="Q3028" s="225"/>
      <c r="R3028"/>
      <c r="S3028"/>
      <c r="T3028"/>
      <c r="U3028"/>
      <c r="V3028"/>
      <c r="W3028"/>
      <c r="X3028"/>
    </row>
    <row r="3029" spans="5:24" x14ac:dyDescent="0.3">
      <c r="E3029" s="173"/>
      <c r="F3029" s="173"/>
      <c r="I3029"/>
      <c r="J3029"/>
      <c r="K3029"/>
      <c r="L3029"/>
      <c r="M3029"/>
      <c r="N3029"/>
      <c r="O3029"/>
      <c r="P3029" s="225"/>
      <c r="Q3029" s="225"/>
      <c r="R3029"/>
      <c r="S3029"/>
      <c r="T3029"/>
      <c r="U3029"/>
      <c r="V3029"/>
      <c r="W3029"/>
      <c r="X3029"/>
    </row>
    <row r="3030" spans="5:24" x14ac:dyDescent="0.3">
      <c r="E3030" s="173"/>
      <c r="F3030" s="173"/>
      <c r="I3030"/>
      <c r="J3030"/>
      <c r="K3030"/>
      <c r="L3030"/>
      <c r="M3030"/>
      <c r="N3030"/>
      <c r="O3030"/>
      <c r="P3030" s="225"/>
      <c r="Q3030" s="225"/>
      <c r="R3030"/>
      <c r="S3030"/>
      <c r="T3030"/>
      <c r="U3030"/>
      <c r="V3030"/>
      <c r="W3030"/>
      <c r="X3030"/>
    </row>
    <row r="3031" spans="5:24" x14ac:dyDescent="0.3">
      <c r="E3031" s="173"/>
      <c r="F3031" s="173"/>
      <c r="I3031"/>
      <c r="J3031"/>
      <c r="K3031"/>
      <c r="L3031"/>
      <c r="M3031"/>
      <c r="N3031"/>
      <c r="O3031"/>
      <c r="P3031" s="225"/>
      <c r="Q3031" s="225"/>
      <c r="R3031"/>
      <c r="S3031"/>
      <c r="T3031"/>
      <c r="U3031"/>
      <c r="V3031"/>
      <c r="W3031"/>
      <c r="X3031"/>
    </row>
    <row r="3032" spans="5:24" x14ac:dyDescent="0.3">
      <c r="E3032" s="173"/>
      <c r="F3032" s="173"/>
      <c r="I3032"/>
      <c r="J3032"/>
      <c r="K3032"/>
      <c r="L3032"/>
      <c r="M3032"/>
      <c r="N3032"/>
      <c r="O3032"/>
      <c r="P3032" s="225"/>
      <c r="Q3032" s="225"/>
      <c r="R3032"/>
      <c r="S3032"/>
      <c r="T3032"/>
      <c r="U3032"/>
      <c r="V3032"/>
      <c r="W3032"/>
      <c r="X3032"/>
    </row>
    <row r="3033" spans="5:24" x14ac:dyDescent="0.3">
      <c r="E3033" s="173"/>
      <c r="F3033" s="173"/>
      <c r="I3033"/>
      <c r="J3033"/>
      <c r="K3033"/>
      <c r="L3033"/>
      <c r="M3033"/>
      <c r="N3033"/>
      <c r="O3033"/>
      <c r="P3033" s="225"/>
      <c r="Q3033" s="225"/>
      <c r="R3033"/>
      <c r="S3033"/>
      <c r="T3033"/>
      <c r="U3033"/>
      <c r="V3033"/>
      <c r="W3033"/>
      <c r="X3033"/>
    </row>
    <row r="3034" spans="5:24" x14ac:dyDescent="0.3">
      <c r="E3034" s="173"/>
      <c r="F3034" s="173"/>
      <c r="I3034"/>
      <c r="J3034"/>
      <c r="K3034"/>
      <c r="L3034"/>
      <c r="M3034"/>
      <c r="N3034"/>
      <c r="O3034"/>
      <c r="P3034" s="225"/>
      <c r="Q3034" s="225"/>
      <c r="R3034"/>
      <c r="S3034"/>
      <c r="T3034"/>
      <c r="U3034"/>
      <c r="V3034"/>
      <c r="W3034"/>
      <c r="X3034"/>
    </row>
    <row r="3035" spans="5:24" x14ac:dyDescent="0.3">
      <c r="E3035" s="173"/>
      <c r="F3035" s="173"/>
      <c r="I3035"/>
      <c r="J3035"/>
      <c r="K3035"/>
      <c r="L3035"/>
      <c r="M3035"/>
      <c r="N3035"/>
      <c r="O3035"/>
      <c r="P3035" s="225"/>
      <c r="Q3035" s="225"/>
      <c r="R3035"/>
      <c r="S3035"/>
      <c r="T3035"/>
      <c r="U3035"/>
      <c r="V3035"/>
      <c r="W3035"/>
      <c r="X3035"/>
    </row>
    <row r="3036" spans="5:24" x14ac:dyDescent="0.3">
      <c r="E3036" s="173"/>
      <c r="F3036" s="173"/>
      <c r="I3036"/>
      <c r="J3036"/>
      <c r="K3036"/>
      <c r="L3036"/>
      <c r="M3036"/>
      <c r="N3036"/>
      <c r="O3036"/>
      <c r="P3036" s="225"/>
      <c r="Q3036" s="225"/>
      <c r="R3036"/>
      <c r="S3036"/>
      <c r="T3036"/>
      <c r="U3036"/>
      <c r="V3036"/>
      <c r="W3036"/>
      <c r="X3036"/>
    </row>
    <row r="3037" spans="5:24" x14ac:dyDescent="0.3">
      <c r="E3037" s="173"/>
      <c r="F3037" s="173"/>
      <c r="I3037"/>
      <c r="J3037"/>
      <c r="K3037"/>
      <c r="L3037"/>
      <c r="M3037"/>
      <c r="N3037"/>
      <c r="O3037"/>
      <c r="P3037" s="225"/>
      <c r="Q3037" s="225"/>
      <c r="R3037"/>
      <c r="S3037"/>
      <c r="T3037"/>
      <c r="U3037"/>
      <c r="V3037"/>
      <c r="W3037"/>
      <c r="X3037"/>
    </row>
    <row r="3038" spans="5:24" x14ac:dyDescent="0.3">
      <c r="E3038" s="173"/>
      <c r="F3038" s="173"/>
      <c r="I3038"/>
      <c r="J3038"/>
      <c r="K3038"/>
      <c r="L3038"/>
      <c r="M3038"/>
      <c r="N3038"/>
      <c r="O3038"/>
      <c r="P3038" s="225"/>
      <c r="Q3038" s="225"/>
      <c r="R3038"/>
      <c r="S3038"/>
      <c r="T3038"/>
      <c r="U3038"/>
      <c r="V3038"/>
      <c r="W3038"/>
      <c r="X3038"/>
    </row>
    <row r="3039" spans="5:24" x14ac:dyDescent="0.3">
      <c r="E3039" s="173"/>
      <c r="F3039" s="173"/>
      <c r="I3039"/>
      <c r="J3039"/>
      <c r="K3039"/>
      <c r="L3039"/>
      <c r="M3039"/>
      <c r="N3039"/>
      <c r="O3039"/>
      <c r="P3039" s="225"/>
      <c r="Q3039" s="225"/>
      <c r="R3039"/>
      <c r="S3039"/>
      <c r="T3039"/>
      <c r="U3039"/>
      <c r="V3039"/>
      <c r="W3039"/>
      <c r="X3039"/>
    </row>
    <row r="3040" spans="5:24" x14ac:dyDescent="0.3">
      <c r="E3040" s="173"/>
      <c r="F3040" s="173"/>
      <c r="I3040"/>
      <c r="J3040"/>
      <c r="K3040"/>
      <c r="L3040"/>
      <c r="M3040"/>
      <c r="N3040"/>
      <c r="O3040"/>
      <c r="P3040" s="225"/>
      <c r="Q3040" s="225"/>
      <c r="R3040"/>
      <c r="S3040"/>
      <c r="T3040"/>
      <c r="U3040"/>
      <c r="V3040"/>
      <c r="W3040"/>
      <c r="X3040"/>
    </row>
    <row r="3041" spans="5:24" x14ac:dyDescent="0.3">
      <c r="E3041" s="173"/>
      <c r="F3041" s="173"/>
      <c r="I3041"/>
      <c r="J3041"/>
      <c r="K3041"/>
      <c r="L3041"/>
      <c r="M3041"/>
      <c r="N3041"/>
      <c r="O3041"/>
      <c r="P3041" s="225"/>
      <c r="Q3041" s="225"/>
      <c r="R3041"/>
      <c r="S3041"/>
      <c r="T3041"/>
      <c r="U3041"/>
      <c r="V3041"/>
      <c r="W3041"/>
      <c r="X3041"/>
    </row>
    <row r="3042" spans="5:24" x14ac:dyDescent="0.3">
      <c r="E3042" s="173"/>
      <c r="F3042" s="173"/>
      <c r="I3042"/>
      <c r="J3042"/>
      <c r="K3042"/>
      <c r="L3042"/>
      <c r="M3042"/>
      <c r="N3042"/>
      <c r="O3042"/>
      <c r="P3042" s="225"/>
      <c r="Q3042" s="225"/>
      <c r="R3042"/>
      <c r="S3042"/>
      <c r="T3042"/>
      <c r="U3042"/>
      <c r="V3042"/>
      <c r="W3042"/>
      <c r="X3042"/>
    </row>
    <row r="3043" spans="5:24" x14ac:dyDescent="0.3">
      <c r="E3043" s="173"/>
      <c r="F3043" s="173"/>
      <c r="I3043"/>
      <c r="J3043"/>
      <c r="K3043"/>
      <c r="L3043"/>
      <c r="M3043"/>
      <c r="N3043"/>
      <c r="O3043"/>
      <c r="P3043" s="225"/>
      <c r="Q3043" s="225"/>
      <c r="R3043"/>
      <c r="S3043"/>
      <c r="T3043"/>
      <c r="U3043"/>
      <c r="V3043"/>
      <c r="W3043"/>
      <c r="X3043"/>
    </row>
    <row r="3044" spans="5:24" x14ac:dyDescent="0.3">
      <c r="E3044" s="173"/>
      <c r="F3044" s="173"/>
      <c r="I3044"/>
      <c r="J3044"/>
      <c r="K3044"/>
      <c r="L3044"/>
      <c r="M3044"/>
      <c r="N3044"/>
      <c r="O3044"/>
      <c r="P3044" s="225"/>
      <c r="Q3044" s="225"/>
      <c r="R3044"/>
      <c r="S3044"/>
      <c r="T3044"/>
      <c r="U3044"/>
      <c r="V3044"/>
      <c r="W3044"/>
      <c r="X3044"/>
    </row>
    <row r="3045" spans="5:24" x14ac:dyDescent="0.3">
      <c r="E3045" s="173"/>
      <c r="F3045" s="173"/>
      <c r="I3045"/>
      <c r="J3045"/>
      <c r="K3045"/>
      <c r="L3045"/>
      <c r="M3045"/>
      <c r="N3045"/>
      <c r="O3045"/>
      <c r="P3045" s="225"/>
      <c r="Q3045" s="225"/>
      <c r="R3045"/>
      <c r="S3045"/>
      <c r="T3045"/>
      <c r="U3045"/>
      <c r="V3045"/>
      <c r="W3045"/>
      <c r="X3045"/>
    </row>
    <row r="3046" spans="5:24" x14ac:dyDescent="0.3">
      <c r="E3046" s="173"/>
      <c r="F3046" s="173"/>
      <c r="I3046"/>
      <c r="J3046"/>
      <c r="K3046"/>
      <c r="L3046"/>
      <c r="M3046"/>
      <c r="N3046"/>
      <c r="O3046"/>
      <c r="P3046" s="225"/>
      <c r="Q3046" s="225"/>
      <c r="R3046"/>
      <c r="S3046"/>
      <c r="T3046"/>
      <c r="U3046"/>
      <c r="V3046"/>
      <c r="W3046"/>
      <c r="X3046"/>
    </row>
    <row r="3047" spans="5:24" x14ac:dyDescent="0.3">
      <c r="E3047" s="173"/>
      <c r="F3047" s="173"/>
      <c r="I3047"/>
      <c r="J3047"/>
      <c r="K3047"/>
      <c r="L3047"/>
      <c r="M3047"/>
      <c r="N3047"/>
      <c r="O3047"/>
      <c r="P3047" s="225"/>
      <c r="Q3047" s="225"/>
      <c r="R3047"/>
      <c r="S3047"/>
      <c r="T3047"/>
      <c r="U3047"/>
      <c r="V3047"/>
      <c r="W3047"/>
      <c r="X3047"/>
    </row>
    <row r="3048" spans="5:24" x14ac:dyDescent="0.3">
      <c r="E3048" s="173"/>
      <c r="F3048" s="173"/>
      <c r="I3048"/>
      <c r="J3048"/>
      <c r="K3048"/>
      <c r="L3048"/>
      <c r="M3048"/>
      <c r="N3048"/>
      <c r="O3048"/>
      <c r="P3048" s="225"/>
      <c r="Q3048" s="225"/>
      <c r="R3048"/>
      <c r="S3048"/>
      <c r="T3048"/>
      <c r="U3048"/>
      <c r="V3048"/>
      <c r="W3048"/>
      <c r="X3048"/>
    </row>
    <row r="3049" spans="5:24" x14ac:dyDescent="0.3">
      <c r="E3049" s="173"/>
      <c r="F3049" s="173"/>
      <c r="I3049"/>
      <c r="J3049"/>
      <c r="K3049"/>
      <c r="L3049"/>
      <c r="M3049"/>
      <c r="N3049"/>
      <c r="O3049"/>
      <c r="P3049" s="225"/>
      <c r="Q3049" s="225"/>
      <c r="R3049"/>
      <c r="S3049"/>
      <c r="T3049"/>
      <c r="U3049"/>
      <c r="V3049"/>
      <c r="W3049"/>
      <c r="X3049"/>
    </row>
    <row r="3050" spans="5:24" x14ac:dyDescent="0.3">
      <c r="E3050" s="173"/>
      <c r="F3050" s="173"/>
      <c r="I3050"/>
      <c r="J3050"/>
      <c r="K3050"/>
      <c r="L3050"/>
      <c r="M3050"/>
      <c r="N3050"/>
      <c r="O3050"/>
      <c r="P3050" s="225"/>
      <c r="Q3050" s="225"/>
      <c r="R3050"/>
      <c r="S3050"/>
      <c r="T3050"/>
      <c r="U3050"/>
      <c r="V3050"/>
      <c r="W3050"/>
      <c r="X3050"/>
    </row>
    <row r="3051" spans="5:24" x14ac:dyDescent="0.3">
      <c r="E3051" s="173"/>
      <c r="F3051" s="173"/>
      <c r="I3051"/>
      <c r="J3051"/>
      <c r="K3051"/>
      <c r="L3051"/>
      <c r="M3051"/>
      <c r="N3051"/>
      <c r="O3051"/>
      <c r="P3051" s="225"/>
      <c r="Q3051" s="225"/>
      <c r="R3051"/>
      <c r="S3051"/>
      <c r="T3051"/>
      <c r="U3051"/>
      <c r="V3051"/>
      <c r="W3051"/>
      <c r="X3051"/>
    </row>
    <row r="3052" spans="5:24" x14ac:dyDescent="0.3">
      <c r="E3052" s="173"/>
      <c r="F3052" s="173"/>
      <c r="I3052"/>
      <c r="J3052"/>
      <c r="K3052"/>
      <c r="L3052"/>
      <c r="M3052"/>
      <c r="N3052"/>
      <c r="O3052"/>
      <c r="P3052" s="225"/>
      <c r="Q3052" s="225"/>
      <c r="R3052"/>
      <c r="S3052"/>
      <c r="T3052"/>
      <c r="U3052"/>
      <c r="V3052"/>
      <c r="W3052"/>
      <c r="X3052"/>
    </row>
    <row r="3053" spans="5:24" x14ac:dyDescent="0.3">
      <c r="E3053" s="173"/>
      <c r="F3053" s="173"/>
      <c r="I3053"/>
      <c r="J3053"/>
      <c r="K3053"/>
      <c r="L3053"/>
      <c r="M3053"/>
      <c r="N3053"/>
      <c r="O3053"/>
      <c r="P3053" s="225"/>
      <c r="Q3053" s="225"/>
      <c r="R3053"/>
      <c r="S3053"/>
      <c r="T3053"/>
      <c r="U3053"/>
      <c r="V3053"/>
      <c r="W3053"/>
      <c r="X3053"/>
    </row>
    <row r="3054" spans="5:24" x14ac:dyDescent="0.3">
      <c r="E3054" s="173"/>
      <c r="F3054" s="173"/>
      <c r="I3054"/>
      <c r="J3054"/>
      <c r="K3054"/>
      <c r="L3054"/>
      <c r="M3054"/>
      <c r="N3054"/>
      <c r="O3054"/>
      <c r="P3054" s="225"/>
      <c r="Q3054" s="225"/>
      <c r="R3054"/>
      <c r="S3054"/>
      <c r="T3054"/>
      <c r="U3054"/>
      <c r="V3054"/>
      <c r="W3054"/>
      <c r="X3054"/>
    </row>
    <row r="3055" spans="5:24" x14ac:dyDescent="0.3">
      <c r="E3055" s="173"/>
      <c r="F3055" s="173"/>
      <c r="I3055"/>
      <c r="J3055"/>
      <c r="K3055"/>
      <c r="L3055"/>
      <c r="M3055"/>
      <c r="N3055"/>
      <c r="O3055"/>
      <c r="P3055" s="225"/>
      <c r="Q3055" s="225"/>
      <c r="R3055"/>
      <c r="S3055"/>
      <c r="T3055"/>
      <c r="U3055"/>
      <c r="V3055"/>
      <c r="W3055"/>
      <c r="X3055"/>
    </row>
    <row r="3056" spans="5:24" x14ac:dyDescent="0.3">
      <c r="E3056" s="173"/>
      <c r="F3056" s="173"/>
      <c r="I3056"/>
      <c r="J3056"/>
      <c r="K3056"/>
      <c r="L3056"/>
      <c r="M3056"/>
      <c r="N3056"/>
      <c r="O3056"/>
      <c r="P3056" s="225"/>
      <c r="Q3056" s="225"/>
      <c r="R3056"/>
      <c r="S3056"/>
      <c r="T3056"/>
      <c r="U3056"/>
      <c r="V3056"/>
      <c r="W3056"/>
      <c r="X3056"/>
    </row>
    <row r="3057" spans="5:24" x14ac:dyDescent="0.3">
      <c r="E3057" s="173"/>
      <c r="F3057" s="173"/>
      <c r="I3057"/>
      <c r="J3057"/>
      <c r="K3057"/>
      <c r="L3057"/>
      <c r="M3057"/>
      <c r="N3057"/>
      <c r="O3057"/>
      <c r="P3057" s="225"/>
      <c r="Q3057" s="225"/>
      <c r="R3057"/>
      <c r="S3057"/>
      <c r="T3057"/>
      <c r="U3057"/>
      <c r="V3057"/>
      <c r="W3057"/>
      <c r="X3057"/>
    </row>
    <row r="3058" spans="5:24" x14ac:dyDescent="0.3">
      <c r="E3058" s="173"/>
      <c r="F3058" s="173"/>
      <c r="I3058"/>
      <c r="J3058"/>
      <c r="K3058"/>
      <c r="L3058"/>
      <c r="M3058"/>
      <c r="N3058"/>
      <c r="O3058"/>
      <c r="P3058" s="225"/>
      <c r="Q3058" s="225"/>
      <c r="R3058"/>
      <c r="S3058"/>
      <c r="T3058"/>
      <c r="U3058"/>
      <c r="V3058"/>
      <c r="W3058"/>
      <c r="X3058"/>
    </row>
    <row r="3059" spans="5:24" x14ac:dyDescent="0.3">
      <c r="E3059" s="173"/>
      <c r="F3059" s="173"/>
      <c r="I3059"/>
      <c r="J3059"/>
      <c r="K3059"/>
      <c r="L3059"/>
      <c r="M3059"/>
      <c r="N3059"/>
      <c r="O3059"/>
      <c r="P3059" s="225"/>
      <c r="Q3059" s="225"/>
      <c r="R3059"/>
      <c r="S3059"/>
      <c r="T3059"/>
      <c r="U3059"/>
      <c r="V3059"/>
      <c r="W3059"/>
      <c r="X3059"/>
    </row>
    <row r="3060" spans="5:24" x14ac:dyDescent="0.3">
      <c r="E3060" s="173"/>
      <c r="F3060" s="173"/>
      <c r="I3060"/>
      <c r="J3060"/>
      <c r="K3060"/>
      <c r="L3060"/>
      <c r="M3060"/>
      <c r="N3060"/>
      <c r="O3060"/>
      <c r="P3060" s="225"/>
      <c r="Q3060" s="225"/>
      <c r="R3060"/>
      <c r="S3060"/>
      <c r="T3060"/>
      <c r="U3060"/>
      <c r="V3060"/>
      <c r="W3060"/>
      <c r="X3060"/>
    </row>
    <row r="3061" spans="5:24" x14ac:dyDescent="0.3">
      <c r="E3061" s="173"/>
      <c r="F3061" s="173"/>
      <c r="I3061"/>
      <c r="J3061"/>
      <c r="K3061"/>
      <c r="L3061"/>
      <c r="M3061"/>
      <c r="N3061"/>
      <c r="O3061"/>
      <c r="P3061" s="225"/>
      <c r="Q3061" s="225"/>
      <c r="R3061"/>
      <c r="S3061"/>
      <c r="T3061"/>
      <c r="U3061"/>
      <c r="V3061"/>
      <c r="W3061"/>
      <c r="X3061"/>
    </row>
    <row r="3062" spans="5:24" x14ac:dyDescent="0.3">
      <c r="E3062" s="173"/>
      <c r="F3062" s="173"/>
      <c r="I3062"/>
      <c r="J3062"/>
      <c r="K3062"/>
      <c r="L3062"/>
      <c r="M3062"/>
      <c r="N3062"/>
      <c r="O3062"/>
      <c r="P3062" s="225"/>
      <c r="Q3062" s="225"/>
      <c r="R3062"/>
      <c r="S3062"/>
      <c r="T3062"/>
      <c r="U3062"/>
      <c r="V3062"/>
      <c r="W3062"/>
      <c r="X3062"/>
    </row>
    <row r="3063" spans="5:24" x14ac:dyDescent="0.3">
      <c r="E3063" s="173"/>
      <c r="F3063" s="173"/>
      <c r="I3063"/>
      <c r="J3063"/>
      <c r="K3063"/>
      <c r="L3063"/>
      <c r="M3063"/>
      <c r="N3063"/>
      <c r="O3063"/>
      <c r="P3063" s="225"/>
      <c r="Q3063" s="225"/>
      <c r="R3063"/>
      <c r="S3063"/>
      <c r="T3063"/>
      <c r="U3063"/>
      <c r="V3063"/>
      <c r="W3063"/>
      <c r="X3063"/>
    </row>
    <row r="3064" spans="5:24" x14ac:dyDescent="0.3">
      <c r="E3064" s="173"/>
      <c r="F3064" s="173"/>
      <c r="I3064"/>
      <c r="J3064"/>
      <c r="K3064"/>
      <c r="L3064"/>
      <c r="M3064"/>
      <c r="N3064"/>
      <c r="O3064"/>
      <c r="P3064" s="225"/>
      <c r="Q3064" s="225"/>
      <c r="R3064"/>
      <c r="S3064"/>
      <c r="T3064"/>
      <c r="U3064"/>
      <c r="V3064"/>
      <c r="W3064"/>
      <c r="X3064"/>
    </row>
    <row r="3065" spans="5:24" x14ac:dyDescent="0.3">
      <c r="E3065" s="173"/>
      <c r="F3065" s="173"/>
      <c r="I3065"/>
      <c r="J3065"/>
      <c r="K3065"/>
      <c r="L3065"/>
      <c r="M3065"/>
      <c r="N3065"/>
      <c r="O3065"/>
      <c r="P3065" s="225"/>
      <c r="Q3065" s="225"/>
      <c r="R3065"/>
      <c r="S3065"/>
      <c r="T3065"/>
      <c r="U3065"/>
      <c r="V3065"/>
      <c r="W3065"/>
      <c r="X3065"/>
    </row>
    <row r="3066" spans="5:24" x14ac:dyDescent="0.3">
      <c r="E3066" s="173"/>
      <c r="F3066" s="173"/>
      <c r="I3066"/>
      <c r="J3066"/>
      <c r="K3066"/>
      <c r="L3066"/>
      <c r="M3066"/>
      <c r="N3066"/>
      <c r="O3066"/>
      <c r="P3066" s="225"/>
      <c r="Q3066" s="225"/>
      <c r="R3066"/>
      <c r="S3066"/>
      <c r="T3066"/>
      <c r="U3066"/>
      <c r="V3066"/>
      <c r="W3066"/>
      <c r="X3066"/>
    </row>
    <row r="3067" spans="5:24" x14ac:dyDescent="0.3">
      <c r="E3067" s="173"/>
      <c r="F3067" s="173"/>
      <c r="I3067"/>
      <c r="J3067"/>
      <c r="K3067"/>
      <c r="L3067"/>
      <c r="M3067"/>
      <c r="N3067"/>
      <c r="O3067"/>
      <c r="P3067" s="225"/>
      <c r="Q3067" s="225"/>
      <c r="R3067"/>
      <c r="S3067"/>
      <c r="T3067"/>
      <c r="U3067"/>
      <c r="V3067"/>
      <c r="W3067"/>
      <c r="X3067"/>
    </row>
    <row r="3068" spans="5:24" x14ac:dyDescent="0.3">
      <c r="E3068" s="173"/>
      <c r="F3068" s="173"/>
      <c r="I3068"/>
      <c r="J3068"/>
      <c r="K3068"/>
      <c r="L3068"/>
      <c r="M3068"/>
      <c r="N3068"/>
      <c r="O3068"/>
      <c r="P3068" s="225"/>
      <c r="Q3068" s="225"/>
      <c r="R3068"/>
      <c r="S3068"/>
      <c r="T3068"/>
      <c r="U3068"/>
      <c r="V3068"/>
      <c r="W3068"/>
      <c r="X3068"/>
    </row>
    <row r="3069" spans="5:24" x14ac:dyDescent="0.3">
      <c r="E3069" s="173"/>
      <c r="F3069" s="173"/>
      <c r="I3069"/>
      <c r="J3069"/>
      <c r="K3069"/>
      <c r="L3069"/>
      <c r="M3069"/>
      <c r="N3069"/>
      <c r="O3069"/>
      <c r="P3069" s="225"/>
      <c r="Q3069" s="225"/>
      <c r="R3069"/>
      <c r="S3069"/>
      <c r="T3069"/>
      <c r="U3069"/>
      <c r="V3069"/>
      <c r="W3069"/>
      <c r="X3069"/>
    </row>
    <row r="3070" spans="5:24" x14ac:dyDescent="0.3">
      <c r="E3070" s="173"/>
      <c r="F3070" s="173"/>
      <c r="I3070"/>
      <c r="J3070"/>
      <c r="K3070"/>
      <c r="L3070"/>
      <c r="M3070"/>
      <c r="N3070"/>
      <c r="O3070"/>
      <c r="P3070" s="225"/>
      <c r="Q3070" s="225"/>
      <c r="R3070"/>
      <c r="S3070"/>
      <c r="T3070"/>
      <c r="U3070"/>
      <c r="V3070"/>
      <c r="W3070"/>
      <c r="X3070"/>
    </row>
    <row r="3071" spans="5:24" x14ac:dyDescent="0.3">
      <c r="E3071" s="173"/>
      <c r="F3071" s="173"/>
      <c r="I3071"/>
      <c r="J3071"/>
      <c r="K3071"/>
      <c r="L3071"/>
      <c r="M3071"/>
      <c r="N3071"/>
      <c r="O3071"/>
      <c r="P3071" s="225"/>
      <c r="Q3071" s="225"/>
      <c r="R3071"/>
      <c r="S3071"/>
      <c r="T3071"/>
      <c r="U3071"/>
      <c r="V3071"/>
      <c r="W3071"/>
      <c r="X3071"/>
    </row>
    <row r="3072" spans="5:24" x14ac:dyDescent="0.3">
      <c r="E3072" s="173"/>
      <c r="F3072" s="173"/>
      <c r="I3072"/>
      <c r="J3072"/>
      <c r="K3072"/>
      <c r="L3072"/>
      <c r="M3072"/>
      <c r="N3072"/>
      <c r="O3072"/>
      <c r="P3072" s="225"/>
      <c r="Q3072" s="225"/>
      <c r="R3072"/>
      <c r="S3072"/>
      <c r="T3072"/>
      <c r="U3072"/>
      <c r="V3072"/>
      <c r="W3072"/>
      <c r="X3072"/>
    </row>
    <row r="3073" spans="5:24" x14ac:dyDescent="0.3">
      <c r="E3073" s="173"/>
      <c r="F3073" s="173"/>
      <c r="I3073"/>
      <c r="J3073"/>
      <c r="K3073"/>
      <c r="L3073"/>
      <c r="M3073"/>
      <c r="N3073"/>
      <c r="O3073"/>
      <c r="P3073" s="225"/>
      <c r="Q3073" s="225"/>
      <c r="R3073"/>
      <c r="S3073"/>
      <c r="T3073"/>
      <c r="U3073"/>
      <c r="V3073"/>
      <c r="W3073"/>
      <c r="X3073"/>
    </row>
    <row r="3074" spans="5:24" x14ac:dyDescent="0.3">
      <c r="E3074" s="173"/>
      <c r="F3074" s="173"/>
      <c r="I3074"/>
      <c r="J3074"/>
      <c r="K3074"/>
      <c r="L3074"/>
      <c r="M3074"/>
      <c r="N3074"/>
      <c r="O3074"/>
      <c r="P3074" s="225"/>
      <c r="Q3074" s="225"/>
      <c r="R3074"/>
      <c r="S3074"/>
      <c r="T3074"/>
      <c r="U3074"/>
      <c r="V3074"/>
      <c r="W3074"/>
      <c r="X3074"/>
    </row>
    <row r="3075" spans="5:24" x14ac:dyDescent="0.3">
      <c r="E3075" s="173"/>
      <c r="F3075" s="173"/>
      <c r="I3075"/>
      <c r="J3075"/>
      <c r="K3075"/>
      <c r="L3075"/>
      <c r="M3075"/>
      <c r="N3075"/>
      <c r="O3075"/>
      <c r="P3075" s="225"/>
      <c r="Q3075" s="225"/>
      <c r="R3075"/>
      <c r="S3075"/>
      <c r="T3075"/>
      <c r="U3075"/>
      <c r="V3075"/>
      <c r="W3075"/>
      <c r="X3075"/>
    </row>
    <row r="3076" spans="5:24" x14ac:dyDescent="0.3">
      <c r="E3076" s="173"/>
      <c r="F3076" s="173"/>
      <c r="I3076"/>
      <c r="J3076"/>
      <c r="K3076"/>
      <c r="L3076"/>
      <c r="M3076"/>
      <c r="N3076"/>
      <c r="O3076"/>
      <c r="P3076" s="225"/>
      <c r="Q3076" s="225"/>
      <c r="R3076"/>
      <c r="S3076"/>
      <c r="T3076"/>
      <c r="U3076"/>
      <c r="V3076"/>
      <c r="W3076"/>
      <c r="X3076"/>
    </row>
    <row r="3077" spans="5:24" x14ac:dyDescent="0.3">
      <c r="E3077" s="173"/>
      <c r="F3077" s="173"/>
      <c r="I3077"/>
      <c r="J3077"/>
      <c r="K3077"/>
      <c r="L3077"/>
      <c r="M3077"/>
      <c r="N3077"/>
      <c r="O3077"/>
      <c r="P3077" s="225"/>
      <c r="Q3077" s="225"/>
      <c r="R3077"/>
      <c r="S3077"/>
      <c r="T3077"/>
      <c r="U3077"/>
      <c r="V3077"/>
      <c r="W3077"/>
      <c r="X3077"/>
    </row>
    <row r="3078" spans="5:24" x14ac:dyDescent="0.3">
      <c r="E3078" s="173"/>
      <c r="F3078" s="173"/>
      <c r="I3078"/>
      <c r="J3078"/>
      <c r="K3078"/>
      <c r="L3078"/>
      <c r="M3078"/>
      <c r="N3078"/>
      <c r="O3078"/>
      <c r="P3078" s="225"/>
      <c r="Q3078" s="225"/>
      <c r="R3078"/>
      <c r="S3078"/>
      <c r="T3078"/>
      <c r="U3078"/>
      <c r="V3078"/>
      <c r="W3078"/>
      <c r="X3078"/>
    </row>
    <row r="3079" spans="5:24" x14ac:dyDescent="0.3">
      <c r="E3079" s="173"/>
      <c r="F3079" s="173"/>
      <c r="I3079"/>
      <c r="J3079"/>
      <c r="K3079"/>
      <c r="L3079"/>
      <c r="M3079"/>
      <c r="N3079"/>
      <c r="O3079"/>
      <c r="P3079" s="225"/>
      <c r="Q3079" s="225"/>
      <c r="R3079"/>
      <c r="S3079"/>
      <c r="T3079"/>
      <c r="U3079"/>
      <c r="V3079"/>
      <c r="W3079"/>
      <c r="X3079"/>
    </row>
    <row r="3080" spans="5:24" x14ac:dyDescent="0.3">
      <c r="E3080" s="173"/>
      <c r="F3080" s="173"/>
      <c r="I3080"/>
      <c r="J3080"/>
      <c r="K3080"/>
      <c r="L3080"/>
      <c r="M3080"/>
      <c r="N3080"/>
      <c r="O3080"/>
      <c r="P3080" s="225"/>
      <c r="Q3080" s="225"/>
      <c r="R3080"/>
      <c r="S3080"/>
      <c r="T3080"/>
      <c r="U3080"/>
      <c r="V3080"/>
      <c r="W3080"/>
      <c r="X3080"/>
    </row>
    <row r="3081" spans="5:24" x14ac:dyDescent="0.3">
      <c r="E3081" s="173"/>
      <c r="F3081" s="173"/>
      <c r="I3081"/>
      <c r="J3081"/>
      <c r="K3081"/>
      <c r="L3081"/>
      <c r="M3081"/>
      <c r="N3081"/>
      <c r="O3081"/>
      <c r="P3081" s="225"/>
      <c r="Q3081" s="225"/>
      <c r="R3081"/>
      <c r="S3081"/>
      <c r="T3081"/>
      <c r="U3081"/>
      <c r="V3081"/>
      <c r="W3081"/>
      <c r="X3081"/>
    </row>
    <row r="3082" spans="5:24" x14ac:dyDescent="0.3">
      <c r="E3082" s="173"/>
      <c r="F3082" s="173"/>
      <c r="I3082"/>
      <c r="J3082"/>
      <c r="K3082"/>
      <c r="L3082"/>
      <c r="M3082"/>
      <c r="N3082"/>
      <c r="O3082"/>
      <c r="P3082" s="225"/>
      <c r="Q3082" s="225"/>
      <c r="R3082"/>
      <c r="S3082"/>
      <c r="T3082"/>
      <c r="U3082"/>
      <c r="V3082"/>
      <c r="W3082"/>
      <c r="X3082"/>
    </row>
    <row r="3083" spans="5:24" x14ac:dyDescent="0.3">
      <c r="E3083" s="173"/>
      <c r="F3083" s="173"/>
      <c r="I3083"/>
      <c r="J3083"/>
      <c r="K3083"/>
      <c r="L3083"/>
      <c r="M3083"/>
      <c r="N3083"/>
      <c r="O3083"/>
      <c r="P3083" s="225"/>
      <c r="Q3083" s="225"/>
      <c r="R3083"/>
      <c r="S3083"/>
      <c r="T3083"/>
      <c r="U3083"/>
      <c r="V3083"/>
      <c r="W3083"/>
      <c r="X3083"/>
    </row>
    <row r="3084" spans="5:24" x14ac:dyDescent="0.3">
      <c r="E3084" s="173"/>
      <c r="F3084" s="173"/>
      <c r="I3084"/>
      <c r="J3084"/>
      <c r="K3084"/>
      <c r="L3084"/>
      <c r="M3084"/>
      <c r="N3084"/>
      <c r="O3084"/>
      <c r="P3084" s="225"/>
      <c r="Q3084" s="225"/>
      <c r="R3084"/>
      <c r="S3084"/>
      <c r="T3084"/>
      <c r="U3084"/>
      <c r="V3084"/>
      <c r="W3084"/>
      <c r="X3084"/>
    </row>
    <row r="3085" spans="5:24" x14ac:dyDescent="0.3">
      <c r="E3085" s="173"/>
      <c r="F3085" s="173"/>
      <c r="I3085"/>
      <c r="J3085"/>
      <c r="K3085"/>
      <c r="L3085"/>
      <c r="M3085"/>
      <c r="N3085"/>
      <c r="O3085"/>
      <c r="P3085" s="225"/>
      <c r="Q3085" s="225"/>
      <c r="R3085"/>
      <c r="S3085"/>
      <c r="T3085"/>
      <c r="U3085"/>
      <c r="V3085"/>
      <c r="W3085"/>
      <c r="X3085"/>
    </row>
    <row r="3086" spans="5:24" x14ac:dyDescent="0.3">
      <c r="E3086" s="173"/>
      <c r="F3086" s="173"/>
      <c r="I3086"/>
      <c r="J3086"/>
      <c r="K3086"/>
      <c r="L3086"/>
      <c r="M3086"/>
      <c r="N3086"/>
      <c r="O3086"/>
      <c r="P3086" s="225"/>
      <c r="Q3086" s="225"/>
      <c r="R3086"/>
      <c r="S3086"/>
      <c r="T3086"/>
      <c r="U3086"/>
      <c r="V3086"/>
      <c r="W3086"/>
      <c r="X3086"/>
    </row>
    <row r="3087" spans="5:24" x14ac:dyDescent="0.3">
      <c r="E3087" s="173"/>
      <c r="F3087" s="173"/>
      <c r="I3087"/>
      <c r="J3087"/>
      <c r="K3087"/>
      <c r="L3087"/>
      <c r="M3087"/>
      <c r="N3087"/>
      <c r="O3087"/>
      <c r="P3087" s="225"/>
      <c r="Q3087" s="225"/>
      <c r="R3087"/>
      <c r="S3087"/>
      <c r="T3087"/>
      <c r="U3087"/>
      <c r="V3087"/>
      <c r="W3087"/>
      <c r="X3087"/>
    </row>
    <row r="3088" spans="5:24" x14ac:dyDescent="0.3">
      <c r="E3088" s="173"/>
      <c r="F3088" s="173"/>
      <c r="I3088"/>
      <c r="J3088"/>
      <c r="K3088"/>
      <c r="L3088"/>
      <c r="M3088"/>
      <c r="N3088"/>
      <c r="O3088"/>
      <c r="P3088" s="225"/>
      <c r="Q3088" s="225"/>
      <c r="R3088"/>
      <c r="S3088"/>
      <c r="T3088"/>
      <c r="U3088"/>
      <c r="V3088"/>
      <c r="W3088"/>
      <c r="X3088"/>
    </row>
    <row r="3089" spans="5:24" x14ac:dyDescent="0.3">
      <c r="E3089" s="173"/>
      <c r="F3089" s="173"/>
      <c r="I3089"/>
      <c r="J3089"/>
      <c r="K3089"/>
      <c r="L3089"/>
      <c r="M3089"/>
      <c r="N3089"/>
      <c r="O3089"/>
      <c r="P3089" s="225"/>
      <c r="Q3089" s="225"/>
      <c r="R3089"/>
      <c r="S3089"/>
      <c r="T3089"/>
      <c r="U3089"/>
      <c r="V3089"/>
      <c r="W3089"/>
      <c r="X3089"/>
    </row>
    <row r="3090" spans="5:24" x14ac:dyDescent="0.3">
      <c r="E3090" s="173"/>
      <c r="F3090" s="173"/>
      <c r="I3090"/>
      <c r="J3090"/>
      <c r="K3090"/>
      <c r="L3090"/>
      <c r="M3090"/>
      <c r="N3090"/>
      <c r="O3090"/>
      <c r="P3090" s="225"/>
      <c r="Q3090" s="225"/>
      <c r="R3090"/>
      <c r="S3090"/>
      <c r="T3090"/>
      <c r="U3090"/>
      <c r="V3090"/>
      <c r="W3090"/>
      <c r="X3090"/>
    </row>
    <row r="3091" spans="5:24" x14ac:dyDescent="0.3">
      <c r="E3091" s="173"/>
      <c r="F3091" s="173"/>
      <c r="I3091"/>
      <c r="J3091"/>
      <c r="K3091"/>
      <c r="L3091"/>
      <c r="M3091"/>
      <c r="N3091"/>
      <c r="O3091"/>
      <c r="P3091" s="225"/>
      <c r="Q3091" s="225"/>
      <c r="R3091"/>
      <c r="S3091"/>
      <c r="T3091"/>
      <c r="U3091"/>
      <c r="V3091"/>
      <c r="W3091"/>
      <c r="X3091"/>
    </row>
    <row r="3092" spans="5:24" x14ac:dyDescent="0.3">
      <c r="E3092" s="173"/>
      <c r="F3092" s="173"/>
      <c r="I3092"/>
      <c r="J3092"/>
      <c r="K3092"/>
      <c r="L3092"/>
      <c r="M3092"/>
      <c r="N3092"/>
      <c r="O3092"/>
      <c r="P3092" s="225"/>
      <c r="Q3092" s="225"/>
      <c r="R3092"/>
      <c r="S3092"/>
      <c r="T3092"/>
      <c r="U3092"/>
      <c r="V3092"/>
      <c r="W3092"/>
      <c r="X3092"/>
    </row>
    <row r="3093" spans="5:24" x14ac:dyDescent="0.3">
      <c r="E3093" s="173"/>
      <c r="F3093" s="173"/>
      <c r="I3093"/>
      <c r="J3093"/>
      <c r="K3093"/>
      <c r="L3093"/>
      <c r="M3093"/>
      <c r="N3093"/>
      <c r="O3093"/>
      <c r="P3093" s="225"/>
      <c r="Q3093" s="225"/>
      <c r="R3093"/>
      <c r="S3093"/>
      <c r="T3093"/>
      <c r="U3093"/>
      <c r="V3093"/>
      <c r="W3093"/>
      <c r="X3093"/>
    </row>
    <row r="3094" spans="5:24" x14ac:dyDescent="0.3">
      <c r="E3094" s="173"/>
      <c r="F3094" s="173"/>
      <c r="I3094"/>
      <c r="J3094"/>
      <c r="K3094"/>
      <c r="L3094"/>
      <c r="M3094"/>
      <c r="N3094"/>
      <c r="O3094"/>
      <c r="P3094" s="225"/>
      <c r="Q3094" s="225"/>
      <c r="R3094"/>
      <c r="S3094"/>
      <c r="T3094"/>
      <c r="U3094"/>
      <c r="V3094"/>
      <c r="W3094"/>
      <c r="X3094"/>
    </row>
    <row r="3095" spans="5:24" x14ac:dyDescent="0.3">
      <c r="E3095" s="173"/>
      <c r="F3095" s="173"/>
      <c r="I3095"/>
      <c r="J3095"/>
      <c r="K3095"/>
      <c r="L3095"/>
      <c r="M3095"/>
      <c r="N3095"/>
      <c r="O3095"/>
      <c r="P3095" s="225"/>
      <c r="Q3095" s="225"/>
      <c r="R3095"/>
      <c r="S3095"/>
      <c r="T3095"/>
      <c r="U3095"/>
      <c r="V3095"/>
      <c r="W3095"/>
      <c r="X3095"/>
    </row>
    <row r="3096" spans="5:24" x14ac:dyDescent="0.3">
      <c r="E3096" s="173"/>
      <c r="F3096" s="173"/>
      <c r="I3096"/>
      <c r="J3096"/>
      <c r="K3096"/>
      <c r="L3096"/>
      <c r="M3096"/>
      <c r="N3096"/>
      <c r="O3096"/>
      <c r="P3096" s="225"/>
      <c r="Q3096" s="225"/>
      <c r="R3096"/>
      <c r="S3096"/>
      <c r="T3096"/>
      <c r="U3096"/>
      <c r="V3096"/>
      <c r="W3096"/>
      <c r="X3096"/>
    </row>
    <row r="3097" spans="5:24" x14ac:dyDescent="0.3">
      <c r="E3097" s="173"/>
      <c r="F3097" s="173"/>
      <c r="I3097"/>
      <c r="J3097"/>
      <c r="K3097"/>
      <c r="L3097"/>
      <c r="M3097"/>
      <c r="N3097"/>
      <c r="O3097"/>
      <c r="P3097" s="225"/>
      <c r="Q3097" s="225"/>
      <c r="R3097"/>
      <c r="S3097"/>
      <c r="T3097"/>
      <c r="U3097"/>
      <c r="V3097"/>
      <c r="W3097"/>
      <c r="X3097"/>
    </row>
    <row r="3098" spans="5:24" x14ac:dyDescent="0.3">
      <c r="E3098" s="173"/>
      <c r="F3098" s="173"/>
      <c r="I3098"/>
      <c r="J3098"/>
      <c r="K3098"/>
      <c r="L3098"/>
      <c r="M3098"/>
      <c r="N3098"/>
      <c r="O3098"/>
      <c r="P3098" s="225"/>
      <c r="Q3098" s="225"/>
      <c r="R3098"/>
      <c r="S3098"/>
      <c r="T3098"/>
      <c r="U3098"/>
      <c r="V3098"/>
      <c r="W3098"/>
      <c r="X3098"/>
    </row>
    <row r="3099" spans="5:24" x14ac:dyDescent="0.3">
      <c r="E3099" s="173"/>
      <c r="F3099" s="173"/>
      <c r="I3099"/>
      <c r="J3099"/>
      <c r="K3099"/>
      <c r="L3099"/>
      <c r="M3099"/>
      <c r="N3099"/>
      <c r="O3099"/>
      <c r="P3099" s="225"/>
      <c r="Q3099" s="225"/>
      <c r="R3099"/>
      <c r="S3099"/>
      <c r="T3099"/>
      <c r="U3099"/>
      <c r="V3099"/>
      <c r="W3099"/>
      <c r="X3099"/>
    </row>
    <row r="3100" spans="5:24" x14ac:dyDescent="0.3">
      <c r="E3100" s="173"/>
      <c r="F3100" s="173"/>
      <c r="I3100"/>
      <c r="J3100"/>
      <c r="K3100"/>
      <c r="L3100"/>
      <c r="M3100"/>
      <c r="N3100"/>
      <c r="O3100"/>
      <c r="P3100" s="225"/>
      <c r="Q3100" s="225"/>
      <c r="R3100"/>
      <c r="S3100"/>
      <c r="T3100"/>
      <c r="U3100"/>
      <c r="V3100"/>
      <c r="W3100"/>
      <c r="X3100"/>
    </row>
    <row r="3101" spans="5:24" x14ac:dyDescent="0.3">
      <c r="E3101" s="173"/>
      <c r="F3101" s="173"/>
      <c r="I3101"/>
      <c r="J3101"/>
      <c r="K3101"/>
      <c r="L3101"/>
      <c r="M3101"/>
      <c r="N3101"/>
      <c r="O3101"/>
      <c r="P3101" s="225"/>
      <c r="Q3101" s="225"/>
      <c r="R3101"/>
      <c r="S3101"/>
      <c r="T3101"/>
      <c r="U3101"/>
      <c r="V3101"/>
      <c r="W3101"/>
      <c r="X3101"/>
    </row>
    <row r="3102" spans="5:24" x14ac:dyDescent="0.3">
      <c r="E3102" s="173"/>
      <c r="F3102" s="173"/>
      <c r="I3102"/>
      <c r="J3102"/>
      <c r="K3102"/>
      <c r="L3102"/>
      <c r="M3102"/>
      <c r="N3102"/>
      <c r="O3102"/>
      <c r="P3102" s="225"/>
      <c r="Q3102" s="225"/>
      <c r="R3102"/>
      <c r="S3102"/>
      <c r="T3102"/>
      <c r="U3102"/>
      <c r="V3102"/>
      <c r="W3102"/>
      <c r="X3102"/>
    </row>
    <row r="3103" spans="5:24" x14ac:dyDescent="0.3">
      <c r="E3103" s="173"/>
      <c r="F3103" s="173"/>
      <c r="I3103"/>
      <c r="J3103"/>
      <c r="K3103"/>
      <c r="L3103"/>
      <c r="M3103"/>
      <c r="N3103"/>
      <c r="O3103"/>
      <c r="P3103" s="225"/>
      <c r="Q3103" s="225"/>
      <c r="R3103"/>
      <c r="S3103"/>
      <c r="T3103"/>
      <c r="U3103"/>
      <c r="V3103"/>
      <c r="W3103"/>
      <c r="X3103"/>
    </row>
    <row r="3104" spans="5:24" x14ac:dyDescent="0.3">
      <c r="E3104" s="173"/>
      <c r="F3104" s="173"/>
      <c r="I3104"/>
      <c r="J3104"/>
      <c r="K3104"/>
      <c r="L3104"/>
      <c r="M3104"/>
      <c r="N3104"/>
      <c r="O3104"/>
      <c r="P3104" s="225"/>
      <c r="Q3104" s="225"/>
      <c r="R3104"/>
      <c r="S3104"/>
      <c r="T3104"/>
      <c r="U3104"/>
      <c r="V3104"/>
      <c r="W3104"/>
      <c r="X3104"/>
    </row>
    <row r="3105" spans="5:24" x14ac:dyDescent="0.3">
      <c r="E3105" s="173"/>
      <c r="F3105" s="173"/>
      <c r="I3105"/>
      <c r="J3105"/>
      <c r="K3105"/>
      <c r="L3105"/>
      <c r="M3105"/>
      <c r="N3105"/>
      <c r="O3105"/>
      <c r="P3105" s="225"/>
      <c r="Q3105" s="225"/>
      <c r="R3105"/>
      <c r="S3105"/>
      <c r="T3105"/>
      <c r="U3105"/>
      <c r="V3105"/>
      <c r="W3105"/>
      <c r="X3105"/>
    </row>
    <row r="3106" spans="5:24" x14ac:dyDescent="0.3">
      <c r="E3106" s="173"/>
      <c r="F3106" s="173"/>
      <c r="I3106"/>
      <c r="J3106"/>
      <c r="K3106"/>
      <c r="L3106"/>
      <c r="M3106"/>
      <c r="N3106"/>
      <c r="O3106"/>
      <c r="P3106" s="225"/>
      <c r="Q3106" s="225"/>
      <c r="R3106"/>
      <c r="S3106"/>
      <c r="T3106"/>
      <c r="U3106"/>
      <c r="V3106"/>
      <c r="W3106"/>
      <c r="X3106"/>
    </row>
    <row r="3107" spans="5:24" x14ac:dyDescent="0.3">
      <c r="E3107" s="173"/>
      <c r="F3107" s="173"/>
      <c r="I3107"/>
      <c r="J3107"/>
      <c r="K3107"/>
      <c r="L3107"/>
      <c r="M3107"/>
      <c r="N3107"/>
      <c r="O3107"/>
      <c r="P3107" s="225"/>
      <c r="Q3107" s="225"/>
      <c r="R3107"/>
      <c r="S3107"/>
      <c r="T3107"/>
      <c r="U3107"/>
      <c r="V3107"/>
      <c r="W3107"/>
      <c r="X3107"/>
    </row>
    <row r="3108" spans="5:24" x14ac:dyDescent="0.3">
      <c r="E3108" s="173"/>
      <c r="F3108" s="173"/>
      <c r="I3108"/>
      <c r="J3108"/>
      <c r="K3108"/>
      <c r="L3108"/>
      <c r="M3108"/>
      <c r="N3108"/>
      <c r="O3108"/>
      <c r="P3108" s="225"/>
      <c r="Q3108" s="225"/>
      <c r="R3108"/>
      <c r="S3108"/>
      <c r="T3108"/>
      <c r="U3108"/>
      <c r="V3108"/>
      <c r="W3108"/>
      <c r="X3108"/>
    </row>
    <row r="3109" spans="5:24" x14ac:dyDescent="0.3">
      <c r="E3109" s="173"/>
      <c r="F3109" s="173"/>
      <c r="I3109"/>
      <c r="J3109"/>
      <c r="K3109"/>
      <c r="L3109"/>
      <c r="M3109"/>
      <c r="N3109"/>
      <c r="O3109"/>
      <c r="P3109" s="225"/>
      <c r="Q3109" s="225"/>
      <c r="R3109"/>
      <c r="S3109"/>
      <c r="T3109"/>
      <c r="U3109"/>
      <c r="V3109"/>
      <c r="W3109"/>
      <c r="X3109"/>
    </row>
    <row r="3110" spans="5:24" x14ac:dyDescent="0.3">
      <c r="E3110" s="173"/>
      <c r="F3110" s="173"/>
      <c r="I3110"/>
      <c r="J3110"/>
      <c r="K3110"/>
      <c r="L3110"/>
      <c r="M3110"/>
      <c r="N3110"/>
      <c r="O3110"/>
      <c r="P3110" s="225"/>
      <c r="Q3110" s="225"/>
      <c r="R3110"/>
      <c r="S3110"/>
      <c r="T3110"/>
      <c r="U3110"/>
      <c r="V3110"/>
      <c r="W3110"/>
      <c r="X3110"/>
    </row>
    <row r="3111" spans="5:24" x14ac:dyDescent="0.3">
      <c r="E3111" s="173"/>
      <c r="F3111" s="173"/>
      <c r="I3111"/>
      <c r="J3111"/>
      <c r="K3111"/>
      <c r="L3111"/>
      <c r="M3111"/>
      <c r="N3111"/>
      <c r="O3111"/>
      <c r="P3111" s="225"/>
      <c r="Q3111" s="225"/>
      <c r="R3111"/>
      <c r="S3111"/>
      <c r="T3111"/>
      <c r="U3111"/>
      <c r="V3111"/>
      <c r="W3111"/>
      <c r="X3111"/>
    </row>
    <row r="3112" spans="5:24" x14ac:dyDescent="0.3">
      <c r="E3112" s="173"/>
      <c r="F3112" s="173"/>
      <c r="I3112"/>
      <c r="J3112"/>
      <c r="K3112"/>
      <c r="L3112"/>
      <c r="M3112"/>
      <c r="N3112"/>
      <c r="O3112"/>
      <c r="P3112" s="225"/>
      <c r="Q3112" s="225"/>
      <c r="R3112"/>
      <c r="S3112"/>
      <c r="T3112"/>
      <c r="U3112"/>
      <c r="V3112"/>
      <c r="W3112"/>
      <c r="X3112"/>
    </row>
    <row r="3113" spans="5:24" x14ac:dyDescent="0.3">
      <c r="E3113" s="173"/>
      <c r="F3113" s="173"/>
      <c r="I3113"/>
      <c r="J3113"/>
      <c r="K3113"/>
      <c r="L3113"/>
      <c r="M3113"/>
      <c r="N3113"/>
      <c r="O3113"/>
      <c r="P3113" s="225"/>
      <c r="Q3113" s="225"/>
      <c r="R3113"/>
      <c r="S3113"/>
      <c r="T3113"/>
      <c r="U3113"/>
      <c r="V3113"/>
      <c r="W3113"/>
      <c r="X3113"/>
    </row>
    <row r="3114" spans="5:24" x14ac:dyDescent="0.3">
      <c r="E3114" s="173"/>
      <c r="F3114" s="173"/>
      <c r="I3114"/>
      <c r="J3114"/>
      <c r="K3114"/>
      <c r="L3114"/>
      <c r="M3114"/>
      <c r="N3114"/>
      <c r="O3114"/>
      <c r="P3114" s="225"/>
      <c r="Q3114" s="225"/>
      <c r="R3114"/>
      <c r="S3114"/>
      <c r="T3114"/>
      <c r="U3114"/>
      <c r="V3114"/>
      <c r="W3114"/>
      <c r="X3114"/>
    </row>
    <row r="3115" spans="5:24" x14ac:dyDescent="0.3">
      <c r="E3115" s="173"/>
      <c r="F3115" s="173"/>
      <c r="I3115"/>
      <c r="J3115"/>
      <c r="K3115"/>
      <c r="L3115"/>
      <c r="M3115"/>
      <c r="N3115"/>
      <c r="O3115"/>
      <c r="P3115" s="225"/>
      <c r="Q3115" s="225"/>
      <c r="R3115"/>
      <c r="S3115"/>
      <c r="T3115"/>
      <c r="U3115"/>
      <c r="V3115"/>
      <c r="W3115"/>
      <c r="X3115"/>
    </row>
    <row r="3116" spans="5:24" x14ac:dyDescent="0.3">
      <c r="E3116" s="173"/>
      <c r="F3116" s="173"/>
      <c r="I3116"/>
      <c r="J3116"/>
      <c r="K3116"/>
      <c r="L3116"/>
      <c r="M3116"/>
      <c r="N3116"/>
      <c r="O3116"/>
      <c r="P3116" s="225"/>
      <c r="Q3116" s="225"/>
      <c r="R3116"/>
      <c r="S3116"/>
      <c r="T3116"/>
      <c r="U3116"/>
      <c r="V3116"/>
      <c r="W3116"/>
      <c r="X3116"/>
    </row>
    <row r="3117" spans="5:24" x14ac:dyDescent="0.3">
      <c r="E3117" s="173"/>
      <c r="F3117" s="173"/>
      <c r="I3117"/>
      <c r="J3117"/>
      <c r="K3117"/>
      <c r="L3117"/>
      <c r="M3117"/>
      <c r="N3117"/>
      <c r="O3117"/>
      <c r="P3117" s="225"/>
      <c r="Q3117" s="225"/>
      <c r="R3117"/>
      <c r="S3117"/>
      <c r="T3117"/>
      <c r="U3117"/>
      <c r="V3117"/>
      <c r="W3117"/>
      <c r="X3117"/>
    </row>
    <row r="3118" spans="5:24" x14ac:dyDescent="0.3">
      <c r="E3118" s="173"/>
      <c r="F3118" s="173"/>
      <c r="I3118"/>
      <c r="J3118"/>
      <c r="K3118"/>
      <c r="L3118"/>
      <c r="M3118"/>
      <c r="N3118"/>
      <c r="O3118"/>
      <c r="P3118" s="225"/>
      <c r="Q3118" s="225"/>
      <c r="R3118"/>
      <c r="S3118"/>
      <c r="T3118"/>
      <c r="U3118"/>
      <c r="V3118"/>
      <c r="W3118"/>
      <c r="X3118"/>
    </row>
    <row r="3119" spans="5:24" x14ac:dyDescent="0.3">
      <c r="E3119" s="173"/>
      <c r="F3119" s="173"/>
      <c r="I3119"/>
      <c r="J3119"/>
      <c r="K3119"/>
      <c r="L3119"/>
      <c r="M3119"/>
      <c r="N3119"/>
      <c r="O3119"/>
      <c r="P3119" s="225"/>
      <c r="Q3119" s="225"/>
      <c r="R3119"/>
      <c r="S3119"/>
      <c r="T3119"/>
      <c r="U3119"/>
      <c r="V3119"/>
      <c r="W3119"/>
      <c r="X3119"/>
    </row>
    <row r="3120" spans="5:24" x14ac:dyDescent="0.3">
      <c r="E3120" s="173"/>
      <c r="F3120" s="173"/>
      <c r="I3120"/>
      <c r="J3120"/>
      <c r="K3120"/>
      <c r="L3120"/>
      <c r="M3120"/>
      <c r="N3120"/>
      <c r="O3120"/>
      <c r="P3120" s="225"/>
      <c r="Q3120" s="225"/>
      <c r="R3120"/>
      <c r="S3120"/>
      <c r="T3120"/>
      <c r="U3120"/>
      <c r="V3120"/>
      <c r="W3120"/>
      <c r="X3120"/>
    </row>
    <row r="3121" spans="5:24" x14ac:dyDescent="0.3">
      <c r="E3121" s="173"/>
      <c r="F3121" s="173"/>
      <c r="I3121"/>
      <c r="J3121"/>
      <c r="K3121"/>
      <c r="L3121"/>
      <c r="M3121"/>
      <c r="N3121"/>
      <c r="O3121"/>
      <c r="P3121" s="225"/>
      <c r="Q3121" s="225"/>
      <c r="R3121"/>
      <c r="S3121"/>
      <c r="T3121"/>
      <c r="U3121"/>
      <c r="V3121"/>
      <c r="W3121"/>
      <c r="X3121"/>
    </row>
    <row r="3122" spans="5:24" x14ac:dyDescent="0.3">
      <c r="E3122" s="173"/>
      <c r="F3122" s="173"/>
      <c r="I3122"/>
      <c r="J3122"/>
      <c r="K3122"/>
      <c r="L3122"/>
      <c r="M3122"/>
      <c r="N3122"/>
      <c r="O3122"/>
      <c r="P3122" s="225"/>
      <c r="Q3122" s="225"/>
      <c r="R3122"/>
      <c r="S3122"/>
      <c r="T3122"/>
      <c r="U3122"/>
      <c r="V3122"/>
      <c r="W3122"/>
      <c r="X3122"/>
    </row>
    <row r="3123" spans="5:24" x14ac:dyDescent="0.3">
      <c r="E3123" s="173"/>
      <c r="F3123" s="173"/>
      <c r="I3123"/>
      <c r="J3123"/>
      <c r="K3123"/>
      <c r="L3123"/>
      <c r="M3123"/>
      <c r="N3123"/>
      <c r="O3123"/>
      <c r="P3123" s="225"/>
      <c r="Q3123" s="225"/>
      <c r="R3123"/>
      <c r="S3123"/>
      <c r="T3123"/>
      <c r="U3123"/>
      <c r="V3123"/>
      <c r="W3123"/>
      <c r="X3123"/>
    </row>
    <row r="3124" spans="5:24" x14ac:dyDescent="0.3">
      <c r="E3124" s="173"/>
      <c r="F3124" s="173"/>
      <c r="I3124"/>
      <c r="J3124"/>
      <c r="K3124"/>
      <c r="L3124"/>
      <c r="M3124"/>
      <c r="N3124"/>
      <c r="O3124"/>
      <c r="P3124" s="225"/>
      <c r="Q3124" s="225"/>
      <c r="R3124"/>
      <c r="S3124"/>
      <c r="T3124"/>
      <c r="U3124"/>
      <c r="V3124"/>
      <c r="W3124"/>
      <c r="X3124"/>
    </row>
    <row r="3125" spans="5:24" x14ac:dyDescent="0.3">
      <c r="E3125" s="173"/>
      <c r="F3125" s="173"/>
      <c r="I3125"/>
      <c r="J3125"/>
      <c r="K3125"/>
      <c r="L3125"/>
      <c r="M3125"/>
      <c r="N3125"/>
      <c r="O3125"/>
      <c r="P3125" s="225"/>
      <c r="Q3125" s="225"/>
      <c r="R3125"/>
      <c r="S3125"/>
      <c r="T3125"/>
      <c r="U3125"/>
      <c r="V3125"/>
      <c r="W3125"/>
      <c r="X3125"/>
    </row>
    <row r="3126" spans="5:24" x14ac:dyDescent="0.3">
      <c r="E3126" s="173"/>
      <c r="F3126" s="173"/>
      <c r="I3126"/>
      <c r="J3126"/>
      <c r="K3126"/>
      <c r="L3126"/>
      <c r="M3126"/>
      <c r="N3126"/>
      <c r="O3126"/>
      <c r="P3126" s="225"/>
      <c r="Q3126" s="225"/>
      <c r="R3126"/>
      <c r="S3126"/>
      <c r="T3126"/>
      <c r="U3126"/>
      <c r="V3126"/>
      <c r="W3126"/>
      <c r="X3126"/>
    </row>
    <row r="3127" spans="5:24" x14ac:dyDescent="0.3">
      <c r="E3127" s="173"/>
      <c r="F3127" s="173"/>
      <c r="I3127"/>
      <c r="J3127"/>
      <c r="K3127"/>
      <c r="L3127"/>
      <c r="M3127"/>
      <c r="N3127"/>
      <c r="O3127"/>
      <c r="P3127" s="225"/>
      <c r="Q3127" s="225"/>
      <c r="R3127"/>
      <c r="S3127"/>
      <c r="T3127"/>
      <c r="U3127"/>
      <c r="V3127"/>
      <c r="W3127"/>
      <c r="X3127"/>
    </row>
    <row r="3128" spans="5:24" x14ac:dyDescent="0.3">
      <c r="E3128" s="173"/>
      <c r="F3128" s="173"/>
      <c r="I3128"/>
      <c r="J3128"/>
      <c r="K3128"/>
      <c r="L3128"/>
      <c r="M3128"/>
      <c r="N3128"/>
      <c r="O3128"/>
      <c r="P3128" s="225"/>
      <c r="Q3128" s="225"/>
      <c r="R3128"/>
      <c r="S3128"/>
      <c r="T3128"/>
      <c r="U3128"/>
      <c r="V3128"/>
      <c r="W3128"/>
      <c r="X3128"/>
    </row>
    <row r="3129" spans="5:24" x14ac:dyDescent="0.3">
      <c r="E3129" s="173"/>
      <c r="F3129" s="173"/>
      <c r="I3129"/>
      <c r="J3129"/>
      <c r="K3129"/>
      <c r="L3129"/>
      <c r="M3129"/>
      <c r="N3129"/>
      <c r="O3129"/>
      <c r="P3129" s="225"/>
      <c r="Q3129" s="225"/>
      <c r="R3129"/>
      <c r="S3129"/>
      <c r="T3129"/>
      <c r="U3129"/>
      <c r="V3129"/>
      <c r="W3129"/>
      <c r="X3129"/>
    </row>
    <row r="3130" spans="5:24" x14ac:dyDescent="0.3">
      <c r="E3130" s="173"/>
      <c r="F3130" s="173"/>
      <c r="I3130"/>
      <c r="J3130"/>
      <c r="K3130"/>
      <c r="L3130"/>
      <c r="M3130"/>
      <c r="N3130"/>
      <c r="O3130"/>
      <c r="P3130" s="225"/>
      <c r="Q3130" s="225"/>
      <c r="R3130"/>
      <c r="S3130"/>
      <c r="T3130"/>
      <c r="U3130"/>
      <c r="V3130"/>
      <c r="W3130"/>
      <c r="X3130"/>
    </row>
    <row r="3131" spans="5:24" x14ac:dyDescent="0.3">
      <c r="E3131" s="173"/>
      <c r="F3131" s="173"/>
      <c r="I3131"/>
      <c r="J3131"/>
      <c r="K3131"/>
      <c r="L3131"/>
      <c r="M3131"/>
      <c r="N3131"/>
      <c r="O3131"/>
      <c r="P3131" s="225"/>
      <c r="Q3131" s="225"/>
      <c r="R3131"/>
      <c r="S3131"/>
      <c r="T3131"/>
      <c r="U3131"/>
      <c r="V3131"/>
      <c r="W3131"/>
      <c r="X3131"/>
    </row>
    <row r="3132" spans="5:24" x14ac:dyDescent="0.3">
      <c r="E3132" s="173"/>
      <c r="F3132" s="173"/>
      <c r="I3132"/>
      <c r="J3132"/>
      <c r="K3132"/>
      <c r="L3132"/>
      <c r="M3132"/>
      <c r="N3132"/>
      <c r="O3132"/>
      <c r="P3132" s="225"/>
      <c r="Q3132" s="225"/>
      <c r="R3132"/>
      <c r="S3132"/>
      <c r="T3132"/>
      <c r="U3132"/>
      <c r="V3132"/>
      <c r="W3132"/>
      <c r="X3132"/>
    </row>
    <row r="3133" spans="5:24" x14ac:dyDescent="0.3">
      <c r="E3133" s="173"/>
      <c r="F3133" s="173"/>
      <c r="I3133"/>
      <c r="J3133"/>
      <c r="K3133"/>
      <c r="L3133"/>
      <c r="M3133"/>
      <c r="N3133"/>
      <c r="O3133"/>
      <c r="P3133" s="225"/>
      <c r="Q3133" s="225"/>
      <c r="R3133"/>
      <c r="S3133"/>
      <c r="T3133"/>
      <c r="U3133"/>
      <c r="V3133"/>
      <c r="W3133"/>
      <c r="X3133"/>
    </row>
    <row r="3134" spans="5:24" x14ac:dyDescent="0.3">
      <c r="E3134" s="173"/>
      <c r="F3134" s="173"/>
      <c r="I3134"/>
      <c r="J3134"/>
      <c r="K3134"/>
      <c r="L3134"/>
      <c r="M3134"/>
      <c r="N3134"/>
      <c r="O3134"/>
      <c r="P3134" s="225"/>
      <c r="Q3134" s="225"/>
      <c r="R3134"/>
      <c r="S3134"/>
      <c r="T3134"/>
      <c r="U3134"/>
      <c r="V3134"/>
      <c r="W3134"/>
      <c r="X3134"/>
    </row>
    <row r="3135" spans="5:24" x14ac:dyDescent="0.3">
      <c r="E3135" s="173"/>
      <c r="F3135" s="173"/>
      <c r="I3135"/>
      <c r="J3135"/>
      <c r="K3135"/>
      <c r="L3135"/>
      <c r="M3135"/>
      <c r="N3135"/>
      <c r="O3135"/>
      <c r="P3135" s="225"/>
      <c r="Q3135" s="225"/>
      <c r="R3135"/>
      <c r="S3135"/>
      <c r="T3135"/>
      <c r="U3135"/>
      <c r="V3135"/>
      <c r="W3135"/>
      <c r="X3135"/>
    </row>
    <row r="3136" spans="5:24" x14ac:dyDescent="0.3">
      <c r="E3136" s="173"/>
      <c r="F3136" s="173"/>
      <c r="I3136"/>
      <c r="J3136"/>
      <c r="K3136"/>
      <c r="L3136"/>
      <c r="M3136"/>
      <c r="N3136"/>
      <c r="O3136"/>
      <c r="P3136" s="225"/>
      <c r="Q3136" s="225"/>
      <c r="R3136"/>
      <c r="S3136"/>
      <c r="T3136"/>
      <c r="U3136"/>
      <c r="V3136"/>
      <c r="W3136"/>
      <c r="X3136"/>
    </row>
    <row r="3137" spans="5:24" x14ac:dyDescent="0.3">
      <c r="E3137" s="173"/>
      <c r="F3137" s="173"/>
      <c r="I3137"/>
      <c r="J3137"/>
      <c r="K3137"/>
      <c r="L3137"/>
      <c r="M3137"/>
      <c r="N3137"/>
      <c r="O3137"/>
      <c r="P3137" s="225"/>
      <c r="Q3137" s="225"/>
      <c r="R3137"/>
      <c r="S3137"/>
      <c r="T3137"/>
      <c r="U3137"/>
      <c r="V3137"/>
      <c r="W3137"/>
      <c r="X3137"/>
    </row>
    <row r="3138" spans="5:24" x14ac:dyDescent="0.3">
      <c r="E3138" s="173"/>
      <c r="F3138" s="173"/>
      <c r="I3138"/>
      <c r="J3138"/>
      <c r="K3138"/>
      <c r="L3138"/>
      <c r="M3138"/>
      <c r="N3138"/>
      <c r="O3138"/>
      <c r="P3138" s="225"/>
      <c r="Q3138" s="225"/>
      <c r="R3138"/>
      <c r="S3138"/>
      <c r="T3138"/>
      <c r="U3138"/>
      <c r="V3138"/>
      <c r="W3138"/>
      <c r="X3138"/>
    </row>
    <row r="3139" spans="5:24" x14ac:dyDescent="0.3">
      <c r="E3139" s="173"/>
      <c r="F3139" s="173"/>
      <c r="I3139"/>
      <c r="J3139"/>
      <c r="K3139"/>
      <c r="L3139"/>
      <c r="M3139"/>
      <c r="N3139"/>
      <c r="O3139"/>
      <c r="P3139" s="225"/>
      <c r="Q3139" s="225"/>
      <c r="R3139"/>
      <c r="S3139"/>
      <c r="T3139"/>
      <c r="U3139"/>
      <c r="V3139"/>
      <c r="W3139"/>
      <c r="X3139"/>
    </row>
    <row r="3140" spans="5:24" x14ac:dyDescent="0.3">
      <c r="E3140" s="173"/>
      <c r="F3140" s="173"/>
      <c r="I3140"/>
      <c r="J3140"/>
      <c r="K3140"/>
      <c r="L3140"/>
      <c r="M3140"/>
      <c r="N3140"/>
      <c r="O3140"/>
      <c r="P3140" s="225"/>
      <c r="Q3140" s="225"/>
      <c r="R3140"/>
      <c r="S3140"/>
      <c r="T3140"/>
      <c r="U3140"/>
      <c r="V3140"/>
      <c r="W3140"/>
      <c r="X3140"/>
    </row>
    <row r="3141" spans="5:24" x14ac:dyDescent="0.3">
      <c r="E3141" s="173"/>
      <c r="F3141" s="173"/>
      <c r="I3141"/>
      <c r="J3141"/>
      <c r="K3141"/>
      <c r="L3141"/>
      <c r="M3141"/>
      <c r="N3141"/>
      <c r="O3141"/>
      <c r="P3141" s="225"/>
      <c r="Q3141" s="225"/>
      <c r="R3141"/>
      <c r="S3141"/>
      <c r="T3141"/>
      <c r="U3141"/>
      <c r="V3141"/>
      <c r="W3141"/>
      <c r="X3141"/>
    </row>
    <row r="3142" spans="5:24" x14ac:dyDescent="0.3">
      <c r="E3142" s="173"/>
      <c r="F3142" s="173"/>
      <c r="I3142"/>
      <c r="J3142"/>
      <c r="K3142"/>
      <c r="L3142"/>
      <c r="M3142"/>
      <c r="N3142"/>
      <c r="O3142"/>
      <c r="P3142" s="225"/>
      <c r="Q3142" s="225"/>
      <c r="R3142"/>
      <c r="S3142"/>
      <c r="T3142"/>
      <c r="U3142"/>
      <c r="V3142"/>
      <c r="W3142"/>
      <c r="X3142"/>
    </row>
    <row r="3143" spans="5:24" x14ac:dyDescent="0.3">
      <c r="E3143" s="173"/>
      <c r="F3143" s="173"/>
      <c r="I3143"/>
      <c r="J3143"/>
      <c r="K3143"/>
      <c r="L3143"/>
      <c r="M3143"/>
      <c r="N3143"/>
      <c r="O3143"/>
      <c r="P3143" s="225"/>
      <c r="Q3143" s="225"/>
      <c r="R3143"/>
      <c r="S3143"/>
      <c r="T3143"/>
      <c r="U3143"/>
      <c r="V3143"/>
      <c r="W3143"/>
      <c r="X3143"/>
    </row>
    <row r="3144" spans="5:24" x14ac:dyDescent="0.3">
      <c r="E3144" s="173"/>
      <c r="F3144" s="173"/>
      <c r="I3144"/>
      <c r="J3144"/>
      <c r="K3144"/>
      <c r="L3144"/>
      <c r="M3144"/>
      <c r="N3144"/>
      <c r="O3144"/>
      <c r="P3144" s="225"/>
      <c r="Q3144" s="225"/>
      <c r="R3144"/>
      <c r="S3144"/>
      <c r="T3144"/>
      <c r="U3144"/>
      <c r="V3144"/>
      <c r="W3144"/>
      <c r="X3144"/>
    </row>
    <row r="3145" spans="5:24" x14ac:dyDescent="0.3">
      <c r="E3145" s="173"/>
      <c r="F3145" s="173"/>
      <c r="I3145"/>
      <c r="J3145"/>
      <c r="K3145"/>
      <c r="L3145"/>
      <c r="M3145"/>
      <c r="N3145"/>
      <c r="O3145"/>
      <c r="P3145" s="225"/>
      <c r="Q3145" s="225"/>
      <c r="R3145"/>
      <c r="S3145"/>
      <c r="T3145"/>
      <c r="U3145"/>
      <c r="V3145"/>
      <c r="W3145"/>
      <c r="X3145"/>
    </row>
    <row r="3146" spans="5:24" x14ac:dyDescent="0.3">
      <c r="E3146" s="173"/>
      <c r="F3146" s="173"/>
      <c r="I3146"/>
      <c r="J3146"/>
      <c r="K3146"/>
      <c r="L3146"/>
      <c r="M3146"/>
      <c r="N3146"/>
      <c r="O3146"/>
      <c r="P3146" s="225"/>
      <c r="Q3146" s="225"/>
      <c r="R3146"/>
      <c r="S3146"/>
      <c r="T3146"/>
      <c r="U3146"/>
      <c r="V3146"/>
      <c r="W3146"/>
      <c r="X3146"/>
    </row>
    <row r="3147" spans="5:24" x14ac:dyDescent="0.3">
      <c r="E3147" s="173"/>
      <c r="F3147" s="173"/>
      <c r="I3147"/>
      <c r="J3147"/>
      <c r="K3147"/>
      <c r="L3147"/>
      <c r="M3147"/>
      <c r="N3147"/>
      <c r="O3147"/>
      <c r="P3147" s="225"/>
      <c r="Q3147" s="225"/>
      <c r="R3147"/>
      <c r="S3147"/>
      <c r="T3147"/>
      <c r="U3147"/>
      <c r="V3147"/>
      <c r="W3147"/>
      <c r="X3147"/>
    </row>
    <row r="3148" spans="5:24" x14ac:dyDescent="0.3">
      <c r="E3148" s="173"/>
      <c r="F3148" s="173"/>
      <c r="I3148"/>
      <c r="J3148"/>
      <c r="K3148"/>
      <c r="L3148"/>
      <c r="M3148"/>
      <c r="N3148"/>
      <c r="O3148"/>
      <c r="P3148" s="225"/>
      <c r="Q3148" s="225"/>
      <c r="R3148"/>
      <c r="S3148"/>
      <c r="T3148"/>
      <c r="U3148"/>
      <c r="V3148"/>
      <c r="W3148"/>
      <c r="X3148"/>
    </row>
    <row r="3149" spans="5:24" x14ac:dyDescent="0.3">
      <c r="E3149" s="173"/>
      <c r="F3149" s="173"/>
      <c r="I3149"/>
      <c r="J3149"/>
      <c r="K3149"/>
      <c r="L3149"/>
      <c r="M3149"/>
      <c r="N3149"/>
      <c r="O3149"/>
      <c r="P3149" s="225"/>
      <c r="Q3149" s="225"/>
      <c r="R3149"/>
      <c r="S3149"/>
      <c r="T3149"/>
      <c r="U3149"/>
      <c r="V3149"/>
      <c r="W3149"/>
      <c r="X3149"/>
    </row>
    <row r="3150" spans="5:24" x14ac:dyDescent="0.3">
      <c r="E3150" s="173"/>
      <c r="F3150" s="173"/>
      <c r="I3150"/>
      <c r="J3150"/>
      <c r="K3150"/>
      <c r="L3150"/>
      <c r="M3150"/>
      <c r="N3150"/>
      <c r="O3150"/>
      <c r="P3150" s="225"/>
      <c r="Q3150" s="225"/>
      <c r="R3150"/>
      <c r="S3150"/>
      <c r="T3150"/>
      <c r="U3150"/>
      <c r="V3150"/>
      <c r="W3150"/>
      <c r="X3150"/>
    </row>
    <row r="3151" spans="5:24" x14ac:dyDescent="0.3">
      <c r="E3151" s="173"/>
      <c r="F3151" s="173"/>
      <c r="I3151"/>
      <c r="J3151"/>
      <c r="K3151"/>
      <c r="L3151"/>
      <c r="M3151"/>
      <c r="N3151"/>
      <c r="O3151"/>
      <c r="P3151" s="225"/>
      <c r="Q3151" s="225"/>
      <c r="R3151"/>
      <c r="S3151"/>
      <c r="T3151"/>
      <c r="U3151"/>
      <c r="V3151"/>
      <c r="W3151"/>
      <c r="X3151"/>
    </row>
    <row r="3152" spans="5:24" x14ac:dyDescent="0.3">
      <c r="E3152" s="173"/>
      <c r="F3152" s="173"/>
      <c r="I3152"/>
      <c r="J3152"/>
      <c r="K3152"/>
      <c r="L3152"/>
      <c r="M3152"/>
      <c r="N3152"/>
      <c r="O3152"/>
      <c r="P3152" s="225"/>
      <c r="Q3152" s="225"/>
      <c r="R3152"/>
      <c r="S3152"/>
      <c r="T3152"/>
      <c r="U3152"/>
      <c r="V3152"/>
      <c r="W3152"/>
      <c r="X3152"/>
    </row>
    <row r="3153" spans="5:24" x14ac:dyDescent="0.3">
      <c r="E3153" s="173"/>
      <c r="F3153" s="173"/>
      <c r="I3153"/>
      <c r="J3153"/>
      <c r="K3153"/>
      <c r="L3153"/>
      <c r="M3153"/>
      <c r="N3153"/>
      <c r="O3153"/>
      <c r="P3153" s="225"/>
      <c r="Q3153" s="225"/>
      <c r="R3153"/>
      <c r="S3153"/>
      <c r="T3153"/>
      <c r="U3153"/>
      <c r="V3153"/>
      <c r="W3153"/>
      <c r="X3153"/>
    </row>
    <row r="3154" spans="5:24" x14ac:dyDescent="0.3">
      <c r="E3154" s="173"/>
      <c r="F3154" s="173"/>
      <c r="I3154"/>
      <c r="J3154"/>
      <c r="K3154"/>
      <c r="L3154"/>
      <c r="M3154"/>
      <c r="N3154"/>
      <c r="O3154"/>
      <c r="P3154" s="225"/>
      <c r="Q3154" s="225"/>
      <c r="R3154"/>
      <c r="S3154"/>
      <c r="T3154"/>
      <c r="U3154"/>
      <c r="V3154"/>
      <c r="W3154"/>
      <c r="X3154"/>
    </row>
    <row r="3155" spans="5:24" x14ac:dyDescent="0.3">
      <c r="E3155" s="173"/>
      <c r="F3155" s="173"/>
      <c r="I3155"/>
      <c r="J3155"/>
      <c r="K3155"/>
      <c r="L3155"/>
      <c r="M3155"/>
      <c r="N3155"/>
      <c r="O3155"/>
      <c r="P3155" s="225"/>
      <c r="Q3155" s="225"/>
      <c r="R3155"/>
      <c r="S3155"/>
      <c r="T3155"/>
      <c r="U3155"/>
      <c r="V3155"/>
      <c r="W3155"/>
      <c r="X3155"/>
    </row>
    <row r="3156" spans="5:24" x14ac:dyDescent="0.3">
      <c r="E3156" s="173"/>
      <c r="F3156" s="173"/>
      <c r="I3156"/>
      <c r="J3156"/>
      <c r="K3156"/>
      <c r="L3156"/>
      <c r="M3156"/>
      <c r="N3156"/>
      <c r="O3156"/>
      <c r="P3156" s="225"/>
      <c r="Q3156" s="225"/>
      <c r="R3156"/>
      <c r="S3156"/>
      <c r="T3156"/>
      <c r="U3156"/>
      <c r="V3156"/>
      <c r="W3156"/>
      <c r="X3156"/>
    </row>
    <row r="3157" spans="5:24" x14ac:dyDescent="0.3">
      <c r="E3157" s="173"/>
      <c r="F3157" s="173"/>
      <c r="I3157"/>
      <c r="J3157"/>
      <c r="K3157"/>
      <c r="L3157"/>
      <c r="M3157"/>
      <c r="N3157"/>
      <c r="O3157"/>
      <c r="P3157" s="225"/>
      <c r="Q3157" s="225"/>
      <c r="R3157"/>
      <c r="S3157"/>
      <c r="T3157"/>
      <c r="U3157"/>
      <c r="V3157"/>
      <c r="W3157"/>
      <c r="X3157"/>
    </row>
    <row r="3158" spans="5:24" x14ac:dyDescent="0.3">
      <c r="E3158" s="173"/>
      <c r="F3158" s="173"/>
      <c r="I3158"/>
      <c r="J3158"/>
      <c r="K3158"/>
      <c r="L3158"/>
      <c r="M3158"/>
      <c r="N3158"/>
      <c r="O3158"/>
      <c r="P3158" s="225"/>
      <c r="Q3158" s="225"/>
      <c r="R3158"/>
      <c r="S3158"/>
      <c r="T3158"/>
      <c r="U3158"/>
      <c r="V3158"/>
      <c r="W3158"/>
      <c r="X3158"/>
    </row>
    <row r="3159" spans="5:24" x14ac:dyDescent="0.3">
      <c r="E3159" s="173"/>
      <c r="F3159" s="173"/>
      <c r="I3159"/>
      <c r="J3159"/>
      <c r="K3159"/>
      <c r="L3159"/>
      <c r="M3159"/>
      <c r="N3159"/>
      <c r="O3159"/>
      <c r="P3159" s="225"/>
      <c r="Q3159" s="225"/>
      <c r="R3159"/>
      <c r="S3159"/>
      <c r="T3159"/>
      <c r="U3159"/>
      <c r="V3159"/>
      <c r="W3159"/>
      <c r="X3159"/>
    </row>
    <row r="3160" spans="5:24" x14ac:dyDescent="0.3">
      <c r="E3160" s="173"/>
      <c r="F3160" s="173"/>
      <c r="I3160"/>
      <c r="J3160"/>
      <c r="K3160"/>
      <c r="L3160"/>
      <c r="M3160"/>
      <c r="N3160"/>
      <c r="O3160"/>
      <c r="P3160" s="225"/>
      <c r="Q3160" s="225"/>
      <c r="R3160"/>
      <c r="S3160"/>
      <c r="T3160"/>
      <c r="U3160"/>
      <c r="V3160"/>
      <c r="W3160"/>
      <c r="X3160"/>
    </row>
    <row r="3161" spans="5:24" x14ac:dyDescent="0.3">
      <c r="E3161" s="173"/>
      <c r="F3161" s="173"/>
      <c r="I3161"/>
      <c r="J3161"/>
      <c r="K3161"/>
      <c r="L3161"/>
      <c r="M3161"/>
      <c r="N3161"/>
      <c r="O3161"/>
      <c r="P3161" s="225"/>
      <c r="Q3161" s="225"/>
      <c r="R3161"/>
      <c r="S3161"/>
      <c r="T3161"/>
      <c r="U3161"/>
      <c r="V3161"/>
      <c r="W3161"/>
      <c r="X3161"/>
    </row>
    <row r="3162" spans="5:24" x14ac:dyDescent="0.3">
      <c r="E3162" s="173"/>
      <c r="F3162" s="173"/>
      <c r="I3162"/>
      <c r="J3162"/>
      <c r="K3162"/>
      <c r="L3162"/>
      <c r="M3162"/>
      <c r="N3162"/>
      <c r="O3162"/>
      <c r="P3162" s="225"/>
      <c r="Q3162" s="225"/>
      <c r="R3162"/>
      <c r="S3162"/>
      <c r="T3162"/>
      <c r="U3162"/>
      <c r="V3162"/>
      <c r="W3162"/>
      <c r="X3162"/>
    </row>
    <row r="3163" spans="5:24" x14ac:dyDescent="0.3">
      <c r="E3163" s="173"/>
      <c r="F3163" s="173"/>
      <c r="I3163"/>
      <c r="J3163"/>
      <c r="K3163"/>
      <c r="L3163"/>
      <c r="M3163"/>
      <c r="N3163"/>
      <c r="O3163"/>
      <c r="P3163" s="225"/>
      <c r="Q3163" s="225"/>
      <c r="R3163"/>
      <c r="S3163"/>
      <c r="T3163"/>
      <c r="U3163"/>
      <c r="V3163"/>
      <c r="W3163"/>
      <c r="X3163"/>
    </row>
    <row r="3164" spans="5:24" x14ac:dyDescent="0.3">
      <c r="E3164" s="173"/>
      <c r="F3164" s="173"/>
      <c r="I3164"/>
      <c r="J3164"/>
      <c r="K3164"/>
      <c r="L3164"/>
      <c r="M3164"/>
      <c r="N3164"/>
      <c r="O3164"/>
      <c r="P3164" s="225"/>
      <c r="Q3164" s="225"/>
      <c r="R3164"/>
      <c r="S3164"/>
      <c r="T3164"/>
      <c r="U3164"/>
      <c r="V3164"/>
      <c r="W3164"/>
      <c r="X3164"/>
    </row>
    <row r="3165" spans="5:24" x14ac:dyDescent="0.3">
      <c r="E3165" s="173"/>
      <c r="F3165" s="173"/>
      <c r="I3165"/>
      <c r="J3165"/>
      <c r="K3165"/>
      <c r="L3165"/>
      <c r="M3165"/>
      <c r="N3165"/>
      <c r="O3165"/>
      <c r="P3165" s="225"/>
      <c r="Q3165" s="225"/>
      <c r="R3165"/>
      <c r="S3165"/>
      <c r="T3165"/>
      <c r="U3165"/>
      <c r="V3165"/>
      <c r="W3165"/>
      <c r="X3165"/>
    </row>
    <row r="3166" spans="5:24" x14ac:dyDescent="0.3">
      <c r="E3166" s="173"/>
      <c r="F3166" s="173"/>
      <c r="I3166"/>
      <c r="J3166"/>
      <c r="K3166"/>
      <c r="L3166"/>
      <c r="M3166"/>
      <c r="N3166"/>
      <c r="O3166"/>
      <c r="P3166" s="225"/>
      <c r="Q3166" s="225"/>
      <c r="R3166"/>
      <c r="S3166"/>
      <c r="T3166"/>
      <c r="U3166"/>
      <c r="V3166"/>
      <c r="W3166"/>
      <c r="X3166"/>
    </row>
    <row r="3167" spans="5:24" x14ac:dyDescent="0.3">
      <c r="E3167" s="173"/>
      <c r="F3167" s="173"/>
      <c r="I3167"/>
      <c r="J3167"/>
      <c r="K3167"/>
      <c r="L3167"/>
      <c r="M3167"/>
      <c r="N3167"/>
      <c r="O3167"/>
      <c r="P3167" s="225"/>
      <c r="Q3167" s="225"/>
      <c r="R3167"/>
      <c r="S3167"/>
      <c r="T3167"/>
      <c r="U3167"/>
      <c r="V3167"/>
      <c r="W3167"/>
      <c r="X3167"/>
    </row>
    <row r="3168" spans="5:24" x14ac:dyDescent="0.3">
      <c r="E3168" s="173"/>
      <c r="F3168" s="173"/>
      <c r="I3168"/>
      <c r="J3168"/>
      <c r="K3168"/>
      <c r="L3168"/>
      <c r="M3168"/>
      <c r="N3168"/>
      <c r="O3168"/>
      <c r="P3168" s="225"/>
      <c r="Q3168" s="225"/>
      <c r="R3168"/>
      <c r="S3168"/>
      <c r="T3168"/>
      <c r="U3168"/>
      <c r="V3168"/>
      <c r="W3168"/>
      <c r="X3168"/>
    </row>
    <row r="3169" spans="5:24" x14ac:dyDescent="0.3">
      <c r="E3169" s="173"/>
      <c r="F3169" s="173"/>
      <c r="I3169"/>
      <c r="J3169"/>
      <c r="K3169"/>
      <c r="L3169"/>
      <c r="M3169"/>
      <c r="N3169"/>
      <c r="O3169"/>
      <c r="P3169" s="225"/>
      <c r="Q3169" s="225"/>
      <c r="R3169"/>
      <c r="S3169"/>
      <c r="T3169"/>
      <c r="U3169"/>
      <c r="V3169"/>
      <c r="W3169"/>
      <c r="X3169"/>
    </row>
    <row r="3170" spans="5:24" x14ac:dyDescent="0.3">
      <c r="E3170" s="173"/>
      <c r="F3170" s="173"/>
      <c r="I3170"/>
      <c r="J3170"/>
      <c r="K3170"/>
      <c r="L3170"/>
      <c r="M3170"/>
      <c r="N3170"/>
      <c r="O3170"/>
      <c r="P3170" s="225"/>
      <c r="Q3170" s="225"/>
      <c r="R3170"/>
      <c r="S3170"/>
      <c r="T3170"/>
      <c r="U3170"/>
      <c r="V3170"/>
      <c r="W3170"/>
      <c r="X3170"/>
    </row>
    <row r="3171" spans="5:24" x14ac:dyDescent="0.3">
      <c r="E3171" s="173"/>
      <c r="F3171" s="173"/>
      <c r="I3171"/>
      <c r="J3171"/>
      <c r="K3171"/>
      <c r="L3171"/>
      <c r="M3171"/>
      <c r="N3171"/>
      <c r="O3171"/>
      <c r="P3171" s="225"/>
      <c r="Q3171" s="225"/>
      <c r="R3171"/>
      <c r="S3171"/>
      <c r="T3171"/>
      <c r="U3171"/>
      <c r="V3171"/>
      <c r="W3171"/>
      <c r="X3171"/>
    </row>
    <row r="3172" spans="5:24" x14ac:dyDescent="0.3">
      <c r="E3172" s="173"/>
      <c r="F3172" s="173"/>
      <c r="I3172"/>
      <c r="J3172"/>
      <c r="K3172"/>
      <c r="L3172"/>
      <c r="M3172"/>
      <c r="N3172"/>
      <c r="O3172"/>
      <c r="P3172" s="225"/>
      <c r="Q3172" s="225"/>
      <c r="R3172"/>
      <c r="S3172"/>
      <c r="T3172"/>
      <c r="U3172"/>
      <c r="V3172"/>
      <c r="W3172"/>
      <c r="X3172"/>
    </row>
    <row r="3173" spans="5:24" x14ac:dyDescent="0.3">
      <c r="E3173" s="173"/>
      <c r="F3173" s="173"/>
      <c r="I3173"/>
      <c r="J3173"/>
      <c r="K3173"/>
      <c r="L3173"/>
      <c r="M3173"/>
      <c r="N3173"/>
      <c r="O3173"/>
      <c r="P3173" s="225"/>
      <c r="Q3173" s="225"/>
      <c r="R3173"/>
      <c r="S3173"/>
      <c r="T3173"/>
      <c r="U3173"/>
      <c r="V3173"/>
      <c r="W3173"/>
      <c r="X3173"/>
    </row>
    <row r="3174" spans="5:24" x14ac:dyDescent="0.3">
      <c r="E3174" s="173"/>
      <c r="F3174" s="173"/>
      <c r="I3174"/>
      <c r="J3174"/>
      <c r="K3174"/>
      <c r="L3174"/>
      <c r="M3174"/>
      <c r="N3174"/>
      <c r="O3174"/>
      <c r="P3174" s="225"/>
      <c r="Q3174" s="225"/>
      <c r="R3174"/>
      <c r="S3174"/>
      <c r="T3174"/>
      <c r="U3174"/>
      <c r="V3174"/>
      <c r="W3174"/>
      <c r="X3174"/>
    </row>
    <row r="3175" spans="5:24" x14ac:dyDescent="0.3">
      <c r="E3175" s="173"/>
      <c r="F3175" s="173"/>
      <c r="I3175"/>
      <c r="J3175"/>
      <c r="K3175"/>
      <c r="L3175"/>
      <c r="M3175"/>
      <c r="N3175"/>
      <c r="O3175"/>
      <c r="P3175" s="225"/>
      <c r="Q3175" s="225"/>
      <c r="R3175"/>
      <c r="S3175"/>
      <c r="T3175"/>
      <c r="U3175"/>
      <c r="V3175"/>
      <c r="W3175"/>
      <c r="X3175"/>
    </row>
    <row r="3176" spans="5:24" x14ac:dyDescent="0.3">
      <c r="E3176" s="173"/>
      <c r="F3176" s="173"/>
      <c r="I3176"/>
      <c r="J3176"/>
      <c r="K3176"/>
      <c r="L3176"/>
      <c r="M3176"/>
      <c r="N3176"/>
      <c r="O3176"/>
      <c r="P3176" s="225"/>
      <c r="Q3176" s="225"/>
      <c r="R3176"/>
      <c r="S3176"/>
      <c r="T3176"/>
      <c r="U3176"/>
      <c r="V3176"/>
      <c r="W3176"/>
      <c r="X3176"/>
    </row>
    <row r="3177" spans="5:24" x14ac:dyDescent="0.3">
      <c r="E3177" s="173"/>
      <c r="F3177" s="173"/>
      <c r="I3177"/>
      <c r="J3177"/>
      <c r="K3177"/>
      <c r="L3177"/>
      <c r="M3177"/>
      <c r="N3177"/>
      <c r="O3177"/>
      <c r="P3177" s="225"/>
      <c r="Q3177" s="225"/>
      <c r="R3177"/>
      <c r="S3177"/>
      <c r="T3177"/>
      <c r="U3177"/>
      <c r="V3177"/>
      <c r="W3177"/>
      <c r="X3177"/>
    </row>
    <row r="3178" spans="5:24" x14ac:dyDescent="0.3">
      <c r="E3178" s="173"/>
      <c r="F3178" s="173"/>
      <c r="I3178"/>
      <c r="J3178"/>
      <c r="K3178"/>
      <c r="L3178"/>
      <c r="M3178"/>
      <c r="N3178"/>
      <c r="O3178"/>
      <c r="P3178" s="225"/>
      <c r="Q3178" s="225"/>
      <c r="R3178"/>
      <c r="S3178"/>
      <c r="T3178"/>
      <c r="U3178"/>
      <c r="V3178"/>
      <c r="W3178"/>
      <c r="X3178"/>
    </row>
    <row r="3179" spans="5:24" x14ac:dyDescent="0.3">
      <c r="E3179" s="173"/>
      <c r="F3179" s="173"/>
      <c r="I3179"/>
      <c r="J3179"/>
      <c r="K3179"/>
      <c r="L3179"/>
      <c r="M3179"/>
      <c r="N3179"/>
      <c r="O3179"/>
      <c r="P3179" s="225"/>
      <c r="Q3179" s="225"/>
      <c r="R3179"/>
      <c r="S3179"/>
      <c r="T3179"/>
      <c r="U3179"/>
      <c r="V3179"/>
      <c r="W3179"/>
      <c r="X3179"/>
    </row>
    <row r="3180" spans="5:24" x14ac:dyDescent="0.3">
      <c r="E3180" s="173"/>
      <c r="F3180" s="173"/>
      <c r="I3180"/>
      <c r="J3180"/>
      <c r="K3180"/>
      <c r="L3180"/>
      <c r="M3180"/>
      <c r="N3180"/>
      <c r="O3180"/>
      <c r="P3180" s="225"/>
      <c r="Q3180" s="225"/>
      <c r="R3180"/>
      <c r="S3180"/>
      <c r="T3180"/>
      <c r="U3180"/>
      <c r="V3180"/>
      <c r="W3180"/>
      <c r="X3180"/>
    </row>
    <row r="3181" spans="5:24" x14ac:dyDescent="0.3">
      <c r="E3181" s="173"/>
      <c r="F3181" s="173"/>
      <c r="I3181"/>
      <c r="J3181"/>
      <c r="K3181"/>
      <c r="L3181"/>
      <c r="M3181"/>
      <c r="N3181"/>
      <c r="O3181"/>
      <c r="P3181" s="225"/>
      <c r="Q3181" s="225"/>
      <c r="R3181"/>
      <c r="S3181"/>
      <c r="T3181"/>
      <c r="U3181"/>
      <c r="V3181"/>
      <c r="W3181"/>
      <c r="X3181"/>
    </row>
    <row r="3182" spans="5:24" x14ac:dyDescent="0.3">
      <c r="E3182" s="173"/>
      <c r="F3182" s="173"/>
      <c r="I3182"/>
      <c r="J3182"/>
      <c r="K3182"/>
      <c r="L3182"/>
      <c r="M3182"/>
      <c r="N3182"/>
      <c r="O3182"/>
      <c r="P3182" s="225"/>
      <c r="Q3182" s="225"/>
      <c r="R3182"/>
      <c r="S3182"/>
      <c r="T3182"/>
      <c r="U3182"/>
      <c r="V3182"/>
      <c r="W3182"/>
      <c r="X3182"/>
    </row>
    <row r="3183" spans="5:24" x14ac:dyDescent="0.3">
      <c r="E3183" s="173"/>
      <c r="F3183" s="173"/>
      <c r="I3183"/>
      <c r="J3183"/>
      <c r="K3183"/>
      <c r="L3183"/>
      <c r="M3183"/>
      <c r="N3183"/>
      <c r="O3183"/>
      <c r="P3183" s="225"/>
      <c r="Q3183" s="225"/>
      <c r="R3183"/>
      <c r="S3183"/>
      <c r="T3183"/>
      <c r="U3183"/>
      <c r="V3183"/>
      <c r="W3183"/>
      <c r="X3183"/>
    </row>
    <row r="3184" spans="5:24" x14ac:dyDescent="0.3">
      <c r="E3184" s="173"/>
      <c r="F3184" s="173"/>
      <c r="I3184"/>
      <c r="J3184"/>
      <c r="K3184"/>
      <c r="L3184"/>
      <c r="M3184"/>
      <c r="N3184"/>
      <c r="O3184"/>
      <c r="P3184" s="225"/>
      <c r="Q3184" s="225"/>
      <c r="R3184"/>
      <c r="S3184"/>
      <c r="T3184"/>
      <c r="U3184"/>
      <c r="V3184"/>
      <c r="W3184"/>
      <c r="X3184"/>
    </row>
    <row r="3185" spans="5:24" x14ac:dyDescent="0.3">
      <c r="E3185" s="173"/>
      <c r="F3185" s="173"/>
      <c r="I3185"/>
      <c r="J3185"/>
      <c r="K3185"/>
      <c r="L3185"/>
      <c r="M3185"/>
      <c r="N3185"/>
      <c r="O3185"/>
      <c r="P3185" s="225"/>
      <c r="Q3185" s="225"/>
      <c r="R3185"/>
      <c r="S3185"/>
      <c r="T3185"/>
      <c r="U3185"/>
      <c r="V3185"/>
      <c r="W3185"/>
      <c r="X3185"/>
    </row>
    <row r="3186" spans="5:24" x14ac:dyDescent="0.3">
      <c r="E3186" s="173"/>
      <c r="F3186" s="173"/>
      <c r="I3186"/>
      <c r="J3186"/>
      <c r="K3186"/>
      <c r="L3186"/>
      <c r="M3186"/>
      <c r="N3186"/>
      <c r="O3186"/>
      <c r="P3186" s="225"/>
      <c r="Q3186" s="225"/>
      <c r="R3186"/>
      <c r="S3186"/>
      <c r="T3186"/>
      <c r="U3186"/>
      <c r="V3186"/>
      <c r="W3186"/>
      <c r="X3186"/>
    </row>
    <row r="3187" spans="5:24" x14ac:dyDescent="0.3">
      <c r="E3187" s="173"/>
      <c r="F3187" s="173"/>
      <c r="I3187"/>
      <c r="J3187"/>
      <c r="K3187"/>
      <c r="L3187"/>
      <c r="M3187"/>
      <c r="N3187"/>
      <c r="O3187"/>
      <c r="P3187" s="225"/>
      <c r="Q3187" s="225"/>
      <c r="R3187"/>
      <c r="S3187"/>
      <c r="T3187"/>
      <c r="U3187"/>
      <c r="V3187"/>
      <c r="W3187"/>
      <c r="X3187"/>
    </row>
    <row r="3188" spans="5:24" x14ac:dyDescent="0.3">
      <c r="E3188" s="173"/>
      <c r="F3188" s="173"/>
      <c r="I3188"/>
      <c r="J3188"/>
      <c r="K3188"/>
      <c r="L3188"/>
      <c r="M3188"/>
      <c r="N3188"/>
      <c r="O3188"/>
      <c r="P3188" s="225"/>
      <c r="Q3188" s="225"/>
      <c r="R3188"/>
      <c r="S3188"/>
      <c r="T3188"/>
      <c r="U3188"/>
      <c r="V3188"/>
      <c r="W3188"/>
      <c r="X3188"/>
    </row>
    <row r="3189" spans="5:24" x14ac:dyDescent="0.3">
      <c r="E3189" s="173"/>
      <c r="F3189" s="173"/>
      <c r="I3189"/>
      <c r="J3189"/>
      <c r="K3189"/>
      <c r="L3189"/>
      <c r="M3189"/>
      <c r="N3189"/>
      <c r="O3189"/>
      <c r="P3189" s="225"/>
      <c r="Q3189" s="225"/>
      <c r="R3189"/>
      <c r="S3189"/>
      <c r="T3189"/>
      <c r="U3189"/>
      <c r="V3189"/>
      <c r="W3189"/>
      <c r="X3189"/>
    </row>
    <row r="3190" spans="5:24" x14ac:dyDescent="0.3">
      <c r="E3190" s="173"/>
      <c r="F3190" s="173"/>
      <c r="I3190"/>
      <c r="J3190"/>
      <c r="K3190"/>
      <c r="L3190"/>
      <c r="M3190"/>
      <c r="N3190"/>
      <c r="O3190"/>
      <c r="P3190" s="225"/>
      <c r="Q3190" s="225"/>
      <c r="R3190"/>
      <c r="S3190"/>
      <c r="T3190"/>
      <c r="U3190"/>
      <c r="V3190"/>
      <c r="W3190"/>
      <c r="X3190"/>
    </row>
    <row r="3191" spans="5:24" x14ac:dyDescent="0.3">
      <c r="E3191" s="173"/>
      <c r="F3191" s="173"/>
      <c r="I3191"/>
      <c r="J3191"/>
      <c r="K3191"/>
      <c r="L3191"/>
      <c r="M3191"/>
      <c r="N3191"/>
      <c r="O3191"/>
      <c r="P3191" s="225"/>
      <c r="Q3191" s="225"/>
      <c r="R3191"/>
      <c r="S3191"/>
      <c r="T3191"/>
      <c r="U3191"/>
      <c r="V3191"/>
      <c r="W3191"/>
      <c r="X3191"/>
    </row>
    <row r="3192" spans="5:24" x14ac:dyDescent="0.3">
      <c r="E3192" s="173"/>
      <c r="F3192" s="173"/>
      <c r="I3192"/>
      <c r="J3192"/>
      <c r="K3192"/>
      <c r="L3192"/>
      <c r="M3192"/>
      <c r="N3192"/>
      <c r="O3192"/>
      <c r="P3192" s="225"/>
      <c r="Q3192" s="225"/>
      <c r="R3192"/>
      <c r="S3192"/>
      <c r="T3192"/>
      <c r="U3192"/>
      <c r="V3192"/>
      <c r="W3192"/>
      <c r="X3192"/>
    </row>
    <row r="3193" spans="5:24" x14ac:dyDescent="0.3">
      <c r="E3193" s="173"/>
      <c r="F3193" s="173"/>
      <c r="I3193"/>
      <c r="J3193"/>
      <c r="K3193"/>
      <c r="L3193"/>
      <c r="M3193"/>
      <c r="N3193"/>
      <c r="O3193"/>
      <c r="P3193" s="225"/>
      <c r="Q3193" s="225"/>
      <c r="R3193"/>
      <c r="S3193"/>
      <c r="T3193"/>
      <c r="U3193"/>
      <c r="V3193"/>
      <c r="W3193"/>
      <c r="X3193"/>
    </row>
    <row r="3194" spans="5:24" x14ac:dyDescent="0.3">
      <c r="E3194" s="173"/>
      <c r="F3194" s="173"/>
      <c r="I3194"/>
      <c r="J3194"/>
      <c r="K3194"/>
      <c r="L3194"/>
      <c r="M3194"/>
      <c r="N3194"/>
      <c r="O3194"/>
      <c r="P3194" s="225"/>
      <c r="Q3194" s="225"/>
      <c r="R3194"/>
      <c r="S3194"/>
      <c r="T3194"/>
      <c r="U3194"/>
      <c r="V3194"/>
      <c r="W3194"/>
      <c r="X3194"/>
    </row>
    <row r="3195" spans="5:24" x14ac:dyDescent="0.3">
      <c r="E3195" s="173"/>
      <c r="F3195" s="173"/>
      <c r="I3195"/>
      <c r="J3195"/>
      <c r="K3195"/>
      <c r="L3195"/>
      <c r="M3195"/>
      <c r="N3195"/>
      <c r="O3195"/>
      <c r="P3195" s="225"/>
      <c r="Q3195" s="225"/>
      <c r="R3195"/>
      <c r="S3195"/>
      <c r="T3195"/>
      <c r="U3195"/>
      <c r="V3195"/>
      <c r="W3195"/>
      <c r="X3195"/>
    </row>
    <row r="3196" spans="5:24" x14ac:dyDescent="0.3">
      <c r="E3196" s="173"/>
      <c r="F3196" s="173"/>
      <c r="I3196"/>
      <c r="J3196"/>
      <c r="K3196"/>
      <c r="L3196"/>
      <c r="M3196"/>
      <c r="N3196"/>
      <c r="O3196"/>
      <c r="P3196" s="225"/>
      <c r="Q3196" s="225"/>
      <c r="R3196"/>
      <c r="S3196"/>
      <c r="T3196"/>
      <c r="U3196"/>
      <c r="V3196"/>
      <c r="W3196"/>
      <c r="X3196"/>
    </row>
    <row r="3197" spans="5:24" x14ac:dyDescent="0.3">
      <c r="E3197" s="173"/>
      <c r="F3197" s="173"/>
      <c r="I3197"/>
      <c r="J3197"/>
      <c r="K3197"/>
      <c r="L3197"/>
      <c r="M3197"/>
      <c r="N3197"/>
      <c r="O3197"/>
      <c r="P3197" s="225"/>
      <c r="Q3197" s="225"/>
      <c r="R3197"/>
      <c r="S3197"/>
      <c r="T3197"/>
      <c r="U3197"/>
      <c r="V3197"/>
      <c r="W3197"/>
      <c r="X3197"/>
    </row>
    <row r="3198" spans="5:24" x14ac:dyDescent="0.3">
      <c r="E3198" s="173"/>
      <c r="F3198" s="173"/>
      <c r="I3198"/>
      <c r="J3198"/>
      <c r="K3198"/>
      <c r="L3198"/>
      <c r="M3198"/>
      <c r="N3198"/>
      <c r="O3198"/>
      <c r="P3198" s="225"/>
      <c r="Q3198" s="225"/>
      <c r="R3198"/>
      <c r="S3198"/>
      <c r="T3198"/>
      <c r="U3198"/>
      <c r="V3198"/>
      <c r="W3198"/>
      <c r="X3198"/>
    </row>
    <row r="3199" spans="5:24" x14ac:dyDescent="0.3">
      <c r="E3199" s="173"/>
      <c r="F3199" s="173"/>
      <c r="I3199"/>
      <c r="J3199"/>
      <c r="K3199"/>
      <c r="L3199"/>
      <c r="M3199"/>
      <c r="N3199"/>
      <c r="O3199"/>
      <c r="P3199" s="225"/>
      <c r="Q3199" s="225"/>
      <c r="R3199"/>
      <c r="S3199"/>
      <c r="T3199"/>
      <c r="U3199"/>
      <c r="V3199"/>
      <c r="W3199"/>
      <c r="X3199"/>
    </row>
    <row r="3200" spans="5:24" x14ac:dyDescent="0.3">
      <c r="E3200" s="173"/>
      <c r="F3200" s="173"/>
      <c r="I3200"/>
      <c r="J3200"/>
      <c r="K3200"/>
      <c r="L3200"/>
      <c r="M3200"/>
      <c r="N3200"/>
      <c r="O3200"/>
      <c r="P3200" s="225"/>
      <c r="Q3200" s="225"/>
      <c r="R3200"/>
      <c r="S3200"/>
      <c r="T3200"/>
      <c r="U3200"/>
      <c r="V3200"/>
      <c r="W3200"/>
      <c r="X3200"/>
    </row>
    <row r="3201" spans="5:24" x14ac:dyDescent="0.3">
      <c r="E3201" s="173"/>
      <c r="F3201" s="173"/>
      <c r="I3201"/>
      <c r="J3201"/>
      <c r="K3201"/>
      <c r="L3201"/>
      <c r="M3201"/>
      <c r="N3201"/>
      <c r="O3201"/>
      <c r="P3201" s="225"/>
      <c r="Q3201" s="225"/>
      <c r="R3201"/>
      <c r="S3201"/>
      <c r="T3201"/>
      <c r="U3201"/>
      <c r="V3201"/>
      <c r="W3201"/>
      <c r="X3201"/>
    </row>
    <row r="3202" spans="5:24" x14ac:dyDescent="0.3">
      <c r="E3202" s="173"/>
      <c r="F3202" s="173"/>
      <c r="I3202"/>
      <c r="J3202"/>
      <c r="K3202"/>
      <c r="L3202"/>
      <c r="M3202"/>
      <c r="N3202"/>
      <c r="O3202"/>
      <c r="P3202" s="225"/>
      <c r="Q3202" s="225"/>
      <c r="R3202"/>
      <c r="S3202"/>
      <c r="T3202"/>
      <c r="U3202"/>
      <c r="V3202"/>
      <c r="W3202"/>
      <c r="X3202"/>
    </row>
    <row r="3203" spans="5:24" x14ac:dyDescent="0.3">
      <c r="E3203" s="173"/>
      <c r="F3203" s="173"/>
      <c r="I3203"/>
      <c r="J3203"/>
      <c r="K3203"/>
      <c r="L3203"/>
      <c r="M3203"/>
      <c r="N3203"/>
      <c r="O3203"/>
      <c r="P3203" s="225"/>
      <c r="Q3203" s="225"/>
      <c r="R3203"/>
      <c r="S3203"/>
      <c r="T3203"/>
      <c r="U3203"/>
      <c r="V3203"/>
      <c r="W3203"/>
      <c r="X3203"/>
    </row>
    <row r="3204" spans="5:24" x14ac:dyDescent="0.3">
      <c r="E3204" s="173"/>
      <c r="F3204" s="173"/>
      <c r="I3204"/>
      <c r="J3204"/>
      <c r="K3204"/>
      <c r="L3204"/>
      <c r="M3204"/>
      <c r="N3204"/>
      <c r="O3204"/>
      <c r="P3204" s="225"/>
      <c r="Q3204" s="225"/>
      <c r="R3204"/>
      <c r="S3204"/>
      <c r="T3204"/>
      <c r="U3204"/>
      <c r="V3204"/>
      <c r="W3204"/>
      <c r="X3204"/>
    </row>
    <row r="3205" spans="5:24" x14ac:dyDescent="0.3">
      <c r="E3205" s="173"/>
      <c r="F3205" s="173"/>
      <c r="I3205"/>
      <c r="J3205"/>
      <c r="K3205"/>
      <c r="L3205"/>
      <c r="M3205"/>
      <c r="N3205"/>
      <c r="O3205"/>
      <c r="P3205" s="225"/>
      <c r="Q3205" s="225"/>
      <c r="R3205"/>
      <c r="S3205"/>
      <c r="T3205"/>
      <c r="U3205"/>
      <c r="V3205"/>
      <c r="W3205"/>
      <c r="X3205"/>
    </row>
    <row r="3206" spans="5:24" x14ac:dyDescent="0.3">
      <c r="E3206" s="173"/>
      <c r="F3206" s="173"/>
      <c r="I3206"/>
      <c r="J3206"/>
      <c r="K3206"/>
      <c r="L3206"/>
      <c r="M3206"/>
      <c r="N3206"/>
      <c r="O3206"/>
      <c r="P3206" s="225"/>
      <c r="Q3206" s="225"/>
      <c r="R3206"/>
      <c r="S3206"/>
      <c r="T3206"/>
      <c r="U3206"/>
      <c r="V3206"/>
      <c r="W3206"/>
      <c r="X3206"/>
    </row>
    <row r="3207" spans="5:24" x14ac:dyDescent="0.3">
      <c r="E3207" s="173"/>
      <c r="F3207" s="173"/>
      <c r="I3207"/>
      <c r="J3207"/>
      <c r="K3207"/>
      <c r="L3207"/>
      <c r="M3207"/>
      <c r="N3207"/>
      <c r="O3207"/>
      <c r="P3207" s="225"/>
      <c r="Q3207" s="225"/>
      <c r="R3207"/>
      <c r="S3207"/>
      <c r="T3207"/>
      <c r="U3207"/>
      <c r="V3207"/>
      <c r="W3207"/>
      <c r="X3207"/>
    </row>
    <row r="3208" spans="5:24" x14ac:dyDescent="0.3">
      <c r="E3208" s="173"/>
      <c r="F3208" s="173"/>
      <c r="I3208"/>
      <c r="J3208"/>
      <c r="K3208"/>
      <c r="L3208"/>
      <c r="M3208"/>
      <c r="N3208"/>
      <c r="O3208"/>
      <c r="P3208" s="225"/>
      <c r="Q3208" s="225"/>
      <c r="R3208"/>
      <c r="S3208"/>
      <c r="T3208"/>
      <c r="U3208"/>
      <c r="V3208"/>
      <c r="W3208"/>
      <c r="X3208"/>
    </row>
    <row r="3209" spans="5:24" x14ac:dyDescent="0.3">
      <c r="E3209" s="173"/>
      <c r="F3209" s="173"/>
      <c r="I3209"/>
      <c r="J3209"/>
      <c r="K3209"/>
      <c r="L3209"/>
      <c r="M3209"/>
      <c r="N3209"/>
      <c r="O3209"/>
      <c r="P3209" s="225"/>
      <c r="Q3209" s="225"/>
      <c r="R3209"/>
      <c r="S3209"/>
      <c r="T3209"/>
      <c r="U3209"/>
      <c r="V3209"/>
      <c r="W3209"/>
      <c r="X3209"/>
    </row>
    <row r="3210" spans="5:24" x14ac:dyDescent="0.3">
      <c r="E3210" s="173"/>
      <c r="F3210" s="173"/>
      <c r="I3210"/>
      <c r="J3210"/>
      <c r="K3210"/>
      <c r="L3210"/>
      <c r="M3210"/>
      <c r="N3210"/>
      <c r="O3210"/>
      <c r="P3210" s="225"/>
      <c r="Q3210" s="225"/>
      <c r="R3210"/>
      <c r="S3210"/>
      <c r="T3210"/>
      <c r="U3210"/>
      <c r="V3210"/>
      <c r="W3210"/>
      <c r="X3210"/>
    </row>
    <row r="3211" spans="5:24" x14ac:dyDescent="0.3">
      <c r="E3211" s="173"/>
      <c r="F3211" s="173"/>
      <c r="I3211"/>
      <c r="J3211"/>
      <c r="K3211"/>
      <c r="L3211"/>
      <c r="M3211"/>
      <c r="N3211"/>
      <c r="O3211"/>
      <c r="P3211" s="225"/>
      <c r="Q3211" s="225"/>
      <c r="R3211"/>
      <c r="S3211"/>
      <c r="T3211"/>
      <c r="U3211"/>
      <c r="V3211"/>
      <c r="W3211"/>
      <c r="X3211"/>
    </row>
    <row r="3212" spans="5:24" x14ac:dyDescent="0.3">
      <c r="E3212" s="173"/>
      <c r="F3212" s="173"/>
      <c r="I3212"/>
      <c r="J3212"/>
      <c r="K3212"/>
      <c r="L3212"/>
      <c r="M3212"/>
      <c r="N3212"/>
      <c r="O3212"/>
      <c r="P3212" s="225"/>
      <c r="Q3212" s="225"/>
      <c r="R3212"/>
      <c r="S3212"/>
      <c r="T3212"/>
      <c r="U3212"/>
      <c r="V3212"/>
      <c r="W3212"/>
      <c r="X3212"/>
    </row>
    <row r="3213" spans="5:24" x14ac:dyDescent="0.3">
      <c r="E3213" s="173"/>
      <c r="F3213" s="173"/>
      <c r="I3213"/>
      <c r="J3213"/>
      <c r="K3213"/>
      <c r="L3213"/>
      <c r="M3213"/>
      <c r="N3213"/>
      <c r="O3213"/>
      <c r="P3213" s="225"/>
      <c r="Q3213" s="225"/>
      <c r="R3213"/>
      <c r="S3213"/>
      <c r="T3213"/>
      <c r="U3213"/>
      <c r="V3213"/>
      <c r="W3213"/>
      <c r="X3213"/>
    </row>
    <row r="3214" spans="5:24" x14ac:dyDescent="0.3">
      <c r="E3214" s="173"/>
      <c r="F3214" s="173"/>
      <c r="I3214"/>
      <c r="J3214"/>
      <c r="K3214"/>
      <c r="L3214"/>
      <c r="M3214"/>
      <c r="N3214"/>
      <c r="O3214"/>
      <c r="P3214" s="225"/>
      <c r="Q3214" s="225"/>
      <c r="R3214"/>
      <c r="S3214"/>
      <c r="T3214"/>
      <c r="U3214"/>
      <c r="V3214"/>
      <c r="W3214"/>
      <c r="X3214"/>
    </row>
    <row r="3215" spans="5:24" x14ac:dyDescent="0.3">
      <c r="E3215" s="173"/>
      <c r="F3215" s="173"/>
      <c r="I3215"/>
      <c r="J3215"/>
      <c r="K3215"/>
      <c r="L3215"/>
      <c r="M3215"/>
      <c r="N3215"/>
      <c r="O3215"/>
      <c r="P3215" s="225"/>
      <c r="Q3215" s="225"/>
      <c r="R3215"/>
      <c r="S3215"/>
      <c r="T3215"/>
      <c r="U3215"/>
      <c r="V3215"/>
      <c r="W3215"/>
      <c r="X3215"/>
    </row>
    <row r="3216" spans="5:24" x14ac:dyDescent="0.3">
      <c r="E3216" s="173"/>
      <c r="F3216" s="173"/>
      <c r="I3216"/>
      <c r="J3216"/>
      <c r="K3216"/>
      <c r="L3216"/>
      <c r="M3216"/>
      <c r="N3216"/>
      <c r="O3216"/>
      <c r="P3216" s="225"/>
      <c r="Q3216" s="225"/>
      <c r="R3216"/>
      <c r="S3216"/>
      <c r="T3216"/>
      <c r="U3216"/>
      <c r="V3216"/>
      <c r="W3216"/>
      <c r="X3216"/>
    </row>
    <row r="3217" spans="5:24" x14ac:dyDescent="0.3">
      <c r="E3217" s="173"/>
      <c r="F3217" s="173"/>
      <c r="I3217"/>
      <c r="J3217"/>
      <c r="K3217"/>
      <c r="L3217"/>
      <c r="M3217"/>
      <c r="N3217"/>
      <c r="O3217"/>
      <c r="P3217" s="225"/>
      <c r="Q3217" s="225"/>
      <c r="R3217"/>
      <c r="S3217"/>
      <c r="T3217"/>
      <c r="U3217"/>
      <c r="V3217"/>
      <c r="W3217"/>
      <c r="X3217"/>
    </row>
    <row r="3218" spans="5:24" x14ac:dyDescent="0.3">
      <c r="E3218" s="173"/>
      <c r="F3218" s="173"/>
      <c r="I3218"/>
      <c r="J3218"/>
      <c r="K3218"/>
      <c r="L3218"/>
      <c r="M3218"/>
      <c r="N3218"/>
      <c r="O3218"/>
      <c r="P3218" s="225"/>
      <c r="Q3218" s="225"/>
      <c r="R3218"/>
      <c r="S3218"/>
      <c r="T3218"/>
      <c r="U3218"/>
      <c r="V3218"/>
      <c r="W3218"/>
      <c r="X3218"/>
    </row>
    <row r="3219" spans="5:24" x14ac:dyDescent="0.3">
      <c r="E3219" s="173"/>
      <c r="F3219" s="173"/>
      <c r="I3219"/>
      <c r="J3219"/>
      <c r="K3219"/>
      <c r="L3219"/>
      <c r="M3219"/>
      <c r="N3219"/>
      <c r="O3219"/>
      <c r="P3219" s="225"/>
      <c r="Q3219" s="225"/>
      <c r="R3219"/>
      <c r="S3219"/>
      <c r="T3219"/>
      <c r="U3219"/>
      <c r="V3219"/>
      <c r="W3219"/>
      <c r="X3219"/>
    </row>
    <row r="3220" spans="5:24" x14ac:dyDescent="0.3">
      <c r="E3220" s="173"/>
      <c r="F3220" s="173"/>
      <c r="I3220"/>
      <c r="J3220"/>
      <c r="K3220"/>
      <c r="L3220"/>
      <c r="M3220"/>
      <c r="N3220"/>
      <c r="O3220"/>
      <c r="P3220" s="225"/>
      <c r="Q3220" s="225"/>
      <c r="R3220"/>
      <c r="S3220"/>
      <c r="T3220"/>
      <c r="U3220"/>
      <c r="V3220"/>
      <c r="W3220"/>
      <c r="X3220"/>
    </row>
    <row r="3221" spans="5:24" x14ac:dyDescent="0.3">
      <c r="E3221" s="173"/>
      <c r="F3221" s="173"/>
      <c r="I3221"/>
      <c r="J3221"/>
      <c r="K3221"/>
      <c r="L3221"/>
      <c r="M3221"/>
      <c r="N3221"/>
      <c r="O3221"/>
      <c r="P3221" s="225"/>
      <c r="Q3221" s="225"/>
      <c r="R3221"/>
      <c r="S3221"/>
      <c r="T3221"/>
      <c r="U3221"/>
      <c r="V3221"/>
      <c r="W3221"/>
      <c r="X3221"/>
    </row>
    <row r="3222" spans="5:24" x14ac:dyDescent="0.3">
      <c r="E3222" s="173"/>
      <c r="F3222" s="173"/>
      <c r="I3222"/>
      <c r="J3222"/>
      <c r="K3222"/>
      <c r="L3222"/>
      <c r="M3222"/>
      <c r="N3222"/>
      <c r="O3222"/>
      <c r="P3222" s="225"/>
      <c r="Q3222" s="225"/>
      <c r="R3222"/>
      <c r="S3222"/>
      <c r="T3222"/>
      <c r="U3222"/>
      <c r="V3222"/>
      <c r="W3222"/>
      <c r="X3222"/>
    </row>
    <row r="3223" spans="5:24" x14ac:dyDescent="0.3">
      <c r="E3223" s="173"/>
      <c r="F3223" s="173"/>
      <c r="I3223"/>
      <c r="J3223"/>
      <c r="K3223"/>
      <c r="L3223"/>
      <c r="M3223"/>
      <c r="N3223"/>
      <c r="O3223"/>
      <c r="P3223" s="225"/>
      <c r="Q3223" s="225"/>
      <c r="R3223"/>
      <c r="S3223"/>
      <c r="T3223"/>
      <c r="U3223"/>
      <c r="V3223"/>
      <c r="W3223"/>
      <c r="X3223"/>
    </row>
    <row r="3224" spans="5:24" x14ac:dyDescent="0.3">
      <c r="E3224" s="173"/>
      <c r="F3224" s="173"/>
      <c r="I3224"/>
      <c r="J3224"/>
      <c r="K3224"/>
      <c r="L3224"/>
      <c r="M3224"/>
      <c r="N3224"/>
      <c r="O3224"/>
      <c r="P3224" s="225"/>
      <c r="Q3224" s="225"/>
      <c r="R3224"/>
      <c r="S3224"/>
      <c r="T3224"/>
      <c r="U3224"/>
      <c r="V3224"/>
      <c r="W3224"/>
      <c r="X3224"/>
    </row>
    <row r="3225" spans="5:24" x14ac:dyDescent="0.3">
      <c r="E3225" s="173"/>
      <c r="F3225" s="173"/>
      <c r="I3225"/>
      <c r="J3225"/>
      <c r="K3225"/>
      <c r="L3225"/>
      <c r="M3225"/>
      <c r="N3225"/>
      <c r="O3225"/>
      <c r="P3225" s="225"/>
      <c r="Q3225" s="225"/>
      <c r="R3225"/>
      <c r="S3225"/>
      <c r="T3225"/>
      <c r="U3225"/>
      <c r="V3225"/>
      <c r="W3225"/>
      <c r="X3225"/>
    </row>
    <row r="3226" spans="5:24" x14ac:dyDescent="0.3">
      <c r="E3226" s="173"/>
      <c r="F3226" s="173"/>
      <c r="I3226"/>
      <c r="J3226"/>
      <c r="K3226"/>
      <c r="L3226"/>
      <c r="M3226"/>
      <c r="N3226"/>
      <c r="O3226"/>
      <c r="P3226" s="225"/>
      <c r="Q3226" s="225"/>
      <c r="R3226"/>
      <c r="S3226"/>
      <c r="T3226"/>
      <c r="U3226"/>
      <c r="V3226"/>
      <c r="W3226"/>
      <c r="X3226"/>
    </row>
    <row r="3227" spans="5:24" x14ac:dyDescent="0.3">
      <c r="E3227" s="173"/>
      <c r="F3227" s="173"/>
      <c r="I3227"/>
      <c r="J3227"/>
      <c r="K3227"/>
      <c r="L3227"/>
      <c r="M3227"/>
      <c r="N3227"/>
      <c r="O3227"/>
      <c r="P3227" s="225"/>
      <c r="Q3227" s="225"/>
      <c r="R3227"/>
      <c r="S3227"/>
      <c r="T3227"/>
      <c r="U3227"/>
      <c r="V3227"/>
      <c r="W3227"/>
      <c r="X3227"/>
    </row>
    <row r="3228" spans="5:24" x14ac:dyDescent="0.3">
      <c r="E3228" s="173"/>
      <c r="F3228" s="173"/>
      <c r="I3228"/>
      <c r="J3228"/>
      <c r="K3228"/>
      <c r="L3228"/>
      <c r="M3228"/>
      <c r="N3228"/>
      <c r="O3228"/>
      <c r="P3228" s="225"/>
      <c r="Q3228" s="225"/>
      <c r="R3228"/>
      <c r="S3228"/>
      <c r="T3228"/>
      <c r="U3228"/>
      <c r="V3228"/>
      <c r="W3228"/>
      <c r="X3228"/>
    </row>
    <row r="3229" spans="5:24" x14ac:dyDescent="0.3">
      <c r="E3229" s="173"/>
      <c r="F3229" s="173"/>
      <c r="I3229"/>
      <c r="J3229"/>
      <c r="K3229"/>
      <c r="L3229"/>
      <c r="M3229"/>
      <c r="N3229"/>
      <c r="O3229"/>
      <c r="P3229" s="225"/>
      <c r="Q3229" s="225"/>
      <c r="R3229"/>
      <c r="S3229"/>
      <c r="T3229"/>
      <c r="U3229"/>
      <c r="V3229"/>
      <c r="W3229"/>
      <c r="X3229"/>
    </row>
    <row r="3230" spans="5:24" x14ac:dyDescent="0.3">
      <c r="E3230" s="173"/>
      <c r="F3230" s="173"/>
      <c r="I3230"/>
      <c r="J3230"/>
      <c r="K3230"/>
      <c r="L3230"/>
      <c r="M3230"/>
      <c r="N3230"/>
      <c r="O3230"/>
      <c r="P3230" s="225"/>
      <c r="Q3230" s="225"/>
      <c r="R3230"/>
      <c r="S3230"/>
      <c r="T3230"/>
      <c r="U3230"/>
      <c r="V3230"/>
      <c r="W3230"/>
      <c r="X3230"/>
    </row>
    <row r="3231" spans="5:24" x14ac:dyDescent="0.3">
      <c r="E3231" s="173"/>
      <c r="F3231" s="173"/>
      <c r="I3231"/>
      <c r="J3231"/>
      <c r="K3231"/>
      <c r="L3231"/>
      <c r="M3231"/>
      <c r="N3231"/>
      <c r="O3231"/>
      <c r="P3231" s="225"/>
      <c r="Q3231" s="225"/>
      <c r="R3231"/>
      <c r="S3231"/>
      <c r="T3231"/>
      <c r="U3231"/>
      <c r="V3231"/>
      <c r="W3231"/>
      <c r="X3231"/>
    </row>
    <row r="3232" spans="5:24" x14ac:dyDescent="0.3">
      <c r="E3232" s="173"/>
      <c r="F3232" s="173"/>
      <c r="I3232"/>
      <c r="J3232"/>
      <c r="K3232"/>
      <c r="L3232"/>
      <c r="M3232"/>
      <c r="N3232"/>
      <c r="O3232"/>
      <c r="P3232" s="225"/>
      <c r="Q3232" s="225"/>
      <c r="R3232"/>
      <c r="S3232"/>
      <c r="T3232"/>
      <c r="U3232"/>
      <c r="V3232"/>
      <c r="W3232"/>
      <c r="X3232"/>
    </row>
    <row r="3233" spans="5:24" x14ac:dyDescent="0.3">
      <c r="E3233" s="173"/>
      <c r="F3233" s="173"/>
      <c r="I3233"/>
      <c r="J3233"/>
      <c r="K3233"/>
      <c r="L3233"/>
      <c r="M3233"/>
      <c r="N3233"/>
      <c r="O3233"/>
      <c r="P3233" s="225"/>
      <c r="Q3233" s="225"/>
      <c r="R3233"/>
      <c r="S3233"/>
      <c r="T3233"/>
      <c r="U3233"/>
      <c r="V3233"/>
      <c r="W3233"/>
      <c r="X3233"/>
    </row>
    <row r="3234" spans="5:24" x14ac:dyDescent="0.3">
      <c r="E3234" s="173"/>
      <c r="F3234" s="173"/>
      <c r="I3234"/>
      <c r="J3234"/>
      <c r="K3234"/>
      <c r="L3234"/>
      <c r="M3234"/>
      <c r="N3234"/>
      <c r="O3234"/>
      <c r="P3234" s="225"/>
      <c r="Q3234" s="225"/>
      <c r="R3234"/>
      <c r="S3234"/>
      <c r="T3234"/>
      <c r="U3234"/>
      <c r="V3234"/>
      <c r="W3234"/>
      <c r="X3234"/>
    </row>
    <row r="3235" spans="5:24" x14ac:dyDescent="0.3">
      <c r="E3235" s="173"/>
      <c r="F3235" s="173"/>
      <c r="I3235"/>
      <c r="J3235"/>
      <c r="K3235"/>
      <c r="L3235"/>
      <c r="M3235"/>
      <c r="N3235"/>
      <c r="O3235"/>
      <c r="P3235" s="225"/>
      <c r="Q3235" s="225"/>
      <c r="R3235"/>
      <c r="S3235"/>
      <c r="T3235"/>
      <c r="U3235"/>
      <c r="V3235"/>
      <c r="W3235"/>
      <c r="X3235"/>
    </row>
    <row r="3236" spans="5:24" x14ac:dyDescent="0.3">
      <c r="E3236" s="173"/>
      <c r="F3236" s="173"/>
      <c r="I3236"/>
      <c r="J3236"/>
      <c r="K3236"/>
      <c r="L3236"/>
      <c r="M3236"/>
      <c r="N3236"/>
      <c r="O3236"/>
      <c r="P3236" s="225"/>
      <c r="Q3236" s="225"/>
      <c r="R3236"/>
      <c r="S3236"/>
      <c r="T3236"/>
      <c r="U3236"/>
      <c r="V3236"/>
      <c r="W3236"/>
      <c r="X3236"/>
    </row>
    <row r="3237" spans="5:24" x14ac:dyDescent="0.3">
      <c r="E3237" s="173"/>
      <c r="F3237" s="173"/>
      <c r="I3237"/>
      <c r="J3237"/>
      <c r="K3237"/>
      <c r="L3237"/>
      <c r="M3237"/>
      <c r="N3237"/>
      <c r="O3237"/>
      <c r="P3237" s="225"/>
      <c r="Q3237" s="225"/>
      <c r="R3237"/>
      <c r="S3237"/>
      <c r="T3237"/>
      <c r="U3237"/>
      <c r="V3237"/>
      <c r="W3237"/>
      <c r="X3237"/>
    </row>
    <row r="3238" spans="5:24" x14ac:dyDescent="0.3">
      <c r="E3238" s="173"/>
      <c r="F3238" s="173"/>
      <c r="I3238"/>
      <c r="J3238"/>
      <c r="K3238"/>
      <c r="L3238"/>
      <c r="M3238"/>
      <c r="N3238"/>
      <c r="O3238"/>
      <c r="P3238" s="225"/>
      <c r="Q3238" s="225"/>
      <c r="R3238"/>
      <c r="S3238"/>
      <c r="T3238"/>
      <c r="U3238"/>
      <c r="V3238"/>
      <c r="W3238"/>
      <c r="X3238"/>
    </row>
    <row r="3239" spans="5:24" x14ac:dyDescent="0.3">
      <c r="E3239" s="173"/>
      <c r="F3239" s="173"/>
      <c r="I3239"/>
      <c r="J3239"/>
      <c r="K3239"/>
      <c r="L3239"/>
      <c r="M3239"/>
      <c r="N3239"/>
      <c r="O3239"/>
      <c r="P3239" s="225"/>
      <c r="Q3239" s="225"/>
      <c r="R3239"/>
      <c r="S3239"/>
      <c r="T3239"/>
      <c r="U3239"/>
      <c r="V3239"/>
      <c r="W3239"/>
      <c r="X3239"/>
    </row>
    <row r="3240" spans="5:24" x14ac:dyDescent="0.3">
      <c r="E3240" s="173"/>
      <c r="F3240" s="173"/>
      <c r="I3240"/>
      <c r="J3240"/>
      <c r="K3240"/>
      <c r="L3240"/>
      <c r="M3240"/>
      <c r="N3240"/>
      <c r="O3240"/>
      <c r="P3240" s="225"/>
      <c r="Q3240" s="225"/>
      <c r="R3240"/>
      <c r="S3240"/>
      <c r="T3240"/>
      <c r="U3240"/>
      <c r="V3240"/>
      <c r="W3240"/>
      <c r="X3240"/>
    </row>
    <row r="3241" spans="5:24" x14ac:dyDescent="0.3">
      <c r="E3241" s="173"/>
      <c r="F3241" s="173"/>
      <c r="I3241"/>
      <c r="J3241"/>
      <c r="K3241"/>
      <c r="L3241"/>
      <c r="M3241"/>
      <c r="N3241"/>
      <c r="O3241"/>
      <c r="P3241" s="225"/>
      <c r="Q3241" s="225"/>
      <c r="R3241"/>
      <c r="S3241"/>
      <c r="T3241"/>
      <c r="U3241"/>
      <c r="V3241"/>
      <c r="W3241"/>
      <c r="X3241"/>
    </row>
    <row r="3242" spans="5:24" x14ac:dyDescent="0.3">
      <c r="E3242" s="173"/>
      <c r="F3242" s="173"/>
      <c r="I3242"/>
      <c r="J3242"/>
      <c r="K3242"/>
      <c r="L3242"/>
      <c r="M3242"/>
      <c r="N3242"/>
      <c r="O3242"/>
      <c r="P3242" s="225"/>
      <c r="Q3242" s="225"/>
      <c r="R3242"/>
      <c r="S3242"/>
      <c r="T3242"/>
      <c r="U3242"/>
      <c r="V3242"/>
      <c r="W3242"/>
      <c r="X3242"/>
    </row>
    <row r="3243" spans="5:24" x14ac:dyDescent="0.3">
      <c r="E3243" s="173"/>
      <c r="F3243" s="173"/>
      <c r="I3243"/>
      <c r="J3243"/>
      <c r="K3243"/>
      <c r="L3243"/>
      <c r="M3243"/>
      <c r="N3243"/>
      <c r="O3243"/>
      <c r="P3243" s="225"/>
      <c r="Q3243" s="225"/>
      <c r="R3243"/>
      <c r="S3243"/>
      <c r="T3243"/>
      <c r="U3243"/>
      <c r="V3243"/>
      <c r="W3243"/>
      <c r="X3243"/>
    </row>
    <row r="3244" spans="5:24" x14ac:dyDescent="0.3">
      <c r="E3244" s="173"/>
      <c r="F3244" s="173"/>
      <c r="I3244"/>
      <c r="J3244"/>
      <c r="K3244"/>
      <c r="L3244"/>
      <c r="M3244"/>
      <c r="N3244"/>
      <c r="O3244"/>
      <c r="P3244" s="225"/>
      <c r="Q3244" s="225"/>
      <c r="R3244"/>
      <c r="S3244"/>
      <c r="T3244"/>
      <c r="U3244"/>
      <c r="V3244"/>
      <c r="W3244"/>
      <c r="X3244"/>
    </row>
    <row r="3245" spans="5:24" x14ac:dyDescent="0.3">
      <c r="E3245" s="173"/>
      <c r="F3245" s="173"/>
      <c r="I3245"/>
      <c r="J3245"/>
      <c r="K3245"/>
      <c r="L3245"/>
      <c r="M3245"/>
      <c r="N3245"/>
      <c r="O3245"/>
      <c r="P3245" s="225"/>
      <c r="Q3245" s="225"/>
      <c r="R3245"/>
      <c r="S3245"/>
      <c r="T3245"/>
      <c r="U3245"/>
      <c r="V3245"/>
      <c r="W3245"/>
      <c r="X3245"/>
    </row>
    <row r="3246" spans="5:24" x14ac:dyDescent="0.3">
      <c r="E3246" s="173"/>
      <c r="F3246" s="173"/>
      <c r="I3246"/>
      <c r="J3246"/>
      <c r="K3246"/>
      <c r="L3246"/>
      <c r="M3246"/>
      <c r="N3246"/>
      <c r="O3246"/>
      <c r="P3246" s="225"/>
      <c r="Q3246" s="225"/>
      <c r="R3246"/>
      <c r="S3246"/>
      <c r="T3246"/>
      <c r="U3246"/>
      <c r="V3246"/>
      <c r="W3246"/>
      <c r="X3246"/>
    </row>
    <row r="3247" spans="5:24" x14ac:dyDescent="0.3">
      <c r="E3247" s="173"/>
      <c r="F3247" s="173"/>
      <c r="I3247"/>
      <c r="J3247"/>
      <c r="K3247"/>
      <c r="L3247"/>
      <c r="M3247"/>
      <c r="N3247"/>
      <c r="O3247"/>
      <c r="P3247" s="225"/>
      <c r="Q3247" s="225"/>
      <c r="R3247"/>
      <c r="S3247"/>
      <c r="T3247"/>
      <c r="U3247"/>
      <c r="V3247"/>
      <c r="W3247"/>
      <c r="X3247"/>
    </row>
    <row r="3248" spans="5:24" x14ac:dyDescent="0.3">
      <c r="E3248" s="173"/>
      <c r="F3248" s="173"/>
      <c r="I3248"/>
      <c r="J3248"/>
      <c r="K3248"/>
      <c r="L3248"/>
      <c r="M3248"/>
      <c r="N3248"/>
      <c r="O3248"/>
      <c r="P3248" s="225"/>
      <c r="Q3248" s="225"/>
      <c r="R3248"/>
      <c r="S3248"/>
      <c r="T3248"/>
      <c r="U3248"/>
      <c r="V3248"/>
      <c r="W3248"/>
      <c r="X3248"/>
    </row>
    <row r="3249" spans="5:24" x14ac:dyDescent="0.3">
      <c r="E3249" s="173"/>
      <c r="F3249" s="173"/>
      <c r="I3249"/>
      <c r="J3249"/>
      <c r="K3249"/>
      <c r="L3249"/>
      <c r="M3249"/>
      <c r="N3249"/>
      <c r="O3249"/>
      <c r="P3249" s="225"/>
      <c r="Q3249" s="225"/>
      <c r="R3249"/>
      <c r="S3249"/>
      <c r="T3249"/>
      <c r="U3249"/>
      <c r="V3249"/>
      <c r="W3249"/>
      <c r="X3249"/>
    </row>
    <row r="3250" spans="5:24" x14ac:dyDescent="0.3">
      <c r="E3250" s="173"/>
      <c r="F3250" s="173"/>
      <c r="I3250"/>
      <c r="J3250"/>
      <c r="K3250"/>
      <c r="L3250"/>
      <c r="M3250"/>
      <c r="N3250"/>
      <c r="O3250"/>
      <c r="P3250" s="225"/>
      <c r="Q3250" s="225"/>
      <c r="R3250"/>
      <c r="S3250"/>
      <c r="T3250"/>
      <c r="U3250"/>
      <c r="V3250"/>
      <c r="W3250"/>
      <c r="X3250"/>
    </row>
    <row r="3251" spans="5:24" x14ac:dyDescent="0.3">
      <c r="E3251" s="173"/>
      <c r="F3251" s="173"/>
      <c r="I3251"/>
      <c r="J3251"/>
      <c r="K3251"/>
      <c r="L3251"/>
      <c r="M3251"/>
      <c r="N3251"/>
      <c r="O3251"/>
      <c r="P3251" s="225"/>
      <c r="Q3251" s="225"/>
      <c r="R3251"/>
      <c r="S3251"/>
      <c r="T3251"/>
      <c r="U3251"/>
      <c r="V3251"/>
      <c r="W3251"/>
      <c r="X3251"/>
    </row>
    <row r="3252" spans="5:24" x14ac:dyDescent="0.3">
      <c r="E3252" s="173"/>
      <c r="F3252" s="173"/>
      <c r="I3252"/>
      <c r="J3252"/>
      <c r="K3252"/>
      <c r="L3252"/>
      <c r="M3252"/>
      <c r="N3252"/>
      <c r="O3252"/>
      <c r="P3252" s="225"/>
      <c r="Q3252" s="225"/>
      <c r="R3252"/>
      <c r="S3252"/>
      <c r="T3252"/>
      <c r="U3252"/>
      <c r="V3252"/>
      <c r="W3252"/>
      <c r="X3252"/>
    </row>
    <row r="3253" spans="5:24" x14ac:dyDescent="0.3">
      <c r="E3253" s="173"/>
      <c r="F3253" s="173"/>
      <c r="I3253"/>
      <c r="J3253"/>
      <c r="K3253"/>
      <c r="L3253"/>
      <c r="M3253"/>
      <c r="N3253"/>
      <c r="O3253"/>
      <c r="P3253" s="225"/>
      <c r="Q3253" s="225"/>
      <c r="R3253"/>
      <c r="S3253"/>
      <c r="T3253"/>
      <c r="U3253"/>
      <c r="V3253"/>
      <c r="W3253"/>
      <c r="X3253"/>
    </row>
    <row r="3254" spans="5:24" x14ac:dyDescent="0.3">
      <c r="E3254" s="173"/>
      <c r="F3254" s="173"/>
      <c r="I3254"/>
      <c r="J3254"/>
      <c r="K3254"/>
      <c r="L3254"/>
      <c r="M3254"/>
      <c r="N3254"/>
      <c r="O3254"/>
      <c r="P3254" s="225"/>
      <c r="Q3254" s="225"/>
      <c r="R3254"/>
      <c r="S3254"/>
      <c r="T3254"/>
      <c r="U3254"/>
      <c r="V3254"/>
      <c r="W3254"/>
      <c r="X3254"/>
    </row>
    <row r="3255" spans="5:24" x14ac:dyDescent="0.3">
      <c r="E3255" s="173"/>
      <c r="F3255" s="173"/>
      <c r="I3255"/>
      <c r="J3255"/>
      <c r="K3255"/>
      <c r="L3255"/>
      <c r="M3255"/>
      <c r="N3255"/>
      <c r="O3255"/>
      <c r="P3255" s="225"/>
      <c r="Q3255" s="225"/>
      <c r="R3255"/>
      <c r="S3255"/>
      <c r="T3255"/>
      <c r="U3255"/>
      <c r="V3255"/>
      <c r="W3255"/>
      <c r="X3255"/>
    </row>
    <row r="3256" spans="5:24" x14ac:dyDescent="0.3">
      <c r="E3256" s="173"/>
      <c r="F3256" s="173"/>
      <c r="I3256"/>
      <c r="J3256"/>
      <c r="K3256"/>
      <c r="L3256"/>
      <c r="M3256"/>
      <c r="N3256"/>
      <c r="O3256"/>
      <c r="P3256" s="225"/>
      <c r="Q3256" s="225"/>
      <c r="R3256"/>
      <c r="S3256"/>
      <c r="T3256"/>
      <c r="U3256"/>
      <c r="V3256"/>
      <c r="W3256"/>
      <c r="X3256"/>
    </row>
    <row r="3257" spans="5:24" x14ac:dyDescent="0.3">
      <c r="E3257" s="173"/>
      <c r="F3257" s="173"/>
      <c r="I3257"/>
      <c r="J3257"/>
      <c r="K3257"/>
      <c r="L3257"/>
      <c r="M3257"/>
      <c r="N3257"/>
      <c r="O3257"/>
      <c r="P3257" s="225"/>
      <c r="Q3257" s="225"/>
      <c r="R3257"/>
      <c r="S3257"/>
      <c r="T3257"/>
      <c r="U3257"/>
      <c r="V3257"/>
      <c r="W3257"/>
      <c r="X3257"/>
    </row>
    <row r="3258" spans="5:24" x14ac:dyDescent="0.3">
      <c r="E3258" s="173"/>
      <c r="F3258" s="173"/>
      <c r="I3258"/>
      <c r="J3258"/>
      <c r="K3258"/>
      <c r="L3258"/>
      <c r="M3258"/>
      <c r="N3258"/>
      <c r="O3258"/>
      <c r="P3258" s="225"/>
      <c r="Q3258" s="225"/>
      <c r="R3258"/>
      <c r="S3258"/>
      <c r="T3258"/>
      <c r="U3258"/>
      <c r="V3258"/>
      <c r="W3258"/>
      <c r="X3258"/>
    </row>
    <row r="3259" spans="5:24" x14ac:dyDescent="0.3">
      <c r="E3259" s="173"/>
      <c r="F3259" s="173"/>
      <c r="I3259"/>
      <c r="J3259"/>
      <c r="K3259"/>
      <c r="L3259"/>
      <c r="M3259"/>
      <c r="N3259"/>
      <c r="O3259"/>
      <c r="P3259" s="225"/>
      <c r="Q3259" s="225"/>
      <c r="R3259"/>
      <c r="S3259"/>
      <c r="T3259"/>
      <c r="U3259"/>
      <c r="V3259"/>
      <c r="W3259"/>
      <c r="X3259"/>
    </row>
    <row r="3260" spans="5:24" x14ac:dyDescent="0.3">
      <c r="E3260" s="173"/>
      <c r="F3260" s="173"/>
      <c r="I3260"/>
      <c r="J3260"/>
      <c r="K3260"/>
      <c r="L3260"/>
      <c r="M3260"/>
      <c r="N3260"/>
      <c r="O3260"/>
      <c r="P3260" s="225"/>
      <c r="Q3260" s="225"/>
      <c r="R3260"/>
      <c r="S3260"/>
      <c r="T3260"/>
      <c r="U3260"/>
      <c r="V3260"/>
      <c r="W3260"/>
      <c r="X3260"/>
    </row>
    <row r="3261" spans="5:24" x14ac:dyDescent="0.3">
      <c r="E3261" s="173"/>
      <c r="F3261" s="173"/>
      <c r="I3261"/>
      <c r="J3261"/>
      <c r="K3261"/>
      <c r="L3261"/>
      <c r="M3261"/>
      <c r="N3261"/>
      <c r="O3261"/>
      <c r="P3261" s="225"/>
      <c r="Q3261" s="225"/>
      <c r="R3261"/>
      <c r="S3261"/>
      <c r="T3261"/>
      <c r="U3261"/>
      <c r="V3261"/>
      <c r="W3261"/>
      <c r="X3261"/>
    </row>
    <row r="3262" spans="5:24" x14ac:dyDescent="0.3">
      <c r="E3262" s="173"/>
      <c r="F3262" s="173"/>
      <c r="I3262"/>
      <c r="J3262"/>
      <c r="K3262"/>
      <c r="L3262"/>
      <c r="M3262"/>
      <c r="N3262"/>
      <c r="O3262"/>
      <c r="P3262" s="225"/>
      <c r="Q3262" s="225"/>
      <c r="R3262"/>
      <c r="S3262"/>
      <c r="T3262"/>
      <c r="U3262"/>
      <c r="V3262"/>
      <c r="W3262"/>
      <c r="X3262"/>
    </row>
    <row r="3263" spans="5:24" x14ac:dyDescent="0.3">
      <c r="E3263" s="173"/>
      <c r="F3263" s="173"/>
      <c r="I3263"/>
      <c r="J3263"/>
      <c r="K3263"/>
      <c r="L3263"/>
      <c r="M3263"/>
      <c r="N3263"/>
      <c r="O3263"/>
      <c r="P3263" s="225"/>
      <c r="Q3263" s="225"/>
      <c r="R3263"/>
      <c r="S3263"/>
      <c r="T3263"/>
      <c r="U3263"/>
      <c r="V3263"/>
      <c r="W3263"/>
      <c r="X3263"/>
    </row>
    <row r="3264" spans="5:24" x14ac:dyDescent="0.3">
      <c r="E3264" s="173"/>
      <c r="F3264" s="173"/>
      <c r="I3264"/>
      <c r="J3264"/>
      <c r="K3264"/>
      <c r="L3264"/>
      <c r="M3264"/>
      <c r="N3264"/>
      <c r="O3264"/>
      <c r="P3264" s="225"/>
      <c r="Q3264" s="225"/>
      <c r="R3264"/>
      <c r="S3264"/>
      <c r="T3264"/>
      <c r="U3264"/>
      <c r="V3264"/>
      <c r="W3264"/>
      <c r="X3264"/>
    </row>
    <row r="3265" spans="5:24" x14ac:dyDescent="0.3">
      <c r="E3265" s="173"/>
      <c r="F3265" s="173"/>
      <c r="I3265"/>
      <c r="J3265"/>
      <c r="K3265"/>
      <c r="L3265"/>
      <c r="M3265"/>
      <c r="N3265"/>
      <c r="O3265"/>
      <c r="P3265" s="225"/>
      <c r="Q3265" s="225"/>
      <c r="R3265"/>
      <c r="S3265"/>
      <c r="T3265"/>
      <c r="U3265"/>
      <c r="V3265"/>
      <c r="W3265"/>
      <c r="X3265"/>
    </row>
    <row r="3266" spans="5:24" x14ac:dyDescent="0.3">
      <c r="E3266" s="173"/>
      <c r="F3266" s="173"/>
      <c r="I3266"/>
      <c r="J3266"/>
      <c r="K3266"/>
      <c r="L3266"/>
      <c r="M3266"/>
      <c r="N3266"/>
      <c r="O3266"/>
      <c r="P3266" s="225"/>
      <c r="Q3266" s="225"/>
      <c r="R3266"/>
      <c r="S3266"/>
      <c r="T3266"/>
      <c r="U3266"/>
      <c r="V3266"/>
      <c r="W3266"/>
      <c r="X3266"/>
    </row>
    <row r="3267" spans="5:24" x14ac:dyDescent="0.3">
      <c r="E3267" s="173"/>
      <c r="F3267" s="173"/>
      <c r="I3267"/>
      <c r="J3267"/>
      <c r="K3267"/>
      <c r="L3267"/>
      <c r="M3267"/>
      <c r="N3267"/>
      <c r="O3267"/>
      <c r="P3267" s="225"/>
      <c r="Q3267" s="225"/>
      <c r="R3267"/>
      <c r="S3267"/>
      <c r="T3267"/>
      <c r="U3267"/>
      <c r="V3267"/>
      <c r="W3267"/>
      <c r="X3267"/>
    </row>
    <row r="3268" spans="5:24" x14ac:dyDescent="0.3">
      <c r="E3268" s="173"/>
      <c r="F3268" s="173"/>
      <c r="I3268"/>
      <c r="J3268"/>
      <c r="K3268"/>
      <c r="L3268"/>
      <c r="M3268"/>
      <c r="N3268"/>
      <c r="O3268"/>
      <c r="P3268" s="225"/>
      <c r="Q3268" s="225"/>
      <c r="R3268"/>
      <c r="S3268"/>
      <c r="T3268"/>
      <c r="U3268"/>
      <c r="V3268"/>
      <c r="W3268"/>
      <c r="X3268"/>
    </row>
    <row r="3269" spans="5:24" x14ac:dyDescent="0.3">
      <c r="E3269" s="173"/>
      <c r="F3269" s="173"/>
      <c r="I3269"/>
      <c r="J3269"/>
      <c r="K3269"/>
      <c r="L3269"/>
      <c r="M3269"/>
      <c r="N3269"/>
      <c r="O3269"/>
      <c r="P3269" s="225"/>
      <c r="Q3269" s="225"/>
      <c r="R3269"/>
      <c r="S3269"/>
      <c r="T3269"/>
      <c r="U3269"/>
      <c r="V3269"/>
      <c r="W3269"/>
      <c r="X3269"/>
    </row>
    <row r="3270" spans="5:24" x14ac:dyDescent="0.3">
      <c r="E3270" s="173"/>
      <c r="F3270" s="173"/>
      <c r="I3270"/>
      <c r="J3270"/>
      <c r="K3270"/>
      <c r="L3270"/>
      <c r="M3270"/>
      <c r="N3270"/>
      <c r="O3270"/>
      <c r="P3270" s="225"/>
      <c r="Q3270" s="225"/>
      <c r="R3270"/>
      <c r="S3270"/>
      <c r="T3270"/>
      <c r="U3270"/>
      <c r="V3270"/>
      <c r="W3270"/>
      <c r="X3270"/>
    </row>
    <row r="3271" spans="5:24" x14ac:dyDescent="0.3">
      <c r="E3271" s="173"/>
      <c r="F3271" s="173"/>
      <c r="I3271"/>
      <c r="J3271"/>
      <c r="K3271"/>
      <c r="L3271"/>
      <c r="M3271"/>
      <c r="N3271"/>
      <c r="O3271"/>
      <c r="P3271" s="225"/>
      <c r="Q3271" s="225"/>
      <c r="R3271"/>
      <c r="S3271"/>
      <c r="T3271"/>
      <c r="U3271"/>
      <c r="V3271"/>
      <c r="W3271"/>
      <c r="X3271"/>
    </row>
    <row r="3272" spans="5:24" x14ac:dyDescent="0.3">
      <c r="E3272" s="173"/>
      <c r="F3272" s="173"/>
      <c r="I3272"/>
      <c r="J3272"/>
      <c r="K3272"/>
      <c r="L3272"/>
      <c r="M3272"/>
      <c r="N3272"/>
      <c r="O3272"/>
      <c r="P3272" s="225"/>
      <c r="Q3272" s="225"/>
      <c r="R3272"/>
      <c r="S3272"/>
      <c r="T3272"/>
      <c r="U3272"/>
      <c r="V3272"/>
      <c r="W3272"/>
      <c r="X3272"/>
    </row>
    <row r="3273" spans="5:24" x14ac:dyDescent="0.3">
      <c r="E3273" s="173"/>
      <c r="F3273" s="173"/>
      <c r="I3273"/>
      <c r="J3273"/>
      <c r="K3273"/>
      <c r="L3273"/>
      <c r="M3273"/>
      <c r="N3273"/>
      <c r="O3273"/>
      <c r="P3273" s="225"/>
      <c r="Q3273" s="225"/>
      <c r="R3273"/>
      <c r="S3273"/>
      <c r="T3273"/>
      <c r="U3273"/>
      <c r="V3273"/>
      <c r="W3273"/>
      <c r="X3273"/>
    </row>
    <row r="3274" spans="5:24" x14ac:dyDescent="0.3">
      <c r="E3274" s="173"/>
      <c r="F3274" s="173"/>
      <c r="I3274"/>
      <c r="J3274"/>
      <c r="K3274"/>
      <c r="L3274"/>
      <c r="M3274"/>
      <c r="N3274"/>
      <c r="O3274"/>
      <c r="P3274" s="225"/>
      <c r="Q3274" s="225"/>
      <c r="R3274"/>
      <c r="S3274"/>
      <c r="T3274"/>
      <c r="U3274"/>
      <c r="V3274"/>
      <c r="W3274"/>
      <c r="X3274"/>
    </row>
    <row r="3275" spans="5:24" x14ac:dyDescent="0.3">
      <c r="E3275" s="173"/>
      <c r="F3275" s="173"/>
      <c r="I3275"/>
      <c r="J3275"/>
      <c r="K3275"/>
      <c r="L3275"/>
      <c r="M3275"/>
      <c r="N3275"/>
      <c r="O3275"/>
      <c r="P3275" s="225"/>
      <c r="Q3275" s="225"/>
      <c r="R3275"/>
      <c r="S3275"/>
      <c r="T3275"/>
      <c r="U3275"/>
      <c r="V3275"/>
      <c r="W3275"/>
      <c r="X3275"/>
    </row>
    <row r="3276" spans="5:24" x14ac:dyDescent="0.3">
      <c r="E3276" s="173"/>
      <c r="F3276" s="173"/>
      <c r="I3276"/>
      <c r="J3276"/>
      <c r="K3276"/>
      <c r="L3276"/>
      <c r="M3276"/>
      <c r="N3276"/>
      <c r="O3276"/>
      <c r="P3276" s="225"/>
      <c r="Q3276" s="225"/>
      <c r="R3276"/>
      <c r="S3276"/>
      <c r="T3276"/>
      <c r="U3276"/>
      <c r="V3276"/>
      <c r="W3276"/>
      <c r="X3276"/>
    </row>
    <row r="3277" spans="5:24" x14ac:dyDescent="0.3">
      <c r="E3277" s="173"/>
      <c r="F3277" s="173"/>
      <c r="I3277"/>
      <c r="J3277"/>
      <c r="K3277"/>
      <c r="L3277"/>
      <c r="M3277"/>
      <c r="N3277"/>
      <c r="O3277"/>
      <c r="P3277" s="225"/>
      <c r="Q3277" s="225"/>
      <c r="R3277"/>
      <c r="S3277"/>
      <c r="T3277"/>
      <c r="U3277"/>
      <c r="V3277"/>
      <c r="W3277"/>
      <c r="X3277"/>
    </row>
    <row r="3278" spans="5:24" x14ac:dyDescent="0.3">
      <c r="E3278" s="173"/>
      <c r="F3278" s="173"/>
      <c r="I3278"/>
      <c r="J3278"/>
      <c r="K3278"/>
      <c r="L3278"/>
      <c r="M3278"/>
      <c r="N3278"/>
      <c r="O3278"/>
      <c r="P3278" s="225"/>
      <c r="Q3278" s="225"/>
      <c r="R3278"/>
      <c r="S3278"/>
      <c r="T3278"/>
      <c r="U3278"/>
      <c r="V3278"/>
      <c r="W3278"/>
      <c r="X3278"/>
    </row>
    <row r="3279" spans="5:24" x14ac:dyDescent="0.3">
      <c r="E3279" s="173"/>
      <c r="F3279" s="173"/>
      <c r="I3279"/>
      <c r="J3279"/>
      <c r="K3279"/>
      <c r="L3279"/>
      <c r="M3279"/>
      <c r="N3279"/>
      <c r="O3279"/>
      <c r="P3279" s="225"/>
      <c r="Q3279" s="225"/>
      <c r="R3279"/>
      <c r="S3279"/>
      <c r="T3279"/>
      <c r="U3279"/>
      <c r="V3279"/>
      <c r="W3279"/>
      <c r="X3279"/>
    </row>
    <row r="3280" spans="5:24" x14ac:dyDescent="0.3">
      <c r="E3280" s="173"/>
      <c r="F3280" s="173"/>
      <c r="I3280"/>
      <c r="J3280"/>
      <c r="K3280"/>
      <c r="L3280"/>
      <c r="M3280"/>
      <c r="N3280"/>
      <c r="O3280"/>
      <c r="P3280" s="225"/>
      <c r="Q3280" s="225"/>
      <c r="R3280"/>
      <c r="S3280"/>
      <c r="T3280"/>
      <c r="U3280"/>
      <c r="V3280"/>
      <c r="W3280"/>
      <c r="X3280"/>
    </row>
    <row r="3281" spans="5:24" x14ac:dyDescent="0.3">
      <c r="E3281" s="173"/>
      <c r="F3281" s="173"/>
      <c r="I3281"/>
      <c r="J3281"/>
      <c r="K3281"/>
      <c r="L3281"/>
      <c r="M3281"/>
      <c r="N3281"/>
      <c r="O3281"/>
      <c r="P3281" s="225"/>
      <c r="Q3281" s="225"/>
      <c r="R3281"/>
      <c r="S3281"/>
      <c r="T3281"/>
      <c r="U3281"/>
      <c r="V3281"/>
      <c r="W3281"/>
      <c r="X3281"/>
    </row>
    <row r="3282" spans="5:24" x14ac:dyDescent="0.3">
      <c r="E3282" s="173"/>
      <c r="F3282" s="173"/>
      <c r="I3282"/>
      <c r="J3282"/>
      <c r="K3282"/>
      <c r="L3282"/>
      <c r="M3282"/>
      <c r="N3282"/>
      <c r="O3282"/>
      <c r="P3282" s="225"/>
      <c r="Q3282" s="225"/>
      <c r="R3282"/>
      <c r="S3282"/>
      <c r="T3282"/>
      <c r="U3282"/>
      <c r="V3282"/>
      <c r="W3282"/>
      <c r="X3282"/>
    </row>
    <row r="3283" spans="5:24" x14ac:dyDescent="0.3">
      <c r="E3283" s="173"/>
      <c r="F3283" s="173"/>
      <c r="I3283"/>
      <c r="J3283"/>
      <c r="K3283"/>
      <c r="L3283"/>
      <c r="M3283"/>
      <c r="N3283"/>
      <c r="O3283"/>
      <c r="P3283" s="225"/>
      <c r="Q3283" s="225"/>
      <c r="R3283"/>
      <c r="S3283"/>
      <c r="T3283"/>
      <c r="U3283"/>
      <c r="V3283"/>
      <c r="W3283"/>
      <c r="X3283"/>
    </row>
    <row r="3284" spans="5:24" x14ac:dyDescent="0.3">
      <c r="E3284" s="173"/>
      <c r="F3284" s="173"/>
      <c r="I3284"/>
      <c r="J3284"/>
      <c r="K3284"/>
      <c r="L3284"/>
      <c r="M3284"/>
      <c r="N3284"/>
      <c r="O3284"/>
      <c r="P3284" s="225"/>
      <c r="Q3284" s="225"/>
      <c r="R3284"/>
      <c r="S3284"/>
      <c r="T3284"/>
      <c r="U3284"/>
      <c r="V3284"/>
      <c r="W3284"/>
      <c r="X3284"/>
    </row>
    <row r="3285" spans="5:24" x14ac:dyDescent="0.3">
      <c r="E3285" s="173"/>
      <c r="F3285" s="173"/>
      <c r="I3285"/>
      <c r="J3285"/>
      <c r="K3285"/>
      <c r="L3285"/>
      <c r="M3285"/>
      <c r="N3285"/>
      <c r="O3285"/>
      <c r="P3285" s="225"/>
      <c r="Q3285" s="225"/>
      <c r="R3285"/>
      <c r="S3285"/>
      <c r="T3285"/>
      <c r="U3285"/>
      <c r="V3285"/>
      <c r="W3285"/>
      <c r="X3285"/>
    </row>
    <row r="3286" spans="5:24" x14ac:dyDescent="0.3">
      <c r="E3286" s="173"/>
      <c r="F3286" s="173"/>
      <c r="I3286"/>
      <c r="J3286"/>
      <c r="K3286"/>
      <c r="L3286"/>
      <c r="M3286"/>
      <c r="N3286"/>
      <c r="O3286"/>
      <c r="P3286" s="225"/>
      <c r="Q3286" s="225"/>
      <c r="R3286"/>
      <c r="S3286"/>
      <c r="T3286"/>
      <c r="U3286"/>
      <c r="V3286"/>
      <c r="W3286"/>
      <c r="X3286"/>
    </row>
    <row r="3287" spans="5:24" x14ac:dyDescent="0.3">
      <c r="E3287" s="173"/>
      <c r="F3287" s="173"/>
      <c r="I3287"/>
      <c r="J3287"/>
      <c r="K3287"/>
      <c r="L3287"/>
      <c r="M3287"/>
      <c r="N3287"/>
      <c r="O3287"/>
      <c r="P3287" s="225"/>
      <c r="Q3287" s="225"/>
      <c r="R3287"/>
      <c r="S3287"/>
      <c r="T3287"/>
      <c r="U3287"/>
      <c r="V3287"/>
      <c r="W3287"/>
      <c r="X3287"/>
    </row>
    <row r="3288" spans="5:24" x14ac:dyDescent="0.3">
      <c r="E3288" s="173"/>
      <c r="F3288" s="173"/>
      <c r="I3288"/>
      <c r="J3288"/>
      <c r="K3288"/>
      <c r="L3288"/>
      <c r="M3288"/>
      <c r="N3288"/>
      <c r="O3288"/>
      <c r="P3288" s="225"/>
      <c r="Q3288" s="225"/>
      <c r="R3288"/>
      <c r="S3288"/>
      <c r="T3288"/>
      <c r="U3288"/>
      <c r="V3288"/>
      <c r="W3288"/>
      <c r="X3288"/>
    </row>
    <row r="3289" spans="5:24" x14ac:dyDescent="0.3">
      <c r="E3289" s="173"/>
      <c r="F3289" s="173"/>
      <c r="I3289"/>
      <c r="J3289"/>
      <c r="K3289"/>
      <c r="L3289"/>
      <c r="M3289"/>
      <c r="N3289"/>
      <c r="O3289"/>
      <c r="P3289" s="225"/>
      <c r="Q3289" s="225"/>
      <c r="R3289"/>
      <c r="S3289"/>
      <c r="T3289"/>
      <c r="U3289"/>
      <c r="V3289"/>
      <c r="W3289"/>
      <c r="X3289"/>
    </row>
    <row r="3290" spans="5:24" x14ac:dyDescent="0.3">
      <c r="E3290" s="173"/>
      <c r="F3290" s="173"/>
      <c r="I3290"/>
      <c r="J3290"/>
      <c r="K3290"/>
      <c r="L3290"/>
      <c r="M3290"/>
      <c r="N3290"/>
      <c r="O3290"/>
      <c r="P3290" s="225"/>
      <c r="Q3290" s="225"/>
      <c r="R3290"/>
      <c r="S3290"/>
      <c r="T3290"/>
      <c r="U3290"/>
      <c r="V3290"/>
      <c r="W3290"/>
      <c r="X3290"/>
    </row>
    <row r="3291" spans="5:24" x14ac:dyDescent="0.3">
      <c r="E3291" s="173"/>
      <c r="F3291" s="173"/>
      <c r="I3291"/>
      <c r="J3291"/>
      <c r="K3291"/>
      <c r="L3291"/>
      <c r="M3291"/>
      <c r="N3291"/>
      <c r="O3291"/>
      <c r="P3291" s="225"/>
      <c r="Q3291" s="225"/>
      <c r="R3291"/>
      <c r="S3291"/>
      <c r="T3291"/>
      <c r="U3291"/>
      <c r="V3291"/>
      <c r="W3291"/>
      <c r="X3291"/>
    </row>
    <row r="3292" spans="5:24" x14ac:dyDescent="0.3">
      <c r="E3292" s="173"/>
      <c r="F3292" s="173"/>
      <c r="I3292"/>
      <c r="J3292"/>
      <c r="K3292"/>
      <c r="L3292"/>
      <c r="M3292"/>
      <c r="N3292"/>
      <c r="O3292"/>
      <c r="P3292" s="225"/>
      <c r="Q3292" s="225"/>
      <c r="R3292"/>
      <c r="S3292"/>
      <c r="T3292"/>
      <c r="U3292"/>
      <c r="V3292"/>
      <c r="W3292"/>
      <c r="X3292"/>
    </row>
    <row r="3293" spans="5:24" x14ac:dyDescent="0.3">
      <c r="E3293" s="173"/>
      <c r="F3293" s="173"/>
      <c r="I3293"/>
      <c r="J3293"/>
      <c r="K3293"/>
      <c r="L3293"/>
      <c r="M3293"/>
      <c r="N3293"/>
      <c r="O3293"/>
      <c r="P3293" s="225"/>
      <c r="Q3293" s="225"/>
      <c r="R3293"/>
      <c r="S3293"/>
      <c r="T3293"/>
      <c r="U3293"/>
      <c r="V3293"/>
      <c r="W3293"/>
      <c r="X3293"/>
    </row>
    <row r="3294" spans="5:24" x14ac:dyDescent="0.3">
      <c r="E3294" s="173"/>
      <c r="F3294" s="173"/>
      <c r="I3294"/>
      <c r="J3294"/>
      <c r="K3294"/>
      <c r="L3294"/>
      <c r="M3294"/>
      <c r="N3294"/>
      <c r="O3294"/>
      <c r="P3294" s="225"/>
      <c r="Q3294" s="225"/>
      <c r="R3294"/>
      <c r="S3294"/>
      <c r="T3294"/>
      <c r="U3294"/>
      <c r="V3294"/>
      <c r="W3294"/>
      <c r="X3294"/>
    </row>
    <row r="3295" spans="5:24" x14ac:dyDescent="0.3">
      <c r="E3295" s="173"/>
      <c r="F3295" s="173"/>
      <c r="I3295"/>
      <c r="J3295"/>
      <c r="K3295"/>
      <c r="L3295"/>
      <c r="M3295"/>
      <c r="N3295"/>
      <c r="O3295"/>
      <c r="P3295" s="225"/>
      <c r="Q3295" s="225"/>
      <c r="R3295"/>
      <c r="S3295"/>
      <c r="T3295"/>
      <c r="U3295"/>
      <c r="V3295"/>
      <c r="W3295"/>
      <c r="X3295"/>
    </row>
    <row r="3296" spans="5:24" x14ac:dyDescent="0.3">
      <c r="E3296" s="173"/>
      <c r="F3296" s="173"/>
      <c r="I3296"/>
      <c r="J3296"/>
      <c r="K3296"/>
      <c r="L3296"/>
      <c r="M3296"/>
      <c r="N3296"/>
      <c r="O3296"/>
      <c r="P3296" s="225"/>
      <c r="Q3296" s="225"/>
      <c r="R3296"/>
      <c r="S3296"/>
      <c r="T3296"/>
      <c r="U3296"/>
      <c r="V3296"/>
      <c r="W3296"/>
      <c r="X3296"/>
    </row>
    <row r="3297" spans="5:24" x14ac:dyDescent="0.3">
      <c r="E3297" s="173"/>
      <c r="F3297" s="173"/>
      <c r="I3297"/>
      <c r="J3297"/>
      <c r="K3297"/>
      <c r="L3297"/>
      <c r="M3297"/>
      <c r="N3297"/>
      <c r="O3297"/>
      <c r="P3297" s="225"/>
      <c r="Q3297" s="225"/>
      <c r="R3297"/>
      <c r="S3297"/>
      <c r="T3297"/>
      <c r="U3297"/>
      <c r="V3297"/>
      <c r="W3297"/>
      <c r="X3297"/>
    </row>
    <row r="3298" spans="5:24" x14ac:dyDescent="0.3">
      <c r="E3298" s="173"/>
      <c r="F3298" s="173"/>
      <c r="I3298"/>
      <c r="J3298"/>
      <c r="K3298"/>
      <c r="L3298"/>
      <c r="M3298"/>
      <c r="N3298"/>
      <c r="O3298"/>
      <c r="P3298" s="225"/>
      <c r="Q3298" s="225"/>
      <c r="R3298"/>
      <c r="S3298"/>
      <c r="T3298"/>
      <c r="U3298"/>
      <c r="V3298"/>
      <c r="W3298"/>
      <c r="X3298"/>
    </row>
    <row r="3299" spans="5:24" x14ac:dyDescent="0.3">
      <c r="E3299" s="173"/>
      <c r="F3299" s="173"/>
      <c r="I3299"/>
      <c r="J3299"/>
      <c r="K3299"/>
      <c r="L3299"/>
      <c r="M3299"/>
      <c r="N3299"/>
      <c r="O3299"/>
      <c r="P3299" s="225"/>
      <c r="Q3299" s="225"/>
      <c r="R3299"/>
      <c r="S3299"/>
      <c r="T3299"/>
      <c r="U3299"/>
      <c r="V3299"/>
      <c r="W3299"/>
      <c r="X3299"/>
    </row>
    <row r="3300" spans="5:24" x14ac:dyDescent="0.3">
      <c r="E3300" s="173"/>
      <c r="F3300" s="173"/>
      <c r="I3300"/>
      <c r="J3300"/>
      <c r="K3300"/>
      <c r="L3300"/>
      <c r="M3300"/>
      <c r="N3300"/>
      <c r="O3300"/>
      <c r="P3300" s="225"/>
      <c r="Q3300" s="225"/>
      <c r="R3300"/>
      <c r="S3300"/>
      <c r="T3300"/>
      <c r="U3300"/>
      <c r="V3300"/>
      <c r="W3300"/>
      <c r="X3300"/>
    </row>
    <row r="3301" spans="5:24" x14ac:dyDescent="0.3">
      <c r="E3301" s="173"/>
      <c r="F3301" s="173"/>
      <c r="I3301"/>
      <c r="J3301"/>
      <c r="K3301"/>
      <c r="L3301"/>
      <c r="M3301"/>
      <c r="N3301"/>
      <c r="O3301"/>
      <c r="P3301" s="225"/>
      <c r="Q3301" s="225"/>
      <c r="R3301"/>
      <c r="S3301"/>
      <c r="T3301"/>
      <c r="U3301"/>
      <c r="V3301"/>
      <c r="W3301"/>
      <c r="X3301"/>
    </row>
    <row r="3302" spans="5:24" x14ac:dyDescent="0.3">
      <c r="E3302" s="173"/>
      <c r="F3302" s="173"/>
      <c r="I3302"/>
      <c r="J3302"/>
      <c r="K3302"/>
      <c r="L3302"/>
      <c r="M3302"/>
      <c r="N3302"/>
      <c r="O3302"/>
      <c r="P3302" s="225"/>
      <c r="Q3302" s="225"/>
      <c r="R3302"/>
      <c r="S3302"/>
      <c r="T3302"/>
      <c r="U3302"/>
      <c r="V3302"/>
      <c r="W3302"/>
      <c r="X3302"/>
    </row>
    <row r="3303" spans="5:24" x14ac:dyDescent="0.3">
      <c r="E3303" s="173"/>
      <c r="F3303" s="173"/>
      <c r="I3303"/>
      <c r="J3303"/>
      <c r="K3303"/>
      <c r="L3303"/>
      <c r="M3303"/>
      <c r="N3303"/>
      <c r="O3303"/>
      <c r="P3303" s="225"/>
      <c r="Q3303" s="225"/>
      <c r="R3303"/>
      <c r="S3303"/>
      <c r="T3303"/>
      <c r="U3303"/>
      <c r="V3303"/>
      <c r="W3303"/>
      <c r="X3303"/>
    </row>
    <row r="3304" spans="5:24" x14ac:dyDescent="0.3">
      <c r="E3304" s="173"/>
      <c r="F3304" s="173"/>
      <c r="I3304"/>
      <c r="J3304"/>
      <c r="K3304"/>
      <c r="L3304"/>
      <c r="M3304"/>
      <c r="N3304"/>
      <c r="O3304"/>
      <c r="P3304" s="225"/>
      <c r="Q3304" s="225"/>
      <c r="R3304"/>
      <c r="S3304"/>
      <c r="T3304"/>
      <c r="U3304"/>
      <c r="V3304"/>
      <c r="W3304"/>
      <c r="X3304"/>
    </row>
    <row r="3305" spans="5:24" x14ac:dyDescent="0.3">
      <c r="E3305" s="173"/>
      <c r="F3305" s="173"/>
      <c r="I3305"/>
      <c r="J3305"/>
      <c r="K3305"/>
      <c r="L3305"/>
      <c r="M3305"/>
      <c r="N3305"/>
      <c r="O3305"/>
      <c r="P3305" s="225"/>
      <c r="Q3305" s="225"/>
      <c r="R3305"/>
      <c r="S3305"/>
      <c r="T3305"/>
      <c r="U3305"/>
      <c r="V3305"/>
      <c r="W3305"/>
      <c r="X3305"/>
    </row>
    <row r="3306" spans="5:24" x14ac:dyDescent="0.3">
      <c r="E3306" s="173"/>
      <c r="F3306" s="173"/>
      <c r="I3306"/>
      <c r="J3306"/>
      <c r="K3306"/>
      <c r="L3306"/>
      <c r="M3306"/>
      <c r="N3306"/>
      <c r="O3306"/>
      <c r="P3306" s="225"/>
      <c r="Q3306" s="225"/>
      <c r="R3306"/>
      <c r="S3306"/>
      <c r="T3306"/>
      <c r="U3306"/>
      <c r="V3306"/>
      <c r="W3306"/>
      <c r="X3306"/>
    </row>
    <row r="3307" spans="5:24" x14ac:dyDescent="0.3">
      <c r="E3307" s="173"/>
      <c r="F3307" s="173"/>
      <c r="I3307"/>
      <c r="J3307"/>
      <c r="K3307"/>
      <c r="L3307"/>
      <c r="M3307"/>
      <c r="N3307"/>
      <c r="O3307"/>
      <c r="P3307" s="225"/>
      <c r="Q3307" s="225"/>
      <c r="R3307"/>
      <c r="S3307"/>
      <c r="T3307"/>
      <c r="U3307"/>
      <c r="V3307"/>
      <c r="W3307"/>
      <c r="X3307"/>
    </row>
    <row r="3308" spans="5:24" x14ac:dyDescent="0.3">
      <c r="E3308" s="173"/>
      <c r="F3308" s="173"/>
      <c r="I3308"/>
      <c r="J3308"/>
      <c r="K3308"/>
      <c r="L3308"/>
      <c r="M3308"/>
      <c r="N3308"/>
      <c r="O3308"/>
      <c r="P3308" s="225"/>
      <c r="Q3308" s="225"/>
      <c r="R3308"/>
      <c r="S3308"/>
      <c r="T3308"/>
      <c r="U3308"/>
      <c r="V3308"/>
      <c r="W3308"/>
      <c r="X3308"/>
    </row>
    <row r="3309" spans="5:24" x14ac:dyDescent="0.3">
      <c r="E3309" s="173"/>
      <c r="F3309" s="173"/>
      <c r="I3309"/>
      <c r="J3309"/>
      <c r="K3309"/>
      <c r="L3309"/>
      <c r="M3309"/>
      <c r="N3309"/>
      <c r="O3309"/>
      <c r="P3309" s="225"/>
      <c r="Q3309" s="225"/>
      <c r="R3309"/>
      <c r="S3309"/>
      <c r="T3309"/>
      <c r="U3309"/>
      <c r="V3309"/>
      <c r="W3309"/>
      <c r="X3309"/>
    </row>
    <row r="3310" spans="5:24" x14ac:dyDescent="0.3">
      <c r="E3310" s="173"/>
      <c r="F3310" s="173"/>
      <c r="I3310"/>
      <c r="J3310"/>
      <c r="K3310"/>
      <c r="L3310"/>
      <c r="M3310"/>
      <c r="N3310"/>
      <c r="O3310"/>
      <c r="P3310" s="225"/>
      <c r="Q3310" s="225"/>
      <c r="R3310"/>
      <c r="S3310"/>
      <c r="T3310"/>
      <c r="U3310"/>
      <c r="V3310"/>
      <c r="W3310"/>
      <c r="X3310"/>
    </row>
    <row r="3311" spans="5:24" x14ac:dyDescent="0.3">
      <c r="E3311" s="173"/>
      <c r="F3311" s="173"/>
      <c r="I3311"/>
      <c r="J3311"/>
      <c r="K3311"/>
      <c r="L3311"/>
      <c r="M3311"/>
      <c r="N3311"/>
      <c r="O3311"/>
      <c r="P3311" s="225"/>
      <c r="Q3311" s="225"/>
      <c r="R3311"/>
      <c r="S3311"/>
      <c r="T3311"/>
      <c r="U3311"/>
      <c r="V3311"/>
      <c r="W3311"/>
      <c r="X3311"/>
    </row>
    <row r="3312" spans="5:24" x14ac:dyDescent="0.3">
      <c r="E3312" s="173"/>
      <c r="F3312" s="173"/>
      <c r="I3312"/>
      <c r="J3312"/>
      <c r="K3312"/>
      <c r="L3312"/>
      <c r="M3312"/>
      <c r="N3312"/>
      <c r="O3312"/>
      <c r="P3312" s="225"/>
      <c r="Q3312" s="225"/>
      <c r="R3312"/>
      <c r="S3312"/>
      <c r="T3312"/>
      <c r="U3312"/>
      <c r="V3312"/>
      <c r="W3312"/>
      <c r="X3312"/>
    </row>
    <row r="3313" spans="5:24" x14ac:dyDescent="0.3">
      <c r="E3313" s="173"/>
      <c r="F3313" s="173"/>
      <c r="I3313"/>
      <c r="J3313"/>
      <c r="K3313"/>
      <c r="L3313"/>
      <c r="M3313"/>
      <c r="N3313"/>
      <c r="O3313"/>
      <c r="P3313" s="225"/>
      <c r="Q3313" s="225"/>
      <c r="R3313"/>
      <c r="S3313"/>
      <c r="T3313"/>
      <c r="U3313"/>
      <c r="V3313"/>
      <c r="W3313"/>
      <c r="X3313"/>
    </row>
    <row r="3314" spans="5:24" x14ac:dyDescent="0.3">
      <c r="E3314" s="173"/>
      <c r="F3314" s="173"/>
      <c r="I3314"/>
      <c r="J3314"/>
      <c r="K3314"/>
      <c r="L3314"/>
      <c r="M3314"/>
      <c r="N3314"/>
      <c r="O3314"/>
      <c r="P3314" s="225"/>
      <c r="Q3314" s="225"/>
      <c r="R3314"/>
      <c r="S3314"/>
      <c r="T3314"/>
      <c r="U3314"/>
      <c r="V3314"/>
      <c r="W3314"/>
      <c r="X3314"/>
    </row>
    <row r="3315" spans="5:24" x14ac:dyDescent="0.3">
      <c r="E3315" s="173"/>
      <c r="F3315" s="173"/>
      <c r="I3315"/>
      <c r="J3315"/>
      <c r="K3315"/>
      <c r="L3315"/>
      <c r="M3315"/>
      <c r="N3315"/>
      <c r="O3315"/>
      <c r="P3315" s="225"/>
      <c r="Q3315" s="225"/>
      <c r="R3315"/>
      <c r="S3315"/>
      <c r="T3315"/>
      <c r="U3315"/>
      <c r="V3315"/>
      <c r="W3315"/>
      <c r="X3315"/>
    </row>
    <row r="3316" spans="5:24" x14ac:dyDescent="0.3">
      <c r="E3316" s="173"/>
      <c r="F3316" s="173"/>
      <c r="I3316"/>
      <c r="J3316"/>
      <c r="K3316"/>
      <c r="L3316"/>
      <c r="M3316"/>
      <c r="N3316"/>
      <c r="O3316"/>
      <c r="P3316" s="225"/>
      <c r="Q3316" s="225"/>
      <c r="R3316"/>
      <c r="S3316"/>
      <c r="T3316"/>
      <c r="U3316"/>
      <c r="V3316"/>
      <c r="W3316"/>
      <c r="X3316"/>
    </row>
    <row r="3317" spans="5:24" x14ac:dyDescent="0.3">
      <c r="E3317" s="173"/>
      <c r="F3317" s="173"/>
      <c r="I3317"/>
      <c r="J3317"/>
      <c r="K3317"/>
      <c r="L3317"/>
      <c r="M3317"/>
      <c r="N3317"/>
      <c r="O3317"/>
      <c r="P3317" s="225"/>
      <c r="Q3317" s="225"/>
      <c r="R3317"/>
      <c r="S3317"/>
      <c r="T3317"/>
      <c r="U3317"/>
      <c r="V3317"/>
      <c r="W3317"/>
      <c r="X3317"/>
    </row>
    <row r="3318" spans="5:24" x14ac:dyDescent="0.3">
      <c r="E3318" s="173"/>
      <c r="F3318" s="173"/>
      <c r="I3318"/>
      <c r="J3318"/>
      <c r="K3318"/>
      <c r="L3318"/>
      <c r="M3318"/>
      <c r="N3318"/>
      <c r="O3318"/>
      <c r="P3318" s="225"/>
      <c r="Q3318" s="225"/>
      <c r="R3318"/>
      <c r="S3318"/>
      <c r="T3318"/>
      <c r="U3318"/>
      <c r="V3318"/>
      <c r="W3318"/>
      <c r="X3318"/>
    </row>
    <row r="3319" spans="5:24" x14ac:dyDescent="0.3">
      <c r="E3319" s="173"/>
      <c r="F3319" s="173"/>
      <c r="I3319"/>
      <c r="J3319"/>
      <c r="K3319"/>
      <c r="L3319"/>
      <c r="M3319"/>
      <c r="N3319"/>
      <c r="O3319"/>
      <c r="P3319" s="225"/>
      <c r="Q3319" s="225"/>
      <c r="R3319"/>
      <c r="S3319"/>
      <c r="T3319"/>
      <c r="U3319"/>
      <c r="V3319"/>
      <c r="W3319"/>
      <c r="X3319"/>
    </row>
    <row r="3320" spans="5:24" x14ac:dyDescent="0.3">
      <c r="E3320" s="173"/>
      <c r="F3320" s="173"/>
      <c r="I3320"/>
      <c r="J3320"/>
      <c r="K3320"/>
      <c r="L3320"/>
      <c r="M3320"/>
      <c r="N3320"/>
      <c r="O3320"/>
      <c r="P3320" s="225"/>
      <c r="Q3320" s="225"/>
      <c r="R3320"/>
      <c r="S3320"/>
      <c r="T3320"/>
      <c r="U3320"/>
      <c r="V3320"/>
      <c r="W3320"/>
      <c r="X3320"/>
    </row>
    <row r="3321" spans="5:24" x14ac:dyDescent="0.3">
      <c r="E3321" s="173"/>
      <c r="F3321" s="173"/>
      <c r="I3321"/>
      <c r="J3321"/>
      <c r="K3321"/>
      <c r="L3321"/>
      <c r="M3321"/>
      <c r="N3321"/>
      <c r="O3321"/>
      <c r="P3321" s="225"/>
      <c r="Q3321" s="225"/>
      <c r="R3321"/>
      <c r="S3321"/>
      <c r="T3321"/>
      <c r="U3321"/>
      <c r="V3321"/>
      <c r="W3321"/>
      <c r="X3321"/>
    </row>
    <row r="3322" spans="5:24" x14ac:dyDescent="0.3">
      <c r="E3322" s="173"/>
      <c r="F3322" s="173"/>
      <c r="I3322"/>
      <c r="J3322"/>
      <c r="K3322"/>
      <c r="L3322"/>
      <c r="M3322"/>
      <c r="N3322"/>
      <c r="O3322"/>
      <c r="P3322" s="225"/>
      <c r="Q3322" s="225"/>
      <c r="R3322"/>
      <c r="S3322"/>
      <c r="T3322"/>
      <c r="U3322"/>
      <c r="V3322"/>
      <c r="W3322"/>
      <c r="X3322"/>
    </row>
    <row r="3323" spans="5:24" x14ac:dyDescent="0.3">
      <c r="E3323" s="173"/>
      <c r="F3323" s="173"/>
      <c r="I3323"/>
      <c r="J3323"/>
      <c r="K3323"/>
      <c r="L3323"/>
      <c r="M3323"/>
      <c r="N3323"/>
      <c r="O3323"/>
      <c r="P3323" s="225"/>
      <c r="Q3323" s="225"/>
      <c r="R3323"/>
      <c r="S3323"/>
      <c r="T3323"/>
      <c r="U3323"/>
      <c r="V3323"/>
      <c r="W3323"/>
      <c r="X3323"/>
    </row>
    <row r="3324" spans="5:24" x14ac:dyDescent="0.3">
      <c r="E3324" s="173"/>
      <c r="F3324" s="173"/>
      <c r="I3324"/>
      <c r="J3324"/>
      <c r="K3324"/>
      <c r="L3324"/>
      <c r="M3324"/>
      <c r="N3324"/>
      <c r="O3324"/>
      <c r="P3324" s="225"/>
      <c r="Q3324" s="225"/>
      <c r="R3324"/>
      <c r="S3324"/>
      <c r="T3324"/>
      <c r="U3324"/>
      <c r="V3324"/>
      <c r="W3324"/>
      <c r="X3324"/>
    </row>
    <row r="3325" spans="5:24" x14ac:dyDescent="0.3">
      <c r="E3325" s="173"/>
      <c r="F3325" s="173"/>
      <c r="I3325"/>
      <c r="J3325"/>
      <c r="K3325"/>
      <c r="L3325"/>
      <c r="M3325"/>
      <c r="N3325"/>
      <c r="O3325"/>
      <c r="P3325" s="225"/>
      <c r="Q3325" s="225"/>
      <c r="R3325"/>
      <c r="S3325"/>
      <c r="T3325"/>
      <c r="U3325"/>
      <c r="V3325"/>
      <c r="W3325"/>
      <c r="X3325"/>
    </row>
    <row r="3326" spans="5:24" x14ac:dyDescent="0.3">
      <c r="E3326" s="173"/>
      <c r="F3326" s="173"/>
      <c r="I3326"/>
      <c r="J3326"/>
      <c r="K3326"/>
      <c r="L3326"/>
      <c r="M3326"/>
      <c r="N3326"/>
      <c r="O3326"/>
      <c r="P3326" s="225"/>
      <c r="Q3326" s="225"/>
      <c r="R3326"/>
      <c r="S3326"/>
      <c r="T3326"/>
      <c r="U3326"/>
      <c r="V3326"/>
      <c r="W3326"/>
      <c r="X3326"/>
    </row>
    <row r="3327" spans="5:24" x14ac:dyDescent="0.3">
      <c r="E3327" s="173"/>
      <c r="F3327" s="173"/>
      <c r="I3327"/>
      <c r="J3327"/>
      <c r="K3327"/>
      <c r="L3327"/>
      <c r="M3327"/>
      <c r="N3327"/>
      <c r="O3327"/>
      <c r="P3327" s="225"/>
      <c r="Q3327" s="225"/>
      <c r="R3327"/>
      <c r="S3327"/>
      <c r="T3327"/>
      <c r="U3327"/>
      <c r="V3327"/>
      <c r="W3327"/>
      <c r="X3327"/>
    </row>
    <row r="3328" spans="5:24" x14ac:dyDescent="0.3">
      <c r="E3328" s="173"/>
      <c r="F3328" s="173"/>
      <c r="I3328"/>
      <c r="J3328"/>
      <c r="K3328"/>
      <c r="L3328"/>
      <c r="M3328"/>
      <c r="N3328"/>
      <c r="O3328"/>
      <c r="P3328" s="225"/>
      <c r="Q3328" s="225"/>
      <c r="R3328"/>
      <c r="S3328"/>
      <c r="T3328"/>
      <c r="U3328"/>
      <c r="V3328"/>
      <c r="W3328"/>
      <c r="X3328"/>
    </row>
    <row r="3329" spans="5:24" x14ac:dyDescent="0.3">
      <c r="E3329" s="173"/>
      <c r="F3329" s="173"/>
      <c r="I3329"/>
      <c r="J3329"/>
      <c r="K3329"/>
      <c r="L3329"/>
      <c r="M3329"/>
      <c r="N3329"/>
      <c r="O3329"/>
      <c r="P3329" s="225"/>
      <c r="Q3329" s="225"/>
      <c r="R3329"/>
      <c r="S3329"/>
      <c r="T3329"/>
      <c r="U3329"/>
      <c r="V3329"/>
      <c r="W3329"/>
      <c r="X3329"/>
    </row>
    <row r="3330" spans="5:24" x14ac:dyDescent="0.3">
      <c r="E3330" s="173"/>
      <c r="F3330" s="173"/>
      <c r="I3330"/>
      <c r="J3330"/>
      <c r="K3330"/>
      <c r="L3330"/>
      <c r="M3330"/>
      <c r="N3330"/>
      <c r="O3330"/>
      <c r="P3330" s="225"/>
      <c r="Q3330" s="225"/>
      <c r="R3330"/>
      <c r="S3330"/>
      <c r="T3330"/>
      <c r="U3330"/>
      <c r="V3330"/>
      <c r="W3330"/>
      <c r="X3330"/>
    </row>
    <row r="3331" spans="5:24" x14ac:dyDescent="0.3">
      <c r="E3331" s="173"/>
      <c r="F3331" s="173"/>
      <c r="I3331"/>
      <c r="J3331"/>
      <c r="K3331"/>
      <c r="L3331"/>
      <c r="M3331"/>
      <c r="N3331"/>
      <c r="O3331"/>
      <c r="P3331" s="225"/>
      <c r="Q3331" s="225"/>
      <c r="R3331"/>
      <c r="S3331"/>
      <c r="T3331"/>
      <c r="U3331"/>
      <c r="V3331"/>
      <c r="W3331"/>
      <c r="X3331"/>
    </row>
    <row r="3332" spans="5:24" x14ac:dyDescent="0.3">
      <c r="E3332" s="173"/>
      <c r="F3332" s="173"/>
      <c r="I3332"/>
      <c r="J3332"/>
      <c r="K3332"/>
      <c r="L3332"/>
      <c r="M3332"/>
      <c r="N3332"/>
      <c r="O3332"/>
      <c r="P3332" s="225"/>
      <c r="Q3332" s="225"/>
      <c r="R3332"/>
      <c r="S3332"/>
      <c r="T3332"/>
      <c r="U3332"/>
      <c r="V3332"/>
      <c r="W3332"/>
      <c r="X3332"/>
    </row>
    <row r="3333" spans="5:24" x14ac:dyDescent="0.3">
      <c r="E3333" s="173"/>
      <c r="F3333" s="173"/>
      <c r="I3333"/>
      <c r="J3333"/>
      <c r="K3333"/>
      <c r="L3333"/>
      <c r="M3333"/>
      <c r="N3333"/>
      <c r="O3333"/>
      <c r="P3333" s="225"/>
      <c r="Q3333" s="225"/>
      <c r="R3333"/>
      <c r="S3333"/>
      <c r="T3333"/>
      <c r="U3333"/>
      <c r="V3333"/>
      <c r="W3333"/>
      <c r="X3333"/>
    </row>
    <row r="3334" spans="5:24" x14ac:dyDescent="0.3">
      <c r="E3334" s="173"/>
      <c r="F3334" s="173"/>
      <c r="I3334"/>
      <c r="J3334"/>
      <c r="K3334"/>
      <c r="L3334"/>
      <c r="M3334"/>
      <c r="N3334"/>
      <c r="O3334"/>
      <c r="P3334" s="225"/>
      <c r="Q3334" s="225"/>
      <c r="R3334"/>
      <c r="S3334"/>
      <c r="T3334"/>
      <c r="U3334"/>
      <c r="V3334"/>
      <c r="W3334"/>
      <c r="X3334"/>
    </row>
    <row r="3335" spans="5:24" x14ac:dyDescent="0.3">
      <c r="E3335" s="173"/>
      <c r="F3335" s="173"/>
      <c r="I3335"/>
      <c r="J3335"/>
      <c r="K3335"/>
      <c r="L3335"/>
      <c r="M3335"/>
      <c r="N3335"/>
      <c r="O3335"/>
      <c r="P3335" s="225"/>
      <c r="Q3335" s="225"/>
      <c r="R3335"/>
      <c r="S3335"/>
      <c r="T3335"/>
      <c r="U3335"/>
      <c r="V3335"/>
      <c r="W3335"/>
      <c r="X3335"/>
    </row>
    <row r="3336" spans="5:24" x14ac:dyDescent="0.3">
      <c r="E3336" s="173"/>
      <c r="F3336" s="173"/>
      <c r="I3336"/>
      <c r="J3336"/>
      <c r="K3336"/>
      <c r="L3336"/>
      <c r="M3336"/>
      <c r="N3336"/>
      <c r="O3336"/>
      <c r="P3336" s="225"/>
      <c r="Q3336" s="225"/>
      <c r="R3336"/>
      <c r="S3336"/>
      <c r="T3336"/>
      <c r="U3336"/>
      <c r="V3336"/>
      <c r="W3336"/>
      <c r="X3336"/>
    </row>
    <row r="3337" spans="5:24" x14ac:dyDescent="0.3">
      <c r="E3337" s="173"/>
      <c r="F3337" s="173"/>
      <c r="I3337"/>
      <c r="J3337"/>
      <c r="K3337"/>
      <c r="L3337"/>
      <c r="M3337"/>
      <c r="N3337"/>
      <c r="O3337"/>
      <c r="P3337" s="225"/>
      <c r="Q3337" s="225"/>
      <c r="R3337"/>
      <c r="S3337"/>
      <c r="T3337"/>
      <c r="U3337"/>
      <c r="V3337"/>
      <c r="W3337"/>
      <c r="X3337"/>
    </row>
    <row r="3338" spans="5:24" x14ac:dyDescent="0.3">
      <c r="E3338" s="173"/>
      <c r="F3338" s="173"/>
      <c r="I3338"/>
      <c r="J3338"/>
      <c r="K3338"/>
      <c r="L3338"/>
      <c r="M3338"/>
      <c r="N3338"/>
      <c r="O3338"/>
      <c r="P3338" s="225"/>
      <c r="Q3338" s="225"/>
      <c r="R3338"/>
      <c r="S3338"/>
      <c r="T3338"/>
      <c r="U3338"/>
      <c r="V3338"/>
      <c r="W3338"/>
      <c r="X3338"/>
    </row>
    <row r="3339" spans="5:24" x14ac:dyDescent="0.3">
      <c r="E3339" s="173"/>
      <c r="F3339" s="173"/>
      <c r="I3339"/>
      <c r="J3339"/>
      <c r="K3339"/>
      <c r="L3339"/>
      <c r="M3339"/>
      <c r="N3339"/>
      <c r="O3339"/>
      <c r="P3339" s="225"/>
      <c r="Q3339" s="225"/>
      <c r="R3339"/>
      <c r="S3339"/>
      <c r="T3339"/>
      <c r="U3339"/>
      <c r="V3339"/>
      <c r="W3339"/>
      <c r="X3339"/>
    </row>
    <row r="3340" spans="5:24" x14ac:dyDescent="0.3">
      <c r="E3340" s="173"/>
      <c r="F3340" s="173"/>
      <c r="I3340"/>
      <c r="J3340"/>
      <c r="K3340"/>
      <c r="L3340"/>
      <c r="M3340"/>
      <c r="N3340"/>
      <c r="O3340"/>
      <c r="P3340" s="225"/>
      <c r="Q3340" s="225"/>
      <c r="R3340"/>
      <c r="S3340"/>
      <c r="T3340"/>
      <c r="U3340"/>
      <c r="V3340"/>
      <c r="W3340"/>
      <c r="X3340"/>
    </row>
    <row r="3341" spans="5:24" x14ac:dyDescent="0.3">
      <c r="E3341" s="173"/>
      <c r="F3341" s="173"/>
      <c r="I3341"/>
      <c r="J3341"/>
      <c r="K3341"/>
      <c r="L3341"/>
      <c r="M3341"/>
      <c r="N3341"/>
      <c r="O3341"/>
      <c r="P3341" s="225"/>
      <c r="Q3341" s="225"/>
      <c r="R3341"/>
      <c r="S3341"/>
      <c r="T3341"/>
      <c r="U3341"/>
      <c r="V3341"/>
      <c r="W3341"/>
      <c r="X3341"/>
    </row>
    <row r="3342" spans="5:24" x14ac:dyDescent="0.3">
      <c r="E3342" s="173"/>
      <c r="F3342" s="173"/>
      <c r="I3342"/>
      <c r="J3342"/>
      <c r="K3342"/>
      <c r="L3342"/>
      <c r="M3342"/>
      <c r="N3342"/>
      <c r="O3342"/>
      <c r="P3342" s="225"/>
      <c r="Q3342" s="225"/>
      <c r="R3342"/>
      <c r="S3342"/>
      <c r="T3342"/>
      <c r="U3342"/>
      <c r="V3342"/>
      <c r="W3342"/>
      <c r="X3342"/>
    </row>
    <row r="3343" spans="5:24" x14ac:dyDescent="0.3">
      <c r="E3343" s="173"/>
      <c r="F3343" s="173"/>
      <c r="I3343"/>
      <c r="J3343"/>
      <c r="K3343"/>
      <c r="L3343"/>
      <c r="M3343"/>
      <c r="N3343"/>
      <c r="O3343"/>
      <c r="P3343" s="225"/>
      <c r="Q3343" s="225"/>
      <c r="R3343"/>
      <c r="S3343"/>
      <c r="T3343"/>
      <c r="U3343"/>
      <c r="V3343"/>
      <c r="W3343"/>
      <c r="X3343"/>
    </row>
    <row r="3344" spans="5:24" x14ac:dyDescent="0.3">
      <c r="E3344" s="173"/>
      <c r="F3344" s="173"/>
      <c r="I3344"/>
      <c r="J3344"/>
      <c r="K3344"/>
      <c r="L3344"/>
      <c r="M3344"/>
      <c r="N3344"/>
      <c r="O3344"/>
      <c r="P3344" s="225"/>
      <c r="Q3344" s="225"/>
      <c r="R3344"/>
      <c r="S3344"/>
      <c r="T3344"/>
      <c r="U3344"/>
      <c r="V3344"/>
      <c r="W3344"/>
      <c r="X3344"/>
    </row>
    <row r="3345" spans="5:24" x14ac:dyDescent="0.3">
      <c r="E3345" s="173"/>
      <c r="F3345" s="173"/>
      <c r="I3345"/>
      <c r="J3345"/>
      <c r="K3345"/>
      <c r="L3345"/>
      <c r="M3345"/>
      <c r="N3345"/>
      <c r="O3345"/>
      <c r="P3345" s="225"/>
      <c r="Q3345" s="225"/>
      <c r="R3345"/>
      <c r="S3345"/>
      <c r="T3345"/>
      <c r="U3345"/>
      <c r="V3345"/>
      <c r="W3345"/>
      <c r="X3345"/>
    </row>
    <row r="3346" spans="5:24" x14ac:dyDescent="0.3">
      <c r="E3346" s="173"/>
      <c r="F3346" s="173"/>
      <c r="I3346"/>
      <c r="J3346"/>
      <c r="K3346"/>
      <c r="L3346"/>
      <c r="M3346"/>
      <c r="N3346"/>
      <c r="O3346"/>
      <c r="P3346" s="225"/>
      <c r="Q3346" s="225"/>
      <c r="R3346"/>
      <c r="S3346"/>
      <c r="T3346"/>
      <c r="U3346"/>
      <c r="V3346"/>
      <c r="W3346"/>
      <c r="X3346"/>
    </row>
    <row r="3347" spans="5:24" x14ac:dyDescent="0.3">
      <c r="E3347" s="173"/>
      <c r="F3347" s="173"/>
      <c r="I3347"/>
      <c r="J3347"/>
      <c r="K3347"/>
      <c r="L3347"/>
      <c r="M3347"/>
      <c r="N3347"/>
      <c r="O3347"/>
      <c r="P3347" s="225"/>
      <c r="Q3347" s="225"/>
      <c r="R3347"/>
      <c r="S3347"/>
      <c r="T3347"/>
      <c r="U3347"/>
      <c r="V3347"/>
      <c r="W3347"/>
      <c r="X3347"/>
    </row>
    <row r="3348" spans="5:24" x14ac:dyDescent="0.3">
      <c r="E3348" s="173"/>
      <c r="F3348" s="173"/>
      <c r="I3348"/>
      <c r="J3348"/>
      <c r="K3348"/>
      <c r="L3348"/>
      <c r="M3348"/>
      <c r="N3348"/>
      <c r="O3348"/>
      <c r="P3348" s="225"/>
      <c r="Q3348" s="225"/>
      <c r="R3348"/>
      <c r="S3348"/>
      <c r="T3348"/>
      <c r="U3348"/>
      <c r="V3348"/>
      <c r="W3348"/>
      <c r="X3348"/>
    </row>
    <row r="3349" spans="5:24" x14ac:dyDescent="0.3">
      <c r="E3349" s="173"/>
      <c r="F3349" s="173"/>
      <c r="I3349"/>
      <c r="J3349"/>
      <c r="K3349"/>
      <c r="L3349"/>
      <c r="M3349"/>
      <c r="N3349"/>
      <c r="O3349"/>
      <c r="P3349" s="225"/>
      <c r="Q3349" s="225"/>
      <c r="R3349"/>
      <c r="S3349"/>
      <c r="T3349"/>
      <c r="U3349"/>
      <c r="V3349"/>
      <c r="W3349"/>
      <c r="X3349"/>
    </row>
    <row r="3350" spans="5:24" x14ac:dyDescent="0.3">
      <c r="E3350" s="173"/>
      <c r="F3350" s="173"/>
      <c r="I3350"/>
      <c r="J3350"/>
      <c r="K3350"/>
      <c r="L3350"/>
      <c r="M3350"/>
      <c r="N3350"/>
      <c r="O3350"/>
      <c r="P3350" s="225"/>
      <c r="Q3350" s="225"/>
      <c r="R3350"/>
      <c r="S3350"/>
      <c r="T3350"/>
      <c r="U3350"/>
      <c r="V3350"/>
      <c r="W3350"/>
      <c r="X3350"/>
    </row>
    <row r="3351" spans="5:24" x14ac:dyDescent="0.3">
      <c r="E3351" s="173"/>
      <c r="F3351" s="173"/>
      <c r="I3351"/>
      <c r="J3351"/>
      <c r="K3351"/>
      <c r="L3351"/>
      <c r="M3351"/>
      <c r="N3351"/>
      <c r="O3351"/>
      <c r="P3351" s="225"/>
      <c r="Q3351" s="225"/>
      <c r="R3351"/>
      <c r="S3351"/>
      <c r="T3351"/>
      <c r="U3351"/>
      <c r="V3351"/>
      <c r="W3351"/>
      <c r="X3351"/>
    </row>
    <row r="3352" spans="5:24" x14ac:dyDescent="0.3">
      <c r="E3352" s="173"/>
      <c r="F3352" s="173"/>
      <c r="I3352"/>
      <c r="J3352"/>
      <c r="K3352"/>
      <c r="L3352"/>
      <c r="M3352"/>
      <c r="N3352"/>
      <c r="O3352"/>
      <c r="P3352" s="225"/>
      <c r="Q3352" s="225"/>
      <c r="R3352"/>
      <c r="S3352"/>
      <c r="T3352"/>
      <c r="U3352"/>
      <c r="V3352"/>
      <c r="W3352"/>
      <c r="X3352"/>
    </row>
    <row r="3353" spans="5:24" x14ac:dyDescent="0.3">
      <c r="E3353" s="173"/>
      <c r="F3353" s="173"/>
      <c r="I3353"/>
      <c r="J3353"/>
      <c r="K3353"/>
      <c r="L3353"/>
      <c r="M3353"/>
      <c r="N3353"/>
      <c r="O3353"/>
      <c r="P3353" s="225"/>
      <c r="Q3353" s="225"/>
      <c r="R3353"/>
      <c r="S3353"/>
      <c r="T3353"/>
      <c r="U3353"/>
      <c r="V3353"/>
      <c r="W3353"/>
      <c r="X3353"/>
    </row>
    <row r="3354" spans="5:24" x14ac:dyDescent="0.3">
      <c r="E3354" s="173"/>
      <c r="F3354" s="173"/>
      <c r="I3354"/>
      <c r="J3354"/>
      <c r="K3354"/>
      <c r="L3354"/>
      <c r="M3354"/>
      <c r="N3354"/>
      <c r="O3354"/>
      <c r="P3354" s="225"/>
      <c r="Q3354" s="225"/>
      <c r="R3354"/>
      <c r="S3354"/>
      <c r="T3354"/>
      <c r="U3354"/>
      <c r="V3354"/>
      <c r="W3354"/>
      <c r="X3354"/>
    </row>
    <row r="3355" spans="5:24" x14ac:dyDescent="0.3">
      <c r="E3355" s="173"/>
      <c r="F3355" s="173"/>
      <c r="I3355"/>
      <c r="J3355"/>
      <c r="K3355"/>
      <c r="L3355"/>
      <c r="M3355"/>
      <c r="N3355"/>
      <c r="O3355"/>
      <c r="P3355" s="225"/>
      <c r="Q3355" s="225"/>
      <c r="R3355"/>
      <c r="S3355"/>
      <c r="T3355"/>
      <c r="U3355"/>
      <c r="V3355"/>
      <c r="W3355"/>
      <c r="X3355"/>
    </row>
    <row r="3356" spans="5:24" x14ac:dyDescent="0.3">
      <c r="E3356" s="173"/>
      <c r="F3356" s="173"/>
      <c r="I3356"/>
      <c r="J3356"/>
      <c r="K3356"/>
      <c r="L3356"/>
      <c r="M3356"/>
      <c r="N3356"/>
      <c r="O3356"/>
      <c r="P3356" s="225"/>
      <c r="Q3356" s="225"/>
      <c r="R3356"/>
      <c r="S3356"/>
      <c r="T3356"/>
      <c r="U3356"/>
      <c r="V3356"/>
      <c r="W3356"/>
      <c r="X3356"/>
    </row>
    <row r="3357" spans="5:24" x14ac:dyDescent="0.3">
      <c r="E3357" s="173"/>
      <c r="F3357" s="173"/>
      <c r="I3357"/>
      <c r="J3357"/>
      <c r="K3357"/>
      <c r="L3357"/>
      <c r="M3357"/>
      <c r="N3357"/>
      <c r="O3357"/>
      <c r="P3357" s="225"/>
      <c r="Q3357" s="225"/>
      <c r="R3357"/>
      <c r="S3357"/>
      <c r="T3357"/>
      <c r="U3357"/>
      <c r="V3357"/>
      <c r="W3357"/>
      <c r="X3357"/>
    </row>
    <row r="3358" spans="5:24" x14ac:dyDescent="0.3">
      <c r="E3358" s="173"/>
      <c r="F3358" s="173"/>
      <c r="I3358"/>
      <c r="J3358"/>
      <c r="K3358"/>
      <c r="L3358"/>
      <c r="M3358"/>
      <c r="N3358"/>
      <c r="O3358"/>
      <c r="P3358" s="225"/>
      <c r="Q3358" s="225"/>
      <c r="R3358"/>
      <c r="S3358"/>
      <c r="T3358"/>
      <c r="U3358"/>
      <c r="V3358"/>
      <c r="W3358"/>
      <c r="X3358"/>
    </row>
    <row r="3359" spans="5:24" x14ac:dyDescent="0.3">
      <c r="E3359" s="173"/>
      <c r="F3359" s="173"/>
      <c r="I3359"/>
      <c r="J3359"/>
      <c r="K3359"/>
      <c r="L3359"/>
      <c r="M3359"/>
      <c r="N3359"/>
      <c r="O3359"/>
      <c r="P3359" s="225"/>
      <c r="Q3359" s="225"/>
      <c r="R3359"/>
      <c r="S3359"/>
      <c r="T3359"/>
      <c r="U3359"/>
      <c r="V3359"/>
      <c r="W3359"/>
      <c r="X3359"/>
    </row>
    <row r="3360" spans="5:24" x14ac:dyDescent="0.3">
      <c r="E3360" s="173"/>
      <c r="F3360" s="173"/>
      <c r="I3360"/>
      <c r="J3360"/>
      <c r="K3360"/>
      <c r="L3360"/>
      <c r="M3360"/>
      <c r="N3360"/>
      <c r="O3360"/>
      <c r="P3360" s="225"/>
      <c r="Q3360" s="225"/>
      <c r="R3360"/>
      <c r="S3360"/>
      <c r="T3360"/>
      <c r="U3360"/>
      <c r="V3360"/>
      <c r="W3360"/>
      <c r="X3360"/>
    </row>
    <row r="3361" spans="5:24" x14ac:dyDescent="0.3">
      <c r="E3361" s="173"/>
      <c r="F3361" s="173"/>
      <c r="I3361"/>
      <c r="J3361"/>
      <c r="K3361"/>
      <c r="L3361"/>
      <c r="M3361"/>
      <c r="N3361"/>
      <c r="O3361"/>
      <c r="P3361" s="225"/>
      <c r="Q3361" s="225"/>
      <c r="R3361"/>
      <c r="S3361"/>
      <c r="T3361"/>
      <c r="U3361"/>
      <c r="V3361"/>
      <c r="W3361"/>
      <c r="X3361"/>
    </row>
    <row r="3362" spans="5:24" x14ac:dyDescent="0.3">
      <c r="E3362" s="173"/>
      <c r="F3362" s="173"/>
      <c r="I3362"/>
      <c r="J3362"/>
      <c r="K3362"/>
      <c r="L3362"/>
      <c r="M3362"/>
      <c r="N3362"/>
      <c r="O3362"/>
      <c r="P3362" s="225"/>
      <c r="Q3362" s="225"/>
      <c r="R3362"/>
      <c r="S3362"/>
      <c r="T3362"/>
      <c r="U3362"/>
      <c r="V3362"/>
      <c r="W3362"/>
      <c r="X3362"/>
    </row>
    <row r="3363" spans="5:24" x14ac:dyDescent="0.3">
      <c r="E3363" s="173"/>
      <c r="F3363" s="173"/>
      <c r="I3363"/>
      <c r="J3363"/>
      <c r="K3363"/>
      <c r="L3363"/>
      <c r="M3363"/>
      <c r="N3363"/>
      <c r="O3363"/>
      <c r="P3363" s="225"/>
      <c r="Q3363" s="225"/>
      <c r="R3363"/>
      <c r="S3363"/>
      <c r="T3363"/>
      <c r="U3363"/>
      <c r="V3363"/>
      <c r="W3363"/>
      <c r="X3363"/>
    </row>
    <row r="3364" spans="5:24" x14ac:dyDescent="0.3">
      <c r="E3364" s="173"/>
      <c r="F3364" s="173"/>
      <c r="I3364"/>
      <c r="J3364"/>
      <c r="K3364"/>
      <c r="L3364"/>
      <c r="M3364"/>
      <c r="N3364"/>
      <c r="O3364"/>
      <c r="P3364" s="225"/>
      <c r="Q3364" s="225"/>
      <c r="R3364"/>
      <c r="S3364"/>
      <c r="T3364"/>
      <c r="U3364"/>
      <c r="V3364"/>
      <c r="W3364"/>
      <c r="X3364"/>
    </row>
    <row r="3365" spans="5:24" x14ac:dyDescent="0.3">
      <c r="E3365" s="173"/>
      <c r="F3365" s="173"/>
      <c r="I3365"/>
      <c r="J3365"/>
      <c r="K3365"/>
      <c r="L3365"/>
      <c r="M3365"/>
      <c r="N3365"/>
      <c r="O3365"/>
      <c r="P3365" s="225"/>
      <c r="Q3365" s="225"/>
      <c r="R3365"/>
      <c r="S3365"/>
      <c r="T3365"/>
      <c r="U3365"/>
      <c r="V3365"/>
      <c r="W3365"/>
      <c r="X3365"/>
    </row>
    <row r="3366" spans="5:24" x14ac:dyDescent="0.3">
      <c r="E3366" s="173"/>
      <c r="F3366" s="173"/>
      <c r="I3366"/>
      <c r="J3366"/>
      <c r="K3366"/>
      <c r="L3366"/>
      <c r="M3366"/>
      <c r="N3366"/>
      <c r="O3366"/>
      <c r="P3366" s="225"/>
      <c r="Q3366" s="225"/>
      <c r="R3366"/>
      <c r="S3366"/>
      <c r="T3366"/>
      <c r="U3366"/>
      <c r="V3366"/>
      <c r="W3366"/>
      <c r="X3366"/>
    </row>
    <row r="3367" spans="5:24" x14ac:dyDescent="0.3">
      <c r="E3367" s="173"/>
      <c r="F3367" s="173"/>
      <c r="I3367"/>
      <c r="J3367"/>
      <c r="K3367"/>
      <c r="L3367"/>
      <c r="M3367"/>
      <c r="N3367"/>
      <c r="O3367"/>
      <c r="P3367" s="225"/>
      <c r="Q3367" s="225"/>
      <c r="R3367"/>
      <c r="S3367"/>
      <c r="T3367"/>
      <c r="U3367"/>
      <c r="V3367"/>
      <c r="W3367"/>
      <c r="X3367"/>
    </row>
    <row r="3368" spans="5:24" x14ac:dyDescent="0.3">
      <c r="E3368" s="173"/>
      <c r="F3368" s="173"/>
      <c r="I3368"/>
      <c r="J3368"/>
      <c r="K3368"/>
      <c r="L3368"/>
      <c r="M3368"/>
      <c r="N3368"/>
      <c r="O3368"/>
      <c r="P3368" s="225"/>
      <c r="Q3368" s="225"/>
      <c r="R3368"/>
      <c r="S3368"/>
      <c r="T3368"/>
      <c r="U3368"/>
      <c r="V3368"/>
      <c r="W3368"/>
      <c r="X3368"/>
    </row>
    <row r="3369" spans="5:24" x14ac:dyDescent="0.3">
      <c r="E3369" s="173"/>
      <c r="F3369" s="173"/>
      <c r="I3369"/>
      <c r="J3369"/>
      <c r="K3369"/>
      <c r="L3369"/>
      <c r="M3369"/>
      <c r="N3369"/>
      <c r="O3369"/>
      <c r="P3369" s="225"/>
      <c r="Q3369" s="225"/>
      <c r="R3369"/>
      <c r="S3369"/>
      <c r="T3369"/>
      <c r="U3369"/>
      <c r="V3369"/>
      <c r="W3369"/>
      <c r="X3369"/>
    </row>
    <row r="3370" spans="5:24" x14ac:dyDescent="0.3">
      <c r="E3370" s="173"/>
      <c r="F3370" s="173"/>
      <c r="I3370"/>
      <c r="J3370"/>
      <c r="K3370"/>
      <c r="L3370"/>
      <c r="M3370"/>
      <c r="N3370"/>
      <c r="O3370"/>
      <c r="P3370" s="225"/>
      <c r="Q3370" s="225"/>
      <c r="R3370"/>
      <c r="S3370"/>
      <c r="T3370"/>
      <c r="U3370"/>
      <c r="V3370"/>
      <c r="W3370"/>
      <c r="X3370"/>
    </row>
    <row r="3371" spans="5:24" x14ac:dyDescent="0.3">
      <c r="E3371" s="173"/>
      <c r="F3371" s="173"/>
      <c r="I3371"/>
      <c r="J3371"/>
      <c r="K3371"/>
      <c r="L3371"/>
      <c r="M3371"/>
      <c r="N3371"/>
      <c r="O3371"/>
      <c r="P3371" s="225"/>
      <c r="Q3371" s="225"/>
      <c r="R3371"/>
      <c r="S3371"/>
      <c r="T3371"/>
      <c r="U3371"/>
      <c r="V3371"/>
      <c r="W3371"/>
      <c r="X3371"/>
    </row>
    <row r="3372" spans="5:24" x14ac:dyDescent="0.3">
      <c r="E3372" s="173"/>
      <c r="F3372" s="173"/>
      <c r="I3372"/>
      <c r="J3372"/>
      <c r="K3372"/>
      <c r="L3372"/>
      <c r="M3372"/>
      <c r="N3372"/>
      <c r="O3372"/>
      <c r="P3372" s="225"/>
      <c r="Q3372" s="225"/>
      <c r="R3372"/>
      <c r="S3372"/>
      <c r="T3372"/>
      <c r="U3372"/>
      <c r="V3372"/>
      <c r="W3372"/>
      <c r="X3372"/>
    </row>
    <row r="3373" spans="5:24" x14ac:dyDescent="0.3">
      <c r="E3373" s="173"/>
      <c r="F3373" s="173"/>
      <c r="I3373"/>
      <c r="J3373"/>
      <c r="K3373"/>
      <c r="L3373"/>
      <c r="M3373"/>
      <c r="N3373"/>
      <c r="O3373"/>
      <c r="P3373" s="225"/>
      <c r="Q3373" s="225"/>
      <c r="R3373"/>
      <c r="S3373"/>
      <c r="T3373"/>
      <c r="U3373"/>
      <c r="V3373"/>
      <c r="W3373"/>
      <c r="X3373"/>
    </row>
    <row r="3374" spans="5:24" x14ac:dyDescent="0.3">
      <c r="E3374" s="173"/>
      <c r="F3374" s="173"/>
      <c r="I3374"/>
      <c r="J3374"/>
      <c r="K3374"/>
      <c r="L3374"/>
      <c r="M3374"/>
      <c r="N3374"/>
      <c r="O3374"/>
      <c r="P3374" s="225"/>
      <c r="Q3374" s="225"/>
      <c r="R3374"/>
      <c r="S3374"/>
      <c r="T3374"/>
      <c r="U3374"/>
      <c r="V3374"/>
      <c r="W3374"/>
      <c r="X3374"/>
    </row>
    <row r="3375" spans="5:24" x14ac:dyDescent="0.3">
      <c r="E3375" s="173"/>
      <c r="F3375" s="173"/>
      <c r="I3375"/>
      <c r="J3375"/>
      <c r="K3375"/>
      <c r="L3375"/>
      <c r="M3375"/>
      <c r="N3375"/>
      <c r="O3375"/>
      <c r="P3375" s="225"/>
      <c r="Q3375" s="225"/>
      <c r="R3375"/>
      <c r="S3375"/>
      <c r="T3375"/>
      <c r="U3375"/>
      <c r="V3375"/>
      <c r="W3375"/>
      <c r="X3375"/>
    </row>
    <row r="3376" spans="5:24" x14ac:dyDescent="0.3">
      <c r="E3376" s="173"/>
      <c r="F3376" s="173"/>
      <c r="I3376"/>
      <c r="J3376"/>
      <c r="K3376"/>
      <c r="L3376"/>
      <c r="M3376"/>
      <c r="N3376"/>
      <c r="O3376"/>
      <c r="P3376" s="225"/>
      <c r="Q3376" s="225"/>
      <c r="R3376"/>
      <c r="S3376"/>
      <c r="T3376"/>
      <c r="U3376"/>
      <c r="V3376"/>
      <c r="W3376"/>
      <c r="X3376"/>
    </row>
    <row r="3377" spans="5:24" x14ac:dyDescent="0.3">
      <c r="E3377" s="173"/>
      <c r="F3377" s="173"/>
      <c r="I3377"/>
      <c r="J3377"/>
      <c r="K3377"/>
      <c r="L3377"/>
      <c r="M3377"/>
      <c r="N3377"/>
      <c r="O3377"/>
      <c r="P3377" s="225"/>
      <c r="Q3377" s="225"/>
      <c r="R3377"/>
      <c r="S3377"/>
      <c r="T3377"/>
      <c r="U3377"/>
      <c r="V3377"/>
      <c r="W3377"/>
      <c r="X3377"/>
    </row>
    <row r="3378" spans="5:24" x14ac:dyDescent="0.3">
      <c r="E3378" s="173"/>
      <c r="F3378" s="173"/>
      <c r="I3378"/>
      <c r="J3378"/>
      <c r="K3378"/>
      <c r="L3378"/>
      <c r="M3378"/>
      <c r="N3378"/>
      <c r="O3378"/>
      <c r="P3378" s="225"/>
      <c r="Q3378" s="225"/>
      <c r="R3378"/>
      <c r="S3378"/>
      <c r="T3378"/>
      <c r="U3378"/>
      <c r="V3378"/>
      <c r="W3378"/>
      <c r="X3378"/>
    </row>
    <row r="3379" spans="5:24" x14ac:dyDescent="0.3">
      <c r="E3379" s="173"/>
      <c r="F3379" s="173"/>
      <c r="I3379"/>
      <c r="J3379"/>
      <c r="K3379"/>
      <c r="L3379"/>
      <c r="M3379"/>
      <c r="N3379"/>
      <c r="O3379"/>
      <c r="P3379" s="225"/>
      <c r="Q3379" s="225"/>
      <c r="R3379"/>
      <c r="S3379"/>
      <c r="T3379"/>
      <c r="U3379"/>
      <c r="V3379"/>
      <c r="W3379"/>
      <c r="X3379"/>
    </row>
    <row r="3380" spans="5:24" x14ac:dyDescent="0.3">
      <c r="E3380" s="173"/>
      <c r="F3380" s="173"/>
      <c r="I3380"/>
      <c r="J3380"/>
      <c r="K3380"/>
      <c r="L3380"/>
      <c r="M3380"/>
      <c r="N3380"/>
      <c r="O3380"/>
      <c r="P3380" s="225"/>
      <c r="Q3380" s="225"/>
      <c r="R3380"/>
      <c r="S3380"/>
      <c r="T3380"/>
      <c r="U3380"/>
      <c r="V3380"/>
      <c r="W3380"/>
      <c r="X3380"/>
    </row>
    <row r="3381" spans="5:24" x14ac:dyDescent="0.3">
      <c r="E3381" s="173"/>
      <c r="F3381" s="173"/>
      <c r="I3381"/>
      <c r="J3381"/>
      <c r="K3381"/>
      <c r="L3381"/>
      <c r="M3381"/>
      <c r="N3381"/>
      <c r="O3381"/>
      <c r="P3381" s="225"/>
      <c r="Q3381" s="225"/>
      <c r="R3381"/>
      <c r="S3381"/>
      <c r="T3381"/>
      <c r="U3381"/>
      <c r="V3381"/>
      <c r="W3381"/>
      <c r="X3381"/>
    </row>
    <row r="3382" spans="5:24" x14ac:dyDescent="0.3">
      <c r="E3382" s="173"/>
      <c r="F3382" s="173"/>
      <c r="I3382"/>
      <c r="J3382"/>
      <c r="K3382"/>
      <c r="L3382"/>
      <c r="M3382"/>
      <c r="N3382"/>
      <c r="O3382"/>
      <c r="P3382" s="225"/>
      <c r="Q3382" s="225"/>
      <c r="R3382"/>
      <c r="S3382"/>
      <c r="T3382"/>
      <c r="U3382"/>
      <c r="V3382"/>
      <c r="W3382"/>
      <c r="X3382"/>
    </row>
    <row r="3383" spans="5:24" x14ac:dyDescent="0.3">
      <c r="E3383" s="173"/>
      <c r="F3383" s="173"/>
      <c r="I3383"/>
      <c r="J3383"/>
      <c r="K3383"/>
      <c r="L3383"/>
      <c r="M3383"/>
      <c r="N3383"/>
      <c r="O3383"/>
      <c r="P3383" s="225"/>
      <c r="Q3383" s="225"/>
      <c r="R3383"/>
      <c r="S3383"/>
      <c r="T3383"/>
      <c r="U3383"/>
      <c r="V3383"/>
      <c r="W3383"/>
      <c r="X3383"/>
    </row>
    <row r="3384" spans="5:24" x14ac:dyDescent="0.3">
      <c r="E3384" s="173"/>
      <c r="F3384" s="173"/>
      <c r="I3384"/>
      <c r="J3384"/>
      <c r="K3384"/>
      <c r="L3384"/>
      <c r="M3384"/>
      <c r="N3384"/>
      <c r="O3384"/>
      <c r="P3384" s="225"/>
      <c r="Q3384" s="225"/>
      <c r="R3384"/>
      <c r="S3384"/>
      <c r="T3384"/>
      <c r="U3384"/>
      <c r="V3384"/>
      <c r="W3384"/>
      <c r="X3384"/>
    </row>
    <row r="3385" spans="5:24" x14ac:dyDescent="0.3">
      <c r="E3385" s="173"/>
      <c r="F3385" s="173"/>
      <c r="I3385"/>
      <c r="J3385"/>
      <c r="K3385"/>
      <c r="L3385"/>
      <c r="M3385"/>
      <c r="N3385"/>
      <c r="O3385"/>
      <c r="P3385" s="225"/>
      <c r="Q3385" s="225"/>
      <c r="R3385"/>
      <c r="S3385"/>
      <c r="T3385"/>
      <c r="U3385"/>
      <c r="V3385"/>
      <c r="W3385"/>
      <c r="X3385"/>
    </row>
    <row r="3386" spans="5:24" x14ac:dyDescent="0.3">
      <c r="E3386" s="173"/>
      <c r="F3386" s="173"/>
      <c r="I3386"/>
      <c r="J3386"/>
      <c r="K3386"/>
      <c r="L3386"/>
      <c r="M3386"/>
      <c r="N3386"/>
      <c r="O3386"/>
      <c r="P3386" s="225"/>
      <c r="Q3386" s="225"/>
      <c r="R3386"/>
      <c r="S3386"/>
      <c r="T3386"/>
      <c r="U3386"/>
      <c r="V3386"/>
      <c r="W3386"/>
      <c r="X3386"/>
    </row>
    <row r="3387" spans="5:24" x14ac:dyDescent="0.3">
      <c r="E3387" s="173"/>
      <c r="F3387" s="173"/>
      <c r="I3387"/>
      <c r="J3387"/>
      <c r="K3387"/>
      <c r="L3387"/>
      <c r="M3387"/>
      <c r="N3387"/>
      <c r="O3387"/>
      <c r="P3387" s="225"/>
      <c r="Q3387" s="225"/>
      <c r="R3387"/>
      <c r="S3387"/>
      <c r="T3387"/>
      <c r="U3387"/>
      <c r="V3387"/>
      <c r="W3387"/>
      <c r="X3387"/>
    </row>
    <row r="3388" spans="5:24" x14ac:dyDescent="0.3">
      <c r="E3388" s="173"/>
      <c r="F3388" s="173"/>
      <c r="I3388"/>
      <c r="J3388"/>
      <c r="K3388"/>
      <c r="L3388"/>
      <c r="M3388"/>
      <c r="N3388"/>
      <c r="O3388"/>
      <c r="P3388" s="225"/>
      <c r="Q3388" s="225"/>
      <c r="R3388"/>
      <c r="S3388"/>
      <c r="T3388"/>
      <c r="U3388"/>
      <c r="V3388"/>
      <c r="W3388"/>
      <c r="X3388"/>
    </row>
    <row r="3389" spans="5:24" x14ac:dyDescent="0.3">
      <c r="E3389" s="173"/>
      <c r="F3389" s="173"/>
      <c r="I3389"/>
      <c r="J3389"/>
      <c r="K3389"/>
      <c r="L3389"/>
      <c r="M3389"/>
      <c r="N3389"/>
      <c r="O3389"/>
      <c r="P3389" s="225"/>
      <c r="Q3389" s="225"/>
      <c r="R3389"/>
      <c r="S3389"/>
      <c r="T3389"/>
      <c r="U3389"/>
      <c r="V3389"/>
      <c r="W3389"/>
      <c r="X3389"/>
    </row>
    <row r="3390" spans="5:24" x14ac:dyDescent="0.3">
      <c r="E3390" s="173"/>
      <c r="F3390" s="173"/>
      <c r="I3390"/>
      <c r="J3390"/>
      <c r="K3390"/>
      <c r="L3390"/>
      <c r="M3390"/>
      <c r="N3390"/>
      <c r="O3390"/>
      <c r="P3390" s="225"/>
      <c r="Q3390" s="225"/>
      <c r="R3390"/>
      <c r="S3390"/>
      <c r="T3390"/>
      <c r="U3390"/>
      <c r="V3390"/>
      <c r="W3390"/>
      <c r="X3390"/>
    </row>
    <row r="3391" spans="5:24" x14ac:dyDescent="0.3">
      <c r="E3391" s="173"/>
      <c r="F3391" s="173"/>
      <c r="I3391"/>
      <c r="J3391"/>
      <c r="K3391"/>
      <c r="L3391"/>
      <c r="M3391"/>
      <c r="N3391"/>
      <c r="O3391"/>
      <c r="P3391" s="225"/>
      <c r="Q3391" s="225"/>
      <c r="R3391"/>
      <c r="S3391"/>
      <c r="T3391"/>
      <c r="U3391"/>
      <c r="V3391"/>
      <c r="W3391"/>
      <c r="X3391"/>
    </row>
    <row r="3392" spans="5:24" x14ac:dyDescent="0.3">
      <c r="E3392" s="173"/>
      <c r="F3392" s="173"/>
      <c r="I3392"/>
      <c r="J3392"/>
      <c r="K3392"/>
      <c r="L3392"/>
      <c r="M3392"/>
      <c r="N3392"/>
      <c r="O3392"/>
      <c r="P3392" s="225"/>
      <c r="Q3392" s="225"/>
      <c r="R3392"/>
      <c r="S3392"/>
      <c r="T3392"/>
      <c r="U3392"/>
      <c r="V3392"/>
      <c r="W3392"/>
      <c r="X3392"/>
    </row>
    <row r="3393" spans="5:24" x14ac:dyDescent="0.3">
      <c r="E3393" s="173"/>
      <c r="F3393" s="173"/>
      <c r="I3393"/>
      <c r="J3393"/>
      <c r="K3393"/>
      <c r="L3393"/>
      <c r="M3393"/>
      <c r="N3393"/>
      <c r="O3393"/>
      <c r="P3393" s="225"/>
      <c r="Q3393" s="225"/>
      <c r="R3393"/>
      <c r="S3393"/>
      <c r="T3393"/>
      <c r="U3393"/>
      <c r="V3393"/>
      <c r="W3393"/>
      <c r="X3393"/>
    </row>
    <row r="3394" spans="5:24" x14ac:dyDescent="0.3">
      <c r="E3394" s="173"/>
      <c r="F3394" s="173"/>
      <c r="I3394"/>
      <c r="J3394"/>
      <c r="K3394"/>
      <c r="L3394"/>
      <c r="M3394"/>
      <c r="N3394"/>
      <c r="O3394"/>
      <c r="P3394" s="225"/>
      <c r="Q3394" s="225"/>
      <c r="R3394"/>
      <c r="S3394"/>
      <c r="T3394"/>
      <c r="U3394"/>
      <c r="V3394"/>
      <c r="W3394"/>
      <c r="X3394"/>
    </row>
    <row r="3395" spans="5:24" x14ac:dyDescent="0.3">
      <c r="E3395" s="173"/>
      <c r="F3395" s="173"/>
      <c r="I3395"/>
      <c r="J3395"/>
      <c r="K3395"/>
      <c r="L3395"/>
      <c r="M3395"/>
      <c r="N3395"/>
      <c r="O3395"/>
      <c r="P3395" s="225"/>
      <c r="Q3395" s="225"/>
      <c r="R3395"/>
      <c r="S3395"/>
      <c r="T3395"/>
      <c r="U3395"/>
      <c r="V3395"/>
      <c r="W3395"/>
      <c r="X3395"/>
    </row>
    <row r="3396" spans="5:24" x14ac:dyDescent="0.3">
      <c r="E3396" s="173"/>
      <c r="F3396" s="173"/>
      <c r="I3396"/>
      <c r="J3396"/>
      <c r="K3396"/>
      <c r="L3396"/>
      <c r="M3396"/>
      <c r="N3396"/>
      <c r="O3396"/>
      <c r="P3396" s="225"/>
      <c r="Q3396" s="225"/>
      <c r="R3396"/>
      <c r="S3396"/>
      <c r="T3396"/>
      <c r="U3396"/>
      <c r="V3396"/>
      <c r="W3396"/>
      <c r="X3396"/>
    </row>
    <row r="3397" spans="5:24" x14ac:dyDescent="0.3">
      <c r="E3397" s="173"/>
      <c r="F3397" s="173"/>
      <c r="I3397"/>
      <c r="J3397"/>
      <c r="K3397"/>
      <c r="L3397"/>
      <c r="M3397"/>
      <c r="N3397"/>
      <c r="O3397"/>
      <c r="P3397" s="225"/>
      <c r="Q3397" s="225"/>
      <c r="R3397"/>
      <c r="S3397"/>
      <c r="T3397"/>
      <c r="U3397"/>
      <c r="V3397"/>
      <c r="W3397"/>
      <c r="X3397"/>
    </row>
    <row r="3398" spans="5:24" x14ac:dyDescent="0.3">
      <c r="E3398" s="173"/>
      <c r="F3398" s="173"/>
      <c r="I3398"/>
      <c r="J3398"/>
      <c r="K3398"/>
      <c r="L3398"/>
      <c r="M3398"/>
      <c r="N3398"/>
      <c r="O3398"/>
      <c r="P3398" s="225"/>
      <c r="Q3398" s="225"/>
      <c r="R3398"/>
      <c r="S3398"/>
      <c r="T3398"/>
      <c r="U3398"/>
      <c r="V3398"/>
      <c r="W3398"/>
      <c r="X3398"/>
    </row>
    <row r="3399" spans="5:24" x14ac:dyDescent="0.3">
      <c r="E3399" s="173"/>
      <c r="F3399" s="173"/>
      <c r="I3399"/>
      <c r="J3399"/>
      <c r="K3399"/>
      <c r="L3399"/>
      <c r="M3399"/>
      <c r="N3399"/>
      <c r="O3399"/>
      <c r="P3399" s="225"/>
      <c r="Q3399" s="225"/>
      <c r="R3399"/>
      <c r="S3399"/>
      <c r="T3399"/>
      <c r="U3399"/>
      <c r="V3399"/>
      <c r="W3399"/>
      <c r="X3399"/>
    </row>
    <row r="3400" spans="5:24" x14ac:dyDescent="0.3">
      <c r="E3400" s="173"/>
      <c r="F3400" s="173"/>
      <c r="I3400"/>
      <c r="J3400"/>
      <c r="K3400"/>
      <c r="L3400"/>
      <c r="M3400"/>
      <c r="N3400"/>
      <c r="O3400"/>
      <c r="P3400" s="225"/>
      <c r="Q3400" s="225"/>
      <c r="R3400"/>
      <c r="S3400"/>
      <c r="T3400"/>
      <c r="U3400"/>
      <c r="V3400"/>
      <c r="W3400"/>
      <c r="X3400"/>
    </row>
    <row r="3401" spans="5:24" x14ac:dyDescent="0.3">
      <c r="E3401" s="173"/>
      <c r="F3401" s="173"/>
      <c r="I3401"/>
      <c r="J3401"/>
      <c r="K3401"/>
      <c r="L3401"/>
      <c r="M3401"/>
      <c r="N3401"/>
      <c r="O3401"/>
      <c r="P3401" s="225"/>
      <c r="Q3401" s="225"/>
      <c r="R3401"/>
      <c r="S3401"/>
      <c r="T3401"/>
      <c r="U3401"/>
      <c r="V3401"/>
      <c r="W3401"/>
      <c r="X3401"/>
    </row>
    <row r="3402" spans="5:24" x14ac:dyDescent="0.3">
      <c r="E3402" s="173"/>
      <c r="F3402" s="173"/>
      <c r="I3402"/>
      <c r="J3402"/>
      <c r="K3402"/>
      <c r="L3402"/>
      <c r="M3402"/>
      <c r="N3402"/>
      <c r="O3402"/>
      <c r="P3402" s="225"/>
      <c r="Q3402" s="225"/>
      <c r="R3402"/>
      <c r="S3402"/>
      <c r="T3402"/>
      <c r="U3402"/>
      <c r="V3402"/>
      <c r="W3402"/>
      <c r="X3402"/>
    </row>
    <row r="3403" spans="5:24" x14ac:dyDescent="0.3">
      <c r="E3403" s="173"/>
      <c r="F3403" s="173"/>
      <c r="I3403"/>
      <c r="J3403"/>
      <c r="K3403"/>
      <c r="L3403"/>
      <c r="M3403"/>
      <c r="N3403"/>
      <c r="O3403"/>
      <c r="P3403" s="225"/>
      <c r="Q3403" s="225"/>
      <c r="R3403"/>
      <c r="S3403"/>
      <c r="T3403"/>
      <c r="U3403"/>
      <c r="V3403"/>
      <c r="W3403"/>
      <c r="X3403"/>
    </row>
    <row r="3404" spans="5:24" x14ac:dyDescent="0.3">
      <c r="E3404" s="173"/>
      <c r="F3404" s="173"/>
      <c r="I3404"/>
      <c r="J3404"/>
      <c r="K3404"/>
      <c r="L3404"/>
      <c r="M3404"/>
      <c r="N3404"/>
      <c r="O3404"/>
      <c r="P3404" s="225"/>
      <c r="Q3404" s="225"/>
      <c r="R3404"/>
      <c r="S3404"/>
      <c r="T3404"/>
      <c r="U3404"/>
      <c r="V3404"/>
      <c r="W3404"/>
      <c r="X3404"/>
    </row>
    <row r="3405" spans="5:24" x14ac:dyDescent="0.3">
      <c r="E3405" s="173"/>
      <c r="F3405" s="173"/>
      <c r="I3405"/>
      <c r="J3405"/>
      <c r="K3405"/>
      <c r="L3405"/>
      <c r="M3405"/>
      <c r="N3405"/>
      <c r="O3405"/>
      <c r="P3405" s="225"/>
      <c r="Q3405" s="225"/>
      <c r="R3405"/>
      <c r="S3405"/>
      <c r="T3405"/>
      <c r="U3405"/>
      <c r="V3405"/>
      <c r="W3405"/>
      <c r="X3405"/>
    </row>
    <row r="3406" spans="5:24" x14ac:dyDescent="0.3">
      <c r="E3406" s="173"/>
      <c r="F3406" s="173"/>
      <c r="I3406"/>
      <c r="J3406"/>
      <c r="K3406"/>
      <c r="L3406"/>
      <c r="M3406"/>
      <c r="N3406"/>
      <c r="O3406"/>
      <c r="P3406" s="225"/>
      <c r="Q3406" s="225"/>
      <c r="R3406"/>
      <c r="S3406"/>
      <c r="T3406"/>
      <c r="U3406"/>
      <c r="V3406"/>
      <c r="W3406"/>
      <c r="X3406"/>
    </row>
    <row r="3407" spans="5:24" x14ac:dyDescent="0.3">
      <c r="E3407" s="173"/>
      <c r="F3407" s="173"/>
      <c r="I3407"/>
      <c r="J3407"/>
      <c r="K3407"/>
      <c r="L3407"/>
      <c r="M3407"/>
      <c r="N3407"/>
      <c r="O3407"/>
      <c r="P3407" s="225"/>
      <c r="Q3407" s="225"/>
      <c r="R3407"/>
      <c r="S3407"/>
      <c r="T3407"/>
      <c r="U3407"/>
      <c r="V3407"/>
      <c r="W3407"/>
      <c r="X3407"/>
    </row>
    <row r="3408" spans="5:24" x14ac:dyDescent="0.3">
      <c r="E3408" s="173"/>
      <c r="F3408" s="173"/>
      <c r="I3408"/>
      <c r="J3408"/>
      <c r="K3408"/>
      <c r="L3408"/>
      <c r="M3408"/>
      <c r="N3408"/>
      <c r="O3408"/>
      <c r="P3408" s="225"/>
      <c r="Q3408" s="225"/>
      <c r="R3408"/>
      <c r="S3408"/>
      <c r="T3408"/>
      <c r="U3408"/>
      <c r="V3408"/>
      <c r="W3408"/>
      <c r="X3408"/>
    </row>
    <row r="3409" spans="5:24" x14ac:dyDescent="0.3">
      <c r="E3409" s="173"/>
      <c r="F3409" s="173"/>
      <c r="I3409"/>
      <c r="J3409"/>
      <c r="K3409"/>
      <c r="L3409"/>
      <c r="M3409"/>
      <c r="N3409"/>
      <c r="O3409"/>
      <c r="P3409" s="225"/>
      <c r="Q3409" s="225"/>
      <c r="R3409"/>
      <c r="S3409"/>
      <c r="T3409"/>
      <c r="U3409"/>
      <c r="V3409"/>
      <c r="W3409"/>
      <c r="X3409"/>
    </row>
    <row r="3410" spans="5:24" x14ac:dyDescent="0.3">
      <c r="E3410" s="173"/>
      <c r="F3410" s="173"/>
      <c r="I3410"/>
      <c r="J3410"/>
      <c r="K3410"/>
      <c r="L3410"/>
      <c r="M3410"/>
      <c r="N3410"/>
      <c r="O3410"/>
      <c r="P3410" s="225"/>
      <c r="Q3410" s="225"/>
      <c r="R3410"/>
      <c r="S3410"/>
      <c r="T3410"/>
      <c r="U3410"/>
      <c r="V3410"/>
      <c r="W3410"/>
      <c r="X3410"/>
    </row>
    <row r="3411" spans="5:24" x14ac:dyDescent="0.3">
      <c r="E3411" s="173"/>
      <c r="F3411" s="173"/>
      <c r="I3411"/>
      <c r="J3411"/>
      <c r="K3411"/>
      <c r="L3411"/>
      <c r="M3411"/>
      <c r="N3411"/>
      <c r="O3411"/>
      <c r="P3411" s="225"/>
      <c r="Q3411" s="225"/>
      <c r="R3411"/>
      <c r="S3411"/>
      <c r="T3411"/>
      <c r="U3411"/>
      <c r="V3411"/>
      <c r="W3411"/>
      <c r="X3411"/>
    </row>
    <row r="3412" spans="5:24" x14ac:dyDescent="0.3">
      <c r="E3412" s="173"/>
      <c r="F3412" s="173"/>
      <c r="I3412"/>
      <c r="J3412"/>
      <c r="K3412"/>
      <c r="L3412"/>
      <c r="M3412"/>
      <c r="N3412"/>
      <c r="O3412"/>
      <c r="P3412" s="225"/>
      <c r="Q3412" s="225"/>
      <c r="R3412"/>
      <c r="S3412"/>
      <c r="T3412"/>
      <c r="U3412"/>
      <c r="V3412"/>
      <c r="W3412"/>
      <c r="X3412"/>
    </row>
    <row r="3413" spans="5:24" x14ac:dyDescent="0.3">
      <c r="E3413" s="173"/>
      <c r="F3413" s="173"/>
      <c r="I3413"/>
      <c r="J3413"/>
      <c r="K3413"/>
      <c r="L3413"/>
      <c r="M3413"/>
      <c r="N3413"/>
      <c r="O3413"/>
      <c r="P3413" s="225"/>
      <c r="Q3413" s="225"/>
      <c r="R3413"/>
      <c r="S3413"/>
      <c r="T3413"/>
      <c r="U3413"/>
      <c r="V3413"/>
      <c r="W3413"/>
      <c r="X3413"/>
    </row>
    <row r="3414" spans="5:24" x14ac:dyDescent="0.3">
      <c r="E3414" s="173"/>
      <c r="F3414" s="173"/>
      <c r="I3414"/>
      <c r="J3414"/>
      <c r="K3414"/>
      <c r="L3414"/>
      <c r="M3414"/>
      <c r="N3414"/>
      <c r="O3414"/>
      <c r="P3414" s="225"/>
      <c r="Q3414" s="225"/>
      <c r="R3414"/>
      <c r="S3414"/>
      <c r="T3414"/>
      <c r="U3414"/>
      <c r="V3414"/>
      <c r="W3414"/>
      <c r="X3414"/>
    </row>
    <row r="3415" spans="5:24" x14ac:dyDescent="0.3">
      <c r="E3415" s="173"/>
      <c r="F3415" s="173"/>
      <c r="I3415"/>
      <c r="J3415"/>
      <c r="K3415"/>
      <c r="L3415"/>
      <c r="M3415"/>
      <c r="N3415"/>
      <c r="O3415"/>
      <c r="P3415" s="225"/>
      <c r="Q3415" s="225"/>
      <c r="R3415"/>
      <c r="S3415"/>
      <c r="T3415"/>
      <c r="U3415"/>
      <c r="V3415"/>
      <c r="W3415"/>
      <c r="X3415"/>
    </row>
    <row r="3416" spans="5:24" x14ac:dyDescent="0.3">
      <c r="E3416" s="173"/>
      <c r="F3416" s="173"/>
      <c r="I3416"/>
      <c r="J3416"/>
      <c r="K3416"/>
      <c r="L3416"/>
      <c r="M3416"/>
      <c r="N3416"/>
      <c r="O3416"/>
      <c r="P3416" s="225"/>
      <c r="Q3416" s="225"/>
      <c r="R3416"/>
      <c r="S3416"/>
      <c r="T3416"/>
      <c r="U3416"/>
      <c r="V3416"/>
      <c r="W3416"/>
      <c r="X3416"/>
    </row>
    <row r="3417" spans="5:24" x14ac:dyDescent="0.3">
      <c r="E3417" s="173"/>
      <c r="F3417" s="173"/>
      <c r="I3417"/>
      <c r="J3417"/>
      <c r="K3417"/>
      <c r="L3417"/>
      <c r="M3417"/>
      <c r="N3417"/>
      <c r="O3417"/>
      <c r="P3417" s="225"/>
      <c r="Q3417" s="225"/>
      <c r="R3417"/>
      <c r="S3417"/>
      <c r="T3417"/>
      <c r="U3417"/>
      <c r="V3417"/>
      <c r="W3417"/>
      <c r="X3417"/>
    </row>
    <row r="3418" spans="5:24" x14ac:dyDescent="0.3">
      <c r="E3418" s="173"/>
      <c r="F3418" s="173"/>
      <c r="I3418"/>
      <c r="J3418"/>
      <c r="K3418"/>
      <c r="L3418"/>
      <c r="M3418"/>
      <c r="N3418"/>
      <c r="O3418"/>
      <c r="P3418" s="225"/>
      <c r="Q3418" s="225"/>
      <c r="R3418"/>
      <c r="S3418"/>
      <c r="T3418"/>
      <c r="U3418"/>
      <c r="V3418"/>
      <c r="W3418"/>
      <c r="X3418"/>
    </row>
    <row r="3419" spans="5:24" x14ac:dyDescent="0.3">
      <c r="E3419" s="173"/>
      <c r="F3419" s="173"/>
      <c r="I3419"/>
      <c r="J3419"/>
      <c r="K3419"/>
      <c r="L3419"/>
      <c r="M3419"/>
      <c r="N3419"/>
      <c r="O3419"/>
      <c r="P3419" s="225"/>
      <c r="Q3419" s="225"/>
      <c r="R3419"/>
      <c r="S3419"/>
      <c r="T3419"/>
      <c r="U3419"/>
      <c r="V3419"/>
      <c r="W3419"/>
      <c r="X3419"/>
    </row>
    <row r="3420" spans="5:24" x14ac:dyDescent="0.3">
      <c r="E3420" s="173"/>
      <c r="F3420" s="173"/>
      <c r="I3420"/>
      <c r="J3420"/>
      <c r="K3420"/>
      <c r="L3420"/>
      <c r="M3420"/>
      <c r="N3420"/>
      <c r="O3420"/>
      <c r="P3420" s="225"/>
      <c r="Q3420" s="225"/>
      <c r="R3420"/>
      <c r="S3420"/>
      <c r="T3420"/>
      <c r="U3420"/>
      <c r="V3420"/>
      <c r="W3420"/>
      <c r="X3420"/>
    </row>
    <row r="3421" spans="5:24" x14ac:dyDescent="0.3">
      <c r="E3421" s="173"/>
      <c r="F3421" s="173"/>
      <c r="I3421"/>
      <c r="J3421"/>
      <c r="K3421"/>
      <c r="L3421"/>
      <c r="M3421"/>
      <c r="N3421"/>
      <c r="O3421"/>
      <c r="P3421" s="225"/>
      <c r="Q3421" s="225"/>
      <c r="R3421"/>
      <c r="S3421"/>
      <c r="T3421"/>
      <c r="U3421"/>
      <c r="V3421"/>
      <c r="W3421"/>
      <c r="X3421"/>
    </row>
    <row r="3422" spans="5:24" x14ac:dyDescent="0.3">
      <c r="E3422" s="173"/>
      <c r="F3422" s="173"/>
      <c r="I3422"/>
      <c r="J3422"/>
      <c r="K3422"/>
      <c r="L3422"/>
      <c r="M3422"/>
      <c r="N3422"/>
      <c r="O3422"/>
      <c r="P3422" s="225"/>
      <c r="Q3422" s="225"/>
      <c r="R3422"/>
      <c r="S3422"/>
      <c r="T3422"/>
      <c r="U3422"/>
      <c r="V3422"/>
      <c r="W3422"/>
      <c r="X3422"/>
    </row>
    <row r="3423" spans="5:24" x14ac:dyDescent="0.3">
      <c r="E3423" s="173"/>
      <c r="F3423" s="173"/>
      <c r="I3423"/>
      <c r="J3423"/>
      <c r="K3423"/>
      <c r="L3423"/>
      <c r="M3423"/>
      <c r="N3423"/>
      <c r="O3423"/>
      <c r="P3423" s="225"/>
      <c r="Q3423" s="225"/>
      <c r="R3423"/>
      <c r="S3423"/>
      <c r="T3423"/>
      <c r="U3423"/>
      <c r="V3423"/>
      <c r="W3423"/>
      <c r="X3423"/>
    </row>
    <row r="3424" spans="5:24" x14ac:dyDescent="0.3">
      <c r="E3424" s="173"/>
      <c r="F3424" s="173"/>
      <c r="I3424"/>
      <c r="J3424"/>
      <c r="K3424"/>
      <c r="L3424"/>
      <c r="M3424"/>
      <c r="N3424"/>
      <c r="O3424"/>
      <c r="P3424" s="225"/>
      <c r="Q3424" s="225"/>
      <c r="R3424"/>
      <c r="S3424"/>
      <c r="T3424"/>
      <c r="U3424"/>
      <c r="V3424"/>
      <c r="W3424"/>
      <c r="X3424"/>
    </row>
    <row r="3425" spans="5:24" x14ac:dyDescent="0.3">
      <c r="E3425" s="173"/>
      <c r="F3425" s="173"/>
      <c r="I3425"/>
      <c r="J3425"/>
      <c r="K3425"/>
      <c r="L3425"/>
      <c r="M3425"/>
      <c r="N3425"/>
      <c r="O3425"/>
      <c r="P3425" s="225"/>
      <c r="Q3425" s="225"/>
      <c r="R3425"/>
      <c r="S3425"/>
      <c r="T3425"/>
      <c r="U3425"/>
      <c r="V3425"/>
      <c r="W3425"/>
      <c r="X3425"/>
    </row>
    <row r="3426" spans="5:24" x14ac:dyDescent="0.3">
      <c r="E3426" s="173"/>
      <c r="F3426" s="173"/>
      <c r="I3426"/>
      <c r="J3426"/>
      <c r="K3426"/>
      <c r="L3426"/>
      <c r="M3426"/>
      <c r="N3426"/>
      <c r="O3426"/>
      <c r="P3426" s="225"/>
      <c r="Q3426" s="225"/>
      <c r="R3426"/>
      <c r="S3426"/>
      <c r="T3426"/>
      <c r="U3426"/>
      <c r="V3426"/>
      <c r="W3426"/>
      <c r="X3426"/>
    </row>
    <row r="3427" spans="5:24" x14ac:dyDescent="0.3">
      <c r="E3427" s="173"/>
      <c r="F3427" s="173"/>
      <c r="I3427"/>
      <c r="J3427"/>
      <c r="K3427"/>
      <c r="L3427"/>
      <c r="M3427"/>
      <c r="N3427"/>
      <c r="O3427"/>
      <c r="P3427" s="225"/>
      <c r="Q3427" s="225"/>
      <c r="R3427"/>
      <c r="S3427"/>
      <c r="T3427"/>
      <c r="U3427"/>
      <c r="V3427"/>
      <c r="W3427"/>
      <c r="X3427"/>
    </row>
    <row r="3428" spans="5:24" x14ac:dyDescent="0.3">
      <c r="E3428" s="173"/>
      <c r="F3428" s="173"/>
      <c r="I3428"/>
      <c r="J3428"/>
      <c r="K3428"/>
      <c r="L3428"/>
      <c r="M3428"/>
      <c r="N3428"/>
      <c r="O3428"/>
      <c r="P3428" s="225"/>
      <c r="Q3428" s="225"/>
      <c r="R3428"/>
      <c r="S3428"/>
      <c r="T3428"/>
      <c r="U3428"/>
      <c r="V3428"/>
      <c r="W3428"/>
      <c r="X3428"/>
    </row>
    <row r="3429" spans="5:24" x14ac:dyDescent="0.3">
      <c r="E3429" s="173"/>
      <c r="F3429" s="173"/>
      <c r="I3429"/>
      <c r="J3429"/>
      <c r="K3429"/>
      <c r="L3429"/>
      <c r="M3429"/>
      <c r="N3429"/>
      <c r="O3429"/>
      <c r="P3429" s="225"/>
      <c r="Q3429" s="225"/>
      <c r="R3429"/>
      <c r="S3429"/>
      <c r="T3429"/>
      <c r="U3429"/>
      <c r="V3429"/>
      <c r="W3429"/>
      <c r="X3429"/>
    </row>
    <row r="3430" spans="5:24" x14ac:dyDescent="0.3">
      <c r="E3430" s="173"/>
      <c r="F3430" s="173"/>
      <c r="I3430"/>
      <c r="J3430"/>
      <c r="K3430"/>
      <c r="L3430"/>
      <c r="M3430"/>
      <c r="N3430"/>
      <c r="O3430"/>
      <c r="P3430" s="225"/>
      <c r="Q3430" s="225"/>
      <c r="R3430"/>
      <c r="S3430"/>
      <c r="T3430"/>
      <c r="U3430"/>
      <c r="V3430"/>
      <c r="W3430"/>
      <c r="X3430"/>
    </row>
    <row r="3431" spans="5:24" x14ac:dyDescent="0.3">
      <c r="E3431" s="173"/>
      <c r="F3431" s="173"/>
      <c r="I3431"/>
      <c r="J3431"/>
      <c r="K3431"/>
      <c r="L3431"/>
      <c r="M3431"/>
      <c r="N3431"/>
      <c r="O3431"/>
      <c r="P3431" s="225"/>
      <c r="Q3431" s="225"/>
      <c r="R3431"/>
      <c r="S3431"/>
      <c r="T3431"/>
      <c r="U3431"/>
      <c r="V3431"/>
      <c r="W3431"/>
      <c r="X3431"/>
    </row>
    <row r="3432" spans="5:24" x14ac:dyDescent="0.3">
      <c r="E3432" s="173"/>
      <c r="F3432" s="173"/>
      <c r="I3432"/>
      <c r="J3432"/>
      <c r="K3432"/>
      <c r="L3432"/>
      <c r="M3432"/>
      <c r="N3432"/>
      <c r="O3432"/>
      <c r="P3432" s="225"/>
      <c r="Q3432" s="225"/>
      <c r="R3432"/>
      <c r="S3432"/>
      <c r="T3432"/>
      <c r="U3432"/>
      <c r="V3432"/>
      <c r="W3432"/>
      <c r="X3432"/>
    </row>
    <row r="3433" spans="5:24" x14ac:dyDescent="0.3">
      <c r="E3433" s="173"/>
      <c r="F3433" s="173"/>
      <c r="I3433"/>
      <c r="J3433"/>
      <c r="K3433"/>
      <c r="L3433"/>
      <c r="M3433"/>
      <c r="N3433"/>
      <c r="O3433"/>
      <c r="P3433" s="225"/>
      <c r="Q3433" s="225"/>
      <c r="R3433"/>
      <c r="S3433"/>
      <c r="T3433"/>
      <c r="U3433"/>
      <c r="V3433"/>
      <c r="W3433"/>
      <c r="X3433"/>
    </row>
    <row r="3434" spans="5:24" x14ac:dyDescent="0.3">
      <c r="E3434" s="173"/>
      <c r="F3434" s="173"/>
      <c r="I3434"/>
      <c r="J3434"/>
      <c r="K3434"/>
      <c r="L3434"/>
      <c r="M3434"/>
      <c r="N3434"/>
      <c r="O3434"/>
      <c r="P3434" s="225"/>
      <c r="Q3434" s="225"/>
      <c r="R3434"/>
      <c r="S3434"/>
      <c r="T3434"/>
      <c r="U3434"/>
      <c r="V3434"/>
      <c r="W3434"/>
      <c r="X3434"/>
    </row>
    <row r="3435" spans="5:24" x14ac:dyDescent="0.3">
      <c r="E3435" s="173"/>
      <c r="F3435" s="173"/>
      <c r="I3435"/>
      <c r="J3435"/>
      <c r="K3435"/>
      <c r="L3435"/>
      <c r="M3435"/>
      <c r="N3435"/>
      <c r="O3435"/>
      <c r="P3435" s="225"/>
      <c r="Q3435" s="225"/>
      <c r="R3435"/>
      <c r="S3435"/>
      <c r="T3435"/>
      <c r="U3435"/>
      <c r="V3435"/>
      <c r="W3435"/>
      <c r="X3435"/>
    </row>
    <row r="3436" spans="5:24" x14ac:dyDescent="0.3">
      <c r="E3436" s="173"/>
      <c r="F3436" s="173"/>
      <c r="I3436"/>
      <c r="J3436"/>
      <c r="K3436"/>
      <c r="L3436"/>
      <c r="M3436"/>
      <c r="N3436"/>
      <c r="O3436"/>
      <c r="P3436" s="225"/>
      <c r="Q3436" s="225"/>
      <c r="R3436"/>
      <c r="S3436"/>
      <c r="T3436"/>
      <c r="U3436"/>
      <c r="V3436"/>
      <c r="W3436"/>
      <c r="X3436"/>
    </row>
    <row r="3437" spans="5:24" x14ac:dyDescent="0.3">
      <c r="E3437" s="173"/>
      <c r="F3437" s="173"/>
      <c r="I3437"/>
      <c r="J3437"/>
      <c r="K3437"/>
      <c r="L3437"/>
      <c r="M3437"/>
      <c r="N3437"/>
      <c r="O3437"/>
      <c r="P3437" s="225"/>
      <c r="Q3437" s="225"/>
      <c r="R3437"/>
      <c r="S3437"/>
      <c r="T3437"/>
      <c r="U3437"/>
      <c r="V3437"/>
      <c r="W3437"/>
      <c r="X3437"/>
    </row>
    <row r="3438" spans="5:24" x14ac:dyDescent="0.3">
      <c r="E3438" s="173"/>
      <c r="F3438" s="173"/>
      <c r="I3438"/>
      <c r="J3438"/>
      <c r="K3438"/>
      <c r="L3438"/>
      <c r="M3438"/>
      <c r="N3438"/>
      <c r="O3438"/>
      <c r="P3438" s="225"/>
      <c r="Q3438" s="225"/>
      <c r="R3438"/>
      <c r="S3438"/>
      <c r="T3438"/>
      <c r="U3438"/>
      <c r="V3438"/>
      <c r="W3438"/>
      <c r="X3438"/>
    </row>
    <row r="3439" spans="5:24" x14ac:dyDescent="0.3">
      <c r="E3439" s="173"/>
      <c r="F3439" s="173"/>
      <c r="I3439"/>
      <c r="J3439"/>
      <c r="K3439"/>
      <c r="L3439"/>
      <c r="M3439"/>
      <c r="N3439"/>
      <c r="O3439"/>
      <c r="P3439" s="225"/>
      <c r="Q3439" s="225"/>
      <c r="R3439"/>
      <c r="S3439"/>
      <c r="T3439"/>
      <c r="U3439"/>
      <c r="V3439"/>
      <c r="W3439"/>
      <c r="X3439"/>
    </row>
    <row r="3440" spans="5:24" x14ac:dyDescent="0.3">
      <c r="E3440" s="173"/>
      <c r="F3440" s="173"/>
      <c r="I3440"/>
      <c r="J3440"/>
      <c r="K3440"/>
      <c r="L3440"/>
      <c r="M3440"/>
      <c r="N3440"/>
      <c r="O3440"/>
      <c r="P3440" s="225"/>
      <c r="Q3440" s="225"/>
      <c r="R3440"/>
      <c r="S3440"/>
      <c r="T3440"/>
      <c r="U3440"/>
      <c r="V3440"/>
      <c r="W3440"/>
      <c r="X3440"/>
    </row>
    <row r="3441" spans="5:24" x14ac:dyDescent="0.3">
      <c r="E3441" s="173"/>
      <c r="F3441" s="173"/>
      <c r="I3441"/>
      <c r="J3441"/>
      <c r="K3441"/>
      <c r="L3441"/>
      <c r="M3441"/>
      <c r="N3441"/>
      <c r="O3441"/>
      <c r="P3441" s="225"/>
      <c r="Q3441" s="225"/>
      <c r="R3441"/>
      <c r="S3441"/>
      <c r="T3441"/>
      <c r="U3441"/>
      <c r="V3441"/>
      <c r="W3441"/>
      <c r="X3441"/>
    </row>
    <row r="3442" spans="5:24" x14ac:dyDescent="0.3">
      <c r="E3442" s="173"/>
      <c r="F3442" s="173"/>
      <c r="I3442"/>
      <c r="J3442"/>
      <c r="K3442"/>
      <c r="L3442"/>
      <c r="M3442"/>
      <c r="N3442"/>
      <c r="O3442"/>
      <c r="P3442" s="225"/>
      <c r="Q3442" s="225"/>
      <c r="R3442"/>
      <c r="S3442"/>
      <c r="T3442"/>
      <c r="U3442"/>
      <c r="V3442"/>
      <c r="W3442"/>
      <c r="X3442"/>
    </row>
    <row r="3443" spans="5:24" x14ac:dyDescent="0.3">
      <c r="E3443" s="173"/>
      <c r="F3443" s="173"/>
      <c r="I3443"/>
      <c r="J3443"/>
      <c r="K3443"/>
      <c r="L3443"/>
      <c r="M3443"/>
      <c r="N3443"/>
      <c r="O3443"/>
      <c r="P3443" s="225"/>
      <c r="Q3443" s="225"/>
      <c r="R3443"/>
      <c r="S3443"/>
      <c r="T3443"/>
      <c r="U3443"/>
      <c r="V3443"/>
      <c r="W3443"/>
      <c r="X3443"/>
    </row>
    <row r="3444" spans="5:24" x14ac:dyDescent="0.3">
      <c r="E3444" s="173"/>
      <c r="F3444" s="173"/>
      <c r="I3444"/>
      <c r="J3444"/>
      <c r="K3444"/>
      <c r="L3444"/>
      <c r="M3444"/>
      <c r="N3444"/>
      <c r="O3444"/>
      <c r="P3444" s="225"/>
      <c r="Q3444" s="225"/>
      <c r="R3444"/>
      <c r="S3444"/>
      <c r="T3444"/>
      <c r="U3444"/>
      <c r="V3444"/>
      <c r="W3444"/>
      <c r="X3444"/>
    </row>
    <row r="3445" spans="5:24" x14ac:dyDescent="0.3">
      <c r="E3445" s="173"/>
      <c r="F3445" s="173"/>
      <c r="I3445"/>
      <c r="J3445"/>
      <c r="K3445"/>
      <c r="L3445"/>
      <c r="M3445"/>
      <c r="N3445"/>
      <c r="O3445"/>
      <c r="P3445" s="225"/>
      <c r="Q3445" s="225"/>
      <c r="R3445"/>
      <c r="S3445"/>
      <c r="T3445"/>
      <c r="U3445"/>
      <c r="V3445"/>
      <c r="W3445"/>
      <c r="X3445"/>
    </row>
    <row r="3446" spans="5:24" x14ac:dyDescent="0.3">
      <c r="E3446" s="173"/>
      <c r="F3446" s="173"/>
      <c r="I3446"/>
      <c r="J3446"/>
      <c r="K3446"/>
      <c r="L3446"/>
      <c r="M3446"/>
      <c r="N3446"/>
      <c r="O3446"/>
      <c r="P3446" s="225"/>
      <c r="Q3446" s="225"/>
      <c r="R3446"/>
      <c r="S3446"/>
      <c r="T3446"/>
      <c r="U3446"/>
      <c r="V3446"/>
      <c r="W3446"/>
      <c r="X3446"/>
    </row>
    <row r="3447" spans="5:24" x14ac:dyDescent="0.3">
      <c r="E3447" s="173"/>
      <c r="F3447" s="173"/>
      <c r="I3447"/>
      <c r="J3447"/>
      <c r="K3447"/>
      <c r="L3447"/>
      <c r="M3447"/>
      <c r="N3447"/>
      <c r="O3447"/>
      <c r="P3447" s="225"/>
      <c r="Q3447" s="225"/>
      <c r="R3447"/>
      <c r="S3447"/>
      <c r="T3447"/>
      <c r="U3447"/>
      <c r="V3447"/>
      <c r="W3447"/>
      <c r="X3447"/>
    </row>
    <row r="3448" spans="5:24" x14ac:dyDescent="0.3">
      <c r="E3448" s="173"/>
      <c r="F3448" s="173"/>
      <c r="I3448"/>
      <c r="J3448"/>
      <c r="K3448"/>
      <c r="L3448"/>
      <c r="M3448"/>
      <c r="N3448"/>
      <c r="O3448"/>
      <c r="P3448" s="225"/>
      <c r="Q3448" s="225"/>
      <c r="R3448"/>
      <c r="S3448"/>
      <c r="T3448"/>
      <c r="U3448"/>
      <c r="V3448"/>
      <c r="W3448"/>
      <c r="X3448"/>
    </row>
    <row r="3449" spans="5:24" x14ac:dyDescent="0.3">
      <c r="E3449" s="173"/>
      <c r="F3449" s="173"/>
      <c r="I3449"/>
      <c r="J3449"/>
      <c r="K3449"/>
      <c r="L3449"/>
      <c r="M3449"/>
      <c r="N3449"/>
      <c r="O3449"/>
      <c r="P3449" s="225"/>
      <c r="Q3449" s="225"/>
      <c r="R3449"/>
      <c r="S3449"/>
      <c r="T3449"/>
      <c r="U3449"/>
      <c r="V3449"/>
      <c r="W3449"/>
      <c r="X3449"/>
    </row>
    <row r="3450" spans="5:24" x14ac:dyDescent="0.3">
      <c r="E3450" s="173"/>
      <c r="F3450" s="173"/>
      <c r="I3450"/>
      <c r="J3450"/>
      <c r="K3450"/>
      <c r="L3450"/>
      <c r="M3450"/>
      <c r="N3450"/>
      <c r="O3450"/>
      <c r="P3450" s="225"/>
      <c r="Q3450" s="225"/>
      <c r="R3450"/>
      <c r="S3450"/>
      <c r="T3450"/>
      <c r="U3450"/>
      <c r="V3450"/>
      <c r="W3450"/>
      <c r="X3450"/>
    </row>
    <row r="3451" spans="5:24" x14ac:dyDescent="0.3">
      <c r="E3451" s="173"/>
      <c r="F3451" s="173"/>
      <c r="I3451"/>
      <c r="J3451"/>
      <c r="K3451"/>
      <c r="L3451"/>
      <c r="M3451"/>
      <c r="N3451"/>
      <c r="O3451"/>
      <c r="P3451" s="225"/>
      <c r="Q3451" s="225"/>
      <c r="R3451"/>
      <c r="S3451"/>
      <c r="T3451"/>
      <c r="U3451"/>
      <c r="V3451"/>
      <c r="W3451"/>
      <c r="X3451"/>
    </row>
    <row r="3452" spans="5:24" x14ac:dyDescent="0.3">
      <c r="E3452" s="173"/>
      <c r="F3452" s="173"/>
      <c r="I3452"/>
      <c r="J3452"/>
      <c r="K3452"/>
      <c r="L3452"/>
      <c r="M3452"/>
      <c r="N3452"/>
      <c r="O3452"/>
      <c r="P3452" s="225"/>
      <c r="Q3452" s="225"/>
      <c r="R3452"/>
      <c r="S3452"/>
      <c r="T3452"/>
      <c r="U3452"/>
      <c r="V3452"/>
      <c r="W3452"/>
      <c r="X3452"/>
    </row>
    <row r="3453" spans="5:24" x14ac:dyDescent="0.3">
      <c r="E3453" s="173"/>
      <c r="F3453" s="173"/>
      <c r="I3453"/>
      <c r="J3453"/>
      <c r="K3453"/>
      <c r="L3453"/>
      <c r="M3453"/>
      <c r="N3453"/>
      <c r="O3453"/>
      <c r="P3453" s="225"/>
      <c r="Q3453" s="225"/>
      <c r="R3453"/>
      <c r="S3453"/>
      <c r="T3453"/>
      <c r="U3453"/>
      <c r="V3453"/>
      <c r="W3453"/>
      <c r="X3453"/>
    </row>
    <row r="3454" spans="5:24" x14ac:dyDescent="0.3">
      <c r="E3454" s="173"/>
      <c r="F3454" s="173"/>
      <c r="I3454"/>
      <c r="J3454"/>
      <c r="K3454"/>
      <c r="L3454"/>
      <c r="M3454"/>
      <c r="N3454"/>
      <c r="O3454"/>
      <c r="P3454" s="225"/>
      <c r="Q3454" s="225"/>
      <c r="R3454"/>
      <c r="S3454"/>
      <c r="T3454"/>
      <c r="U3454"/>
      <c r="V3454"/>
      <c r="W3454"/>
      <c r="X3454"/>
    </row>
    <row r="3455" spans="5:24" x14ac:dyDescent="0.3">
      <c r="E3455" s="173"/>
      <c r="F3455" s="173"/>
      <c r="I3455"/>
      <c r="J3455"/>
      <c r="K3455"/>
      <c r="L3455"/>
      <c r="M3455"/>
      <c r="N3455"/>
      <c r="O3455"/>
      <c r="P3455" s="225"/>
      <c r="Q3455" s="225"/>
      <c r="R3455"/>
      <c r="S3455"/>
      <c r="T3455"/>
      <c r="U3455"/>
      <c r="V3455"/>
      <c r="W3455"/>
      <c r="X3455"/>
    </row>
    <row r="3456" spans="5:24" x14ac:dyDescent="0.3">
      <c r="E3456" s="173"/>
      <c r="F3456" s="173"/>
      <c r="I3456"/>
      <c r="J3456"/>
      <c r="K3456"/>
      <c r="L3456"/>
      <c r="M3456"/>
      <c r="N3456"/>
      <c r="O3456"/>
      <c r="P3456" s="225"/>
      <c r="Q3456" s="225"/>
      <c r="R3456"/>
      <c r="S3456"/>
      <c r="T3456"/>
      <c r="U3456"/>
      <c r="V3456"/>
      <c r="W3456"/>
      <c r="X3456"/>
    </row>
    <row r="3457" spans="5:24" x14ac:dyDescent="0.3">
      <c r="E3457" s="173"/>
      <c r="F3457" s="173"/>
      <c r="I3457"/>
      <c r="J3457"/>
      <c r="K3457"/>
      <c r="L3457"/>
      <c r="M3457"/>
      <c r="N3457"/>
      <c r="O3457"/>
      <c r="P3457" s="225"/>
      <c r="Q3457" s="225"/>
      <c r="R3457"/>
      <c r="S3457"/>
      <c r="T3457"/>
      <c r="U3457"/>
      <c r="V3457"/>
      <c r="W3457"/>
      <c r="X3457"/>
    </row>
    <row r="3458" spans="5:24" x14ac:dyDescent="0.3">
      <c r="E3458" s="173"/>
      <c r="F3458" s="173"/>
      <c r="I3458"/>
      <c r="J3458"/>
      <c r="K3458"/>
      <c r="L3458"/>
      <c r="M3458"/>
      <c r="N3458"/>
      <c r="O3458"/>
      <c r="P3458" s="225"/>
      <c r="Q3458" s="225"/>
      <c r="R3458"/>
      <c r="S3458"/>
      <c r="T3458"/>
      <c r="U3458"/>
      <c r="V3458"/>
      <c r="W3458"/>
      <c r="X3458"/>
    </row>
    <row r="3459" spans="5:24" x14ac:dyDescent="0.3">
      <c r="E3459" s="173"/>
      <c r="F3459" s="173"/>
      <c r="I3459"/>
      <c r="J3459"/>
      <c r="K3459"/>
      <c r="L3459"/>
      <c r="M3459"/>
      <c r="N3459"/>
      <c r="O3459"/>
      <c r="P3459" s="225"/>
      <c r="Q3459" s="225"/>
      <c r="R3459"/>
      <c r="S3459"/>
      <c r="T3459"/>
      <c r="U3459"/>
      <c r="V3459"/>
      <c r="W3459"/>
      <c r="X3459"/>
    </row>
    <row r="3460" spans="5:24" x14ac:dyDescent="0.3">
      <c r="E3460" s="173"/>
      <c r="F3460" s="173"/>
      <c r="I3460"/>
      <c r="J3460"/>
      <c r="K3460"/>
      <c r="L3460"/>
      <c r="M3460"/>
      <c r="N3460"/>
      <c r="O3460"/>
      <c r="P3460" s="225"/>
      <c r="Q3460" s="225"/>
      <c r="R3460"/>
      <c r="S3460"/>
      <c r="T3460"/>
      <c r="U3460"/>
      <c r="V3460"/>
      <c r="W3460"/>
      <c r="X3460"/>
    </row>
    <row r="3461" spans="5:24" x14ac:dyDescent="0.3">
      <c r="E3461" s="173"/>
      <c r="F3461" s="173"/>
      <c r="I3461"/>
      <c r="J3461"/>
      <c r="K3461"/>
      <c r="L3461"/>
      <c r="M3461"/>
      <c r="N3461"/>
      <c r="O3461"/>
      <c r="P3461" s="225"/>
      <c r="Q3461" s="225"/>
      <c r="R3461"/>
      <c r="S3461"/>
      <c r="T3461"/>
      <c r="U3461"/>
      <c r="V3461"/>
      <c r="W3461"/>
      <c r="X3461"/>
    </row>
    <row r="3462" spans="5:24" x14ac:dyDescent="0.3">
      <c r="E3462" s="173"/>
      <c r="F3462" s="173"/>
      <c r="I3462"/>
      <c r="J3462"/>
      <c r="K3462"/>
      <c r="L3462"/>
      <c r="M3462"/>
      <c r="N3462"/>
      <c r="O3462"/>
      <c r="P3462" s="225"/>
      <c r="Q3462" s="225"/>
      <c r="R3462"/>
      <c r="S3462"/>
      <c r="T3462"/>
      <c r="U3462"/>
      <c r="V3462"/>
      <c r="W3462"/>
      <c r="X3462"/>
    </row>
    <row r="3463" spans="5:24" x14ac:dyDescent="0.3">
      <c r="E3463" s="173"/>
      <c r="F3463" s="173"/>
      <c r="I3463"/>
      <c r="J3463"/>
      <c r="K3463"/>
      <c r="L3463"/>
      <c r="M3463"/>
      <c r="N3463"/>
      <c r="O3463"/>
      <c r="P3463" s="225"/>
      <c r="Q3463" s="225"/>
      <c r="R3463"/>
      <c r="S3463"/>
      <c r="T3463"/>
      <c r="U3463"/>
      <c r="V3463"/>
      <c r="W3463"/>
      <c r="X3463"/>
    </row>
    <row r="3464" spans="5:24" x14ac:dyDescent="0.3">
      <c r="E3464" s="173"/>
      <c r="F3464" s="173"/>
      <c r="I3464"/>
      <c r="J3464"/>
      <c r="K3464"/>
      <c r="L3464"/>
      <c r="M3464"/>
      <c r="N3464"/>
      <c r="O3464"/>
      <c r="P3464" s="225"/>
      <c r="Q3464" s="225"/>
      <c r="R3464"/>
      <c r="S3464"/>
      <c r="T3464"/>
      <c r="U3464"/>
      <c r="V3464"/>
      <c r="W3464"/>
      <c r="X3464"/>
    </row>
    <row r="3465" spans="5:24" x14ac:dyDescent="0.3">
      <c r="E3465" s="173"/>
      <c r="F3465" s="173"/>
      <c r="I3465"/>
      <c r="J3465"/>
      <c r="K3465"/>
      <c r="L3465"/>
      <c r="M3465"/>
      <c r="N3465"/>
      <c r="O3465"/>
      <c r="P3465" s="225"/>
      <c r="Q3465" s="225"/>
      <c r="R3465"/>
      <c r="S3465"/>
      <c r="T3465"/>
      <c r="U3465"/>
      <c r="V3465"/>
      <c r="W3465"/>
      <c r="X3465"/>
    </row>
    <row r="3466" spans="5:24" x14ac:dyDescent="0.3">
      <c r="E3466" s="173"/>
      <c r="F3466" s="173"/>
      <c r="I3466"/>
      <c r="J3466"/>
      <c r="K3466"/>
      <c r="L3466"/>
      <c r="M3466"/>
      <c r="N3466"/>
      <c r="O3466"/>
      <c r="P3466" s="225"/>
      <c r="Q3466" s="225"/>
      <c r="R3466"/>
      <c r="S3466"/>
      <c r="T3466"/>
      <c r="U3466"/>
      <c r="V3466"/>
      <c r="W3466"/>
      <c r="X3466"/>
    </row>
    <row r="3467" spans="5:24" x14ac:dyDescent="0.3">
      <c r="E3467" s="173"/>
      <c r="F3467" s="173"/>
      <c r="I3467"/>
      <c r="J3467"/>
      <c r="K3467"/>
      <c r="L3467"/>
      <c r="M3467"/>
      <c r="N3467"/>
      <c r="O3467"/>
      <c r="P3467" s="225"/>
      <c r="Q3467" s="225"/>
      <c r="R3467"/>
      <c r="S3467"/>
      <c r="T3467"/>
      <c r="U3467"/>
      <c r="V3467"/>
      <c r="W3467"/>
      <c r="X3467"/>
    </row>
    <row r="3468" spans="5:24" x14ac:dyDescent="0.3">
      <c r="E3468" s="173"/>
      <c r="F3468" s="173"/>
      <c r="I3468"/>
      <c r="J3468"/>
      <c r="K3468"/>
      <c r="L3468"/>
      <c r="M3468"/>
      <c r="N3468"/>
      <c r="O3468"/>
      <c r="P3468" s="225"/>
      <c r="Q3468" s="225"/>
      <c r="R3468"/>
      <c r="S3468"/>
      <c r="T3468"/>
      <c r="U3468"/>
      <c r="V3468"/>
      <c r="W3468"/>
      <c r="X3468"/>
    </row>
    <row r="3469" spans="5:24" x14ac:dyDescent="0.3">
      <c r="E3469" s="173"/>
      <c r="F3469" s="173"/>
      <c r="I3469"/>
      <c r="J3469"/>
      <c r="K3469"/>
      <c r="L3469"/>
      <c r="M3469"/>
      <c r="N3469"/>
      <c r="O3469"/>
      <c r="P3469" s="225"/>
      <c r="Q3469" s="225"/>
      <c r="R3469"/>
      <c r="S3469"/>
      <c r="T3469"/>
      <c r="U3469"/>
      <c r="V3469"/>
      <c r="W3469"/>
      <c r="X3469"/>
    </row>
    <row r="3470" spans="5:24" x14ac:dyDescent="0.3">
      <c r="E3470" s="173"/>
      <c r="F3470" s="173"/>
      <c r="I3470"/>
      <c r="J3470"/>
      <c r="K3470"/>
      <c r="L3470"/>
      <c r="M3470"/>
      <c r="N3470"/>
      <c r="O3470"/>
      <c r="P3470" s="225"/>
      <c r="Q3470" s="225"/>
      <c r="R3470"/>
      <c r="S3470"/>
      <c r="T3470"/>
      <c r="U3470"/>
      <c r="V3470"/>
      <c r="W3470"/>
      <c r="X3470"/>
    </row>
    <row r="3471" spans="5:24" x14ac:dyDescent="0.3">
      <c r="E3471" s="173"/>
      <c r="F3471" s="173"/>
      <c r="I3471"/>
      <c r="J3471"/>
      <c r="K3471"/>
      <c r="L3471"/>
      <c r="M3471"/>
      <c r="N3471"/>
      <c r="O3471"/>
      <c r="P3471" s="225"/>
      <c r="Q3471" s="225"/>
      <c r="R3471"/>
      <c r="S3471"/>
      <c r="T3471"/>
      <c r="U3471"/>
      <c r="V3471"/>
      <c r="W3471"/>
      <c r="X3471"/>
    </row>
    <row r="3472" spans="5:24" x14ac:dyDescent="0.3">
      <c r="E3472" s="173"/>
      <c r="F3472" s="173"/>
      <c r="I3472"/>
      <c r="J3472"/>
      <c r="K3472"/>
      <c r="L3472"/>
      <c r="M3472"/>
      <c r="N3472"/>
      <c r="O3472"/>
      <c r="P3472" s="225"/>
      <c r="Q3472" s="225"/>
      <c r="R3472"/>
      <c r="S3472"/>
      <c r="T3472"/>
      <c r="U3472"/>
      <c r="V3472"/>
      <c r="W3472"/>
      <c r="X3472"/>
    </row>
    <row r="3473" spans="5:24" x14ac:dyDescent="0.3">
      <c r="E3473" s="173"/>
      <c r="F3473" s="173"/>
      <c r="I3473"/>
      <c r="J3473"/>
      <c r="K3473"/>
      <c r="L3473"/>
      <c r="M3473"/>
      <c r="N3473"/>
      <c r="O3473"/>
      <c r="P3473" s="225"/>
      <c r="Q3473" s="225"/>
      <c r="R3473"/>
      <c r="S3473"/>
      <c r="T3473"/>
      <c r="U3473"/>
      <c r="V3473"/>
      <c r="W3473"/>
      <c r="X3473"/>
    </row>
    <row r="3474" spans="5:24" x14ac:dyDescent="0.3">
      <c r="E3474" s="173"/>
      <c r="F3474" s="173"/>
      <c r="I3474"/>
      <c r="J3474"/>
      <c r="K3474"/>
      <c r="L3474"/>
      <c r="M3474"/>
      <c r="N3474"/>
      <c r="O3474"/>
      <c r="P3474" s="225"/>
      <c r="Q3474" s="225"/>
      <c r="R3474"/>
      <c r="S3474"/>
      <c r="T3474"/>
      <c r="U3474"/>
      <c r="V3474"/>
      <c r="W3474"/>
      <c r="X3474"/>
    </row>
    <row r="3475" spans="5:24" x14ac:dyDescent="0.3">
      <c r="E3475" s="173"/>
      <c r="F3475" s="173"/>
      <c r="I3475"/>
      <c r="J3475"/>
      <c r="K3475"/>
      <c r="L3475"/>
      <c r="M3475"/>
      <c r="N3475"/>
      <c r="O3475"/>
      <c r="P3475" s="225"/>
      <c r="Q3475" s="225"/>
      <c r="R3475"/>
      <c r="S3475"/>
      <c r="T3475"/>
      <c r="U3475"/>
      <c r="V3475"/>
      <c r="W3475"/>
      <c r="X3475"/>
    </row>
    <row r="3476" spans="5:24" x14ac:dyDescent="0.3">
      <c r="E3476" s="173"/>
      <c r="F3476" s="173"/>
      <c r="I3476"/>
      <c r="J3476"/>
      <c r="K3476"/>
      <c r="L3476"/>
      <c r="M3476"/>
      <c r="N3476"/>
      <c r="O3476"/>
      <c r="P3476" s="225"/>
      <c r="Q3476" s="225"/>
      <c r="R3476"/>
      <c r="S3476"/>
      <c r="T3476"/>
      <c r="U3476"/>
      <c r="V3476"/>
      <c r="W3476"/>
      <c r="X3476"/>
    </row>
    <row r="3477" spans="5:24" x14ac:dyDescent="0.3">
      <c r="E3477" s="173"/>
      <c r="F3477" s="173"/>
      <c r="I3477"/>
      <c r="J3477"/>
      <c r="K3477"/>
      <c r="L3477"/>
      <c r="M3477"/>
      <c r="N3477"/>
      <c r="O3477"/>
      <c r="P3477" s="225"/>
      <c r="Q3477" s="225"/>
      <c r="R3477"/>
      <c r="S3477"/>
      <c r="T3477"/>
      <c r="U3477"/>
      <c r="V3477"/>
      <c r="W3477"/>
      <c r="X3477"/>
    </row>
    <row r="3478" spans="5:24" x14ac:dyDescent="0.3">
      <c r="E3478" s="173"/>
      <c r="F3478" s="173"/>
      <c r="I3478"/>
      <c r="J3478"/>
      <c r="K3478"/>
      <c r="L3478"/>
      <c r="M3478"/>
      <c r="N3478"/>
      <c r="O3478"/>
      <c r="P3478" s="225"/>
      <c r="Q3478" s="225"/>
      <c r="R3478"/>
      <c r="S3478"/>
      <c r="T3478"/>
      <c r="U3478"/>
      <c r="V3478"/>
      <c r="W3478"/>
      <c r="X3478"/>
    </row>
    <row r="3479" spans="5:24" x14ac:dyDescent="0.3">
      <c r="E3479" s="173"/>
      <c r="F3479" s="173"/>
      <c r="I3479"/>
      <c r="J3479"/>
      <c r="K3479"/>
      <c r="L3479"/>
      <c r="M3479"/>
      <c r="N3479"/>
      <c r="O3479"/>
      <c r="P3479" s="225"/>
      <c r="Q3479" s="225"/>
      <c r="R3479"/>
      <c r="S3479"/>
      <c r="T3479"/>
      <c r="U3479"/>
      <c r="V3479"/>
      <c r="W3479"/>
      <c r="X3479"/>
    </row>
    <row r="3480" spans="5:24" x14ac:dyDescent="0.3">
      <c r="E3480" s="173"/>
      <c r="F3480" s="173"/>
      <c r="I3480"/>
      <c r="J3480"/>
      <c r="K3480"/>
      <c r="L3480"/>
      <c r="M3480"/>
      <c r="N3480"/>
      <c r="O3480"/>
      <c r="P3480" s="225"/>
      <c r="Q3480" s="225"/>
      <c r="R3480"/>
      <c r="S3480"/>
      <c r="T3480"/>
      <c r="U3480"/>
      <c r="V3480"/>
      <c r="W3480"/>
      <c r="X3480"/>
    </row>
    <row r="3481" spans="5:24" x14ac:dyDescent="0.3">
      <c r="E3481" s="173"/>
      <c r="F3481" s="173"/>
      <c r="I3481"/>
      <c r="J3481"/>
      <c r="K3481"/>
      <c r="L3481"/>
      <c r="M3481"/>
      <c r="N3481"/>
      <c r="O3481"/>
      <c r="P3481" s="225"/>
      <c r="Q3481" s="225"/>
      <c r="R3481"/>
      <c r="S3481"/>
      <c r="T3481"/>
      <c r="U3481"/>
      <c r="V3481"/>
      <c r="W3481"/>
      <c r="X3481"/>
    </row>
    <row r="3482" spans="5:24" x14ac:dyDescent="0.3">
      <c r="E3482" s="173"/>
      <c r="F3482" s="173"/>
      <c r="I3482"/>
      <c r="J3482"/>
      <c r="K3482"/>
      <c r="L3482"/>
      <c r="M3482"/>
      <c r="N3482"/>
      <c r="O3482"/>
      <c r="P3482" s="225"/>
      <c r="Q3482" s="225"/>
      <c r="R3482"/>
      <c r="S3482"/>
      <c r="T3482"/>
      <c r="U3482"/>
      <c r="V3482"/>
      <c r="W3482"/>
      <c r="X3482"/>
    </row>
    <row r="3483" spans="5:24" x14ac:dyDescent="0.3">
      <c r="E3483" s="173"/>
      <c r="F3483" s="173"/>
      <c r="I3483"/>
      <c r="J3483"/>
      <c r="K3483"/>
      <c r="L3483"/>
      <c r="M3483"/>
      <c r="N3483"/>
      <c r="O3483"/>
      <c r="P3483" s="225"/>
      <c r="Q3483" s="225"/>
      <c r="R3483"/>
      <c r="S3483"/>
      <c r="T3483"/>
      <c r="U3483"/>
      <c r="V3483"/>
      <c r="W3483"/>
      <c r="X3483"/>
    </row>
    <row r="3484" spans="5:24" x14ac:dyDescent="0.3">
      <c r="E3484" s="173"/>
      <c r="F3484" s="173"/>
      <c r="I3484"/>
      <c r="J3484"/>
      <c r="K3484"/>
      <c r="L3484"/>
      <c r="M3484"/>
      <c r="N3484"/>
      <c r="O3484"/>
      <c r="P3484" s="225"/>
      <c r="Q3484" s="225"/>
      <c r="R3484"/>
      <c r="S3484"/>
      <c r="T3484"/>
      <c r="U3484"/>
      <c r="V3484"/>
      <c r="W3484"/>
      <c r="X3484"/>
    </row>
    <row r="3485" spans="5:24" x14ac:dyDescent="0.3">
      <c r="E3485" s="173"/>
      <c r="F3485" s="173"/>
      <c r="I3485"/>
      <c r="J3485"/>
      <c r="K3485"/>
      <c r="L3485"/>
      <c r="M3485"/>
      <c r="N3485"/>
      <c r="O3485"/>
      <c r="P3485" s="225"/>
      <c r="Q3485" s="225"/>
      <c r="R3485"/>
      <c r="S3485"/>
      <c r="T3485"/>
      <c r="U3485"/>
      <c r="V3485"/>
      <c r="W3485"/>
      <c r="X3485"/>
    </row>
    <row r="3486" spans="5:24" x14ac:dyDescent="0.3">
      <c r="E3486" s="173"/>
      <c r="F3486" s="173"/>
      <c r="I3486"/>
      <c r="J3486"/>
      <c r="K3486"/>
      <c r="L3486"/>
      <c r="M3486"/>
      <c r="N3486"/>
      <c r="O3486"/>
      <c r="P3486" s="225"/>
      <c r="Q3486" s="225"/>
      <c r="R3486"/>
      <c r="S3486"/>
      <c r="T3486"/>
      <c r="U3486"/>
      <c r="V3486"/>
      <c r="W3486"/>
      <c r="X3486"/>
    </row>
    <row r="3487" spans="5:24" x14ac:dyDescent="0.3">
      <c r="E3487" s="173"/>
      <c r="F3487" s="173"/>
      <c r="I3487"/>
      <c r="J3487"/>
      <c r="K3487"/>
      <c r="L3487"/>
      <c r="M3487"/>
      <c r="N3487"/>
      <c r="O3487"/>
      <c r="P3487" s="225"/>
      <c r="Q3487" s="225"/>
      <c r="R3487"/>
      <c r="S3487"/>
      <c r="T3487"/>
      <c r="U3487"/>
      <c r="V3487"/>
      <c r="W3487"/>
      <c r="X3487"/>
    </row>
    <row r="3488" spans="5:24" x14ac:dyDescent="0.3">
      <c r="E3488" s="173"/>
      <c r="F3488" s="173"/>
      <c r="I3488"/>
      <c r="J3488"/>
      <c r="K3488"/>
      <c r="L3488"/>
      <c r="M3488"/>
      <c r="N3488"/>
      <c r="O3488"/>
      <c r="P3488" s="225"/>
      <c r="Q3488" s="225"/>
      <c r="R3488"/>
      <c r="S3488"/>
      <c r="T3488"/>
      <c r="U3488"/>
      <c r="V3488"/>
      <c r="W3488"/>
      <c r="X3488"/>
    </row>
    <row r="3489" spans="5:24" x14ac:dyDescent="0.3">
      <c r="E3489" s="173"/>
      <c r="F3489" s="173"/>
      <c r="I3489"/>
      <c r="J3489"/>
      <c r="K3489"/>
      <c r="L3489"/>
      <c r="M3489"/>
      <c r="N3489"/>
      <c r="O3489"/>
      <c r="P3489" s="225"/>
      <c r="Q3489" s="225"/>
      <c r="R3489"/>
      <c r="S3489"/>
      <c r="T3489"/>
      <c r="U3489"/>
      <c r="V3489"/>
      <c r="W3489"/>
      <c r="X3489"/>
    </row>
    <row r="3490" spans="5:24" x14ac:dyDescent="0.3">
      <c r="E3490" s="173"/>
      <c r="F3490" s="173"/>
      <c r="I3490"/>
      <c r="J3490"/>
      <c r="K3490"/>
      <c r="L3490"/>
      <c r="M3490"/>
      <c r="N3490"/>
      <c r="O3490"/>
      <c r="P3490" s="225"/>
      <c r="Q3490" s="225"/>
      <c r="R3490"/>
      <c r="S3490"/>
      <c r="T3490"/>
      <c r="U3490"/>
      <c r="V3490"/>
      <c r="W3490"/>
      <c r="X3490"/>
    </row>
    <row r="3491" spans="5:24" x14ac:dyDescent="0.3">
      <c r="E3491" s="173"/>
      <c r="F3491" s="173"/>
      <c r="I3491"/>
      <c r="J3491"/>
      <c r="K3491"/>
      <c r="L3491"/>
      <c r="M3491"/>
      <c r="N3491"/>
      <c r="O3491"/>
      <c r="P3491" s="225"/>
      <c r="Q3491" s="225"/>
      <c r="R3491"/>
      <c r="S3491"/>
      <c r="T3491"/>
      <c r="U3491"/>
      <c r="V3491"/>
      <c r="W3491"/>
      <c r="X3491"/>
    </row>
    <row r="3492" spans="5:24" x14ac:dyDescent="0.3">
      <c r="E3492" s="173"/>
      <c r="F3492" s="173"/>
      <c r="I3492"/>
      <c r="J3492"/>
      <c r="K3492"/>
      <c r="L3492"/>
      <c r="M3492"/>
      <c r="N3492"/>
      <c r="O3492"/>
      <c r="P3492" s="225"/>
      <c r="Q3492" s="225"/>
      <c r="R3492"/>
      <c r="S3492"/>
      <c r="T3492"/>
      <c r="U3492"/>
      <c r="V3492"/>
      <c r="W3492"/>
      <c r="X3492"/>
    </row>
    <row r="3493" spans="5:24" x14ac:dyDescent="0.3">
      <c r="E3493" s="173"/>
      <c r="F3493" s="173"/>
      <c r="I3493"/>
      <c r="J3493"/>
      <c r="K3493"/>
      <c r="L3493"/>
      <c r="M3493"/>
      <c r="N3493"/>
      <c r="O3493"/>
      <c r="P3493" s="225"/>
      <c r="Q3493" s="225"/>
      <c r="R3493"/>
      <c r="S3493"/>
      <c r="T3493"/>
      <c r="U3493"/>
      <c r="V3493"/>
      <c r="W3493"/>
      <c r="X3493"/>
    </row>
    <row r="3494" spans="5:24" x14ac:dyDescent="0.3">
      <c r="E3494" s="173"/>
      <c r="F3494" s="173"/>
      <c r="I3494"/>
      <c r="J3494"/>
      <c r="K3494"/>
      <c r="L3494"/>
      <c r="M3494"/>
      <c r="N3494"/>
      <c r="O3494"/>
      <c r="P3494" s="225"/>
      <c r="Q3494" s="225"/>
      <c r="R3494"/>
      <c r="S3494"/>
      <c r="T3494"/>
      <c r="U3494"/>
      <c r="V3494"/>
      <c r="W3494"/>
      <c r="X3494"/>
    </row>
    <row r="3495" spans="5:24" x14ac:dyDescent="0.3">
      <c r="E3495" s="173"/>
      <c r="F3495" s="173"/>
      <c r="I3495"/>
      <c r="J3495"/>
      <c r="K3495"/>
      <c r="L3495"/>
      <c r="M3495"/>
      <c r="N3495"/>
      <c r="O3495"/>
      <c r="P3495" s="225"/>
      <c r="Q3495" s="225"/>
      <c r="R3495"/>
      <c r="S3495"/>
      <c r="T3495"/>
      <c r="U3495"/>
      <c r="V3495"/>
      <c r="W3495"/>
      <c r="X3495"/>
    </row>
    <row r="3496" spans="5:24" x14ac:dyDescent="0.3">
      <c r="E3496" s="173"/>
      <c r="F3496" s="173"/>
      <c r="I3496"/>
      <c r="J3496"/>
      <c r="K3496"/>
      <c r="L3496"/>
      <c r="M3496"/>
      <c r="N3496"/>
      <c r="O3496"/>
      <c r="P3496" s="225"/>
      <c r="Q3496" s="225"/>
      <c r="R3496"/>
      <c r="S3496"/>
      <c r="T3496"/>
      <c r="U3496"/>
      <c r="V3496"/>
      <c r="W3496"/>
      <c r="X3496"/>
    </row>
    <row r="3497" spans="5:24" x14ac:dyDescent="0.3">
      <c r="E3497" s="173"/>
      <c r="F3497" s="173"/>
      <c r="I3497"/>
      <c r="J3497"/>
      <c r="K3497"/>
      <c r="L3497"/>
      <c r="M3497"/>
      <c r="N3497"/>
      <c r="O3497"/>
      <c r="P3497" s="225"/>
      <c r="Q3497" s="225"/>
      <c r="R3497"/>
      <c r="S3497"/>
      <c r="T3497"/>
      <c r="U3497"/>
      <c r="V3497"/>
      <c r="W3497"/>
      <c r="X3497"/>
    </row>
    <row r="3498" spans="5:24" x14ac:dyDescent="0.3">
      <c r="E3498" s="173"/>
      <c r="F3498" s="173"/>
      <c r="I3498"/>
      <c r="J3498"/>
      <c r="K3498"/>
      <c r="L3498"/>
      <c r="M3498"/>
      <c r="N3498"/>
      <c r="O3498"/>
      <c r="P3498" s="225"/>
      <c r="Q3498" s="225"/>
      <c r="R3498"/>
      <c r="S3498"/>
      <c r="T3498"/>
      <c r="U3498"/>
      <c r="V3498"/>
      <c r="W3498"/>
      <c r="X3498"/>
    </row>
    <row r="3499" spans="5:24" x14ac:dyDescent="0.3">
      <c r="E3499" s="173"/>
      <c r="F3499" s="173"/>
      <c r="I3499"/>
      <c r="J3499"/>
      <c r="K3499"/>
      <c r="L3499"/>
      <c r="M3499"/>
      <c r="N3499"/>
      <c r="O3499"/>
      <c r="P3499" s="225"/>
      <c r="Q3499" s="225"/>
      <c r="R3499"/>
      <c r="S3499"/>
      <c r="T3499"/>
      <c r="U3499"/>
      <c r="V3499"/>
      <c r="W3499"/>
      <c r="X3499"/>
    </row>
    <row r="3500" spans="5:24" x14ac:dyDescent="0.3">
      <c r="E3500" s="173"/>
      <c r="F3500" s="173"/>
      <c r="I3500"/>
      <c r="J3500"/>
      <c r="K3500"/>
      <c r="L3500"/>
      <c r="M3500"/>
      <c r="N3500"/>
      <c r="O3500"/>
      <c r="P3500" s="225"/>
      <c r="Q3500" s="225"/>
      <c r="R3500"/>
      <c r="S3500"/>
      <c r="T3500"/>
      <c r="U3500"/>
      <c r="V3500"/>
      <c r="W3500"/>
      <c r="X3500"/>
    </row>
    <row r="3501" spans="5:24" x14ac:dyDescent="0.3">
      <c r="E3501" s="173"/>
      <c r="F3501" s="173"/>
      <c r="I3501"/>
      <c r="J3501"/>
      <c r="K3501"/>
      <c r="L3501"/>
      <c r="M3501"/>
      <c r="N3501"/>
      <c r="O3501"/>
      <c r="P3501" s="225"/>
      <c r="Q3501" s="225"/>
      <c r="R3501"/>
      <c r="S3501"/>
      <c r="T3501"/>
      <c r="U3501"/>
      <c r="V3501"/>
      <c r="W3501"/>
      <c r="X3501"/>
    </row>
    <row r="3502" spans="5:24" x14ac:dyDescent="0.3">
      <c r="E3502" s="173"/>
      <c r="F3502" s="173"/>
      <c r="I3502"/>
      <c r="J3502"/>
      <c r="K3502"/>
      <c r="L3502"/>
      <c r="M3502"/>
      <c r="N3502"/>
      <c r="O3502"/>
      <c r="P3502" s="225"/>
      <c r="Q3502" s="225"/>
      <c r="R3502"/>
      <c r="S3502"/>
      <c r="T3502"/>
      <c r="U3502"/>
      <c r="V3502"/>
      <c r="W3502"/>
      <c r="X3502"/>
    </row>
    <row r="3503" spans="5:24" x14ac:dyDescent="0.3">
      <c r="E3503" s="173"/>
      <c r="F3503" s="173"/>
      <c r="I3503"/>
      <c r="J3503"/>
      <c r="K3503"/>
      <c r="L3503"/>
      <c r="M3503"/>
      <c r="N3503"/>
      <c r="O3503"/>
      <c r="P3503" s="225"/>
      <c r="Q3503" s="225"/>
      <c r="R3503"/>
      <c r="S3503"/>
      <c r="T3503"/>
      <c r="U3503"/>
      <c r="V3503"/>
      <c r="W3503"/>
      <c r="X3503"/>
    </row>
    <row r="3504" spans="5:24" x14ac:dyDescent="0.3">
      <c r="E3504" s="173"/>
      <c r="F3504" s="173"/>
      <c r="I3504"/>
      <c r="J3504"/>
      <c r="K3504"/>
      <c r="L3504"/>
      <c r="M3504"/>
      <c r="N3504"/>
      <c r="O3504"/>
      <c r="P3504" s="225"/>
      <c r="Q3504" s="225"/>
      <c r="R3504"/>
      <c r="S3504"/>
      <c r="T3504"/>
      <c r="U3504"/>
      <c r="V3504"/>
      <c r="W3504"/>
      <c r="X3504"/>
    </row>
    <row r="3505" spans="5:24" x14ac:dyDescent="0.3">
      <c r="E3505" s="173"/>
      <c r="F3505" s="173"/>
      <c r="I3505"/>
      <c r="J3505"/>
      <c r="K3505"/>
      <c r="L3505"/>
      <c r="M3505"/>
      <c r="N3505"/>
      <c r="O3505"/>
      <c r="P3505" s="225"/>
      <c r="Q3505" s="225"/>
      <c r="R3505"/>
      <c r="S3505"/>
      <c r="T3505"/>
      <c r="U3505"/>
      <c r="V3505"/>
      <c r="W3505"/>
      <c r="X3505"/>
    </row>
    <row r="3506" spans="5:24" x14ac:dyDescent="0.3">
      <c r="E3506" s="173"/>
      <c r="F3506" s="173"/>
      <c r="I3506"/>
      <c r="J3506"/>
      <c r="K3506"/>
      <c r="L3506"/>
      <c r="M3506"/>
      <c r="N3506"/>
      <c r="O3506"/>
      <c r="P3506" s="225"/>
      <c r="Q3506" s="225"/>
      <c r="R3506"/>
      <c r="S3506"/>
      <c r="T3506"/>
      <c r="U3506"/>
      <c r="V3506"/>
      <c r="W3506"/>
      <c r="X3506"/>
    </row>
    <row r="3507" spans="5:24" x14ac:dyDescent="0.3">
      <c r="E3507" s="173"/>
      <c r="F3507" s="173"/>
      <c r="I3507"/>
      <c r="J3507"/>
      <c r="K3507"/>
      <c r="L3507"/>
      <c r="M3507"/>
      <c r="N3507"/>
      <c r="O3507"/>
      <c r="P3507" s="225"/>
      <c r="Q3507" s="225"/>
      <c r="R3507"/>
      <c r="S3507"/>
      <c r="T3507"/>
      <c r="U3507"/>
      <c r="V3507"/>
      <c r="W3507"/>
      <c r="X3507"/>
    </row>
    <row r="3508" spans="5:24" x14ac:dyDescent="0.3">
      <c r="E3508" s="173"/>
      <c r="F3508" s="173"/>
      <c r="I3508"/>
      <c r="J3508"/>
      <c r="K3508"/>
      <c r="L3508"/>
      <c r="M3508"/>
      <c r="N3508"/>
      <c r="O3508"/>
      <c r="P3508" s="225"/>
      <c r="Q3508" s="225"/>
      <c r="R3508"/>
      <c r="S3508"/>
      <c r="T3508"/>
      <c r="U3508"/>
      <c r="V3508"/>
      <c r="W3508"/>
      <c r="X3508"/>
    </row>
    <row r="3509" spans="5:24" x14ac:dyDescent="0.3">
      <c r="E3509" s="173"/>
      <c r="F3509" s="173"/>
      <c r="I3509"/>
      <c r="J3509"/>
      <c r="K3509"/>
      <c r="L3509"/>
      <c r="M3509"/>
      <c r="N3509"/>
      <c r="O3509"/>
      <c r="P3509" s="225"/>
      <c r="Q3509" s="225"/>
      <c r="R3509"/>
      <c r="S3509"/>
      <c r="T3509"/>
      <c r="U3509"/>
      <c r="V3509"/>
      <c r="W3509"/>
      <c r="X3509"/>
    </row>
    <row r="3510" spans="5:24" x14ac:dyDescent="0.3">
      <c r="E3510" s="173"/>
      <c r="F3510" s="173"/>
      <c r="I3510"/>
      <c r="J3510"/>
      <c r="K3510"/>
      <c r="L3510"/>
      <c r="M3510"/>
      <c r="N3510"/>
      <c r="O3510"/>
      <c r="P3510" s="225"/>
      <c r="Q3510" s="225"/>
      <c r="R3510"/>
      <c r="S3510"/>
      <c r="T3510"/>
      <c r="U3510"/>
      <c r="V3510"/>
      <c r="W3510"/>
      <c r="X3510"/>
    </row>
    <row r="3511" spans="5:24" x14ac:dyDescent="0.3">
      <c r="E3511" s="173"/>
      <c r="F3511" s="173"/>
      <c r="I3511"/>
      <c r="J3511"/>
      <c r="K3511"/>
      <c r="L3511"/>
      <c r="M3511"/>
      <c r="N3511"/>
      <c r="O3511"/>
      <c r="P3511" s="225"/>
      <c r="Q3511" s="225"/>
      <c r="R3511"/>
      <c r="S3511"/>
      <c r="T3511"/>
      <c r="U3511"/>
      <c r="V3511"/>
      <c r="W3511"/>
      <c r="X3511"/>
    </row>
    <row r="3512" spans="5:24" x14ac:dyDescent="0.3">
      <c r="E3512" s="173"/>
      <c r="F3512" s="173"/>
      <c r="I3512"/>
      <c r="J3512"/>
      <c r="K3512"/>
      <c r="L3512"/>
      <c r="M3512"/>
      <c r="N3512"/>
      <c r="O3512"/>
      <c r="P3512" s="225"/>
      <c r="Q3512" s="225"/>
      <c r="R3512"/>
      <c r="S3512"/>
      <c r="T3512"/>
      <c r="U3512"/>
      <c r="V3512"/>
      <c r="W3512"/>
      <c r="X3512"/>
    </row>
    <row r="3513" spans="5:24" x14ac:dyDescent="0.3">
      <c r="E3513" s="173"/>
      <c r="F3513" s="173"/>
      <c r="I3513"/>
      <c r="J3513"/>
      <c r="K3513"/>
      <c r="L3513"/>
      <c r="M3513"/>
      <c r="N3513"/>
      <c r="O3513"/>
      <c r="P3513" s="225"/>
      <c r="Q3513" s="225"/>
      <c r="R3513"/>
      <c r="S3513"/>
      <c r="T3513"/>
      <c r="U3513"/>
      <c r="V3513"/>
      <c r="W3513"/>
      <c r="X3513"/>
    </row>
    <row r="3514" spans="5:24" x14ac:dyDescent="0.3">
      <c r="E3514" s="173"/>
      <c r="F3514" s="173"/>
      <c r="I3514"/>
      <c r="J3514"/>
      <c r="K3514"/>
      <c r="L3514"/>
      <c r="M3514"/>
      <c r="N3514"/>
      <c r="O3514"/>
      <c r="P3514" s="225"/>
      <c r="Q3514" s="225"/>
      <c r="R3514"/>
      <c r="S3514"/>
      <c r="T3514"/>
      <c r="U3514"/>
      <c r="V3514"/>
      <c r="W3514"/>
      <c r="X3514"/>
    </row>
    <row r="3515" spans="5:24" x14ac:dyDescent="0.3">
      <c r="E3515" s="173"/>
      <c r="F3515" s="173"/>
      <c r="I3515"/>
      <c r="J3515"/>
      <c r="K3515"/>
      <c r="L3515"/>
      <c r="M3515"/>
      <c r="N3515"/>
      <c r="O3515"/>
      <c r="P3515" s="225"/>
      <c r="Q3515" s="225"/>
      <c r="R3515"/>
      <c r="S3515"/>
      <c r="T3515"/>
      <c r="U3515"/>
      <c r="V3515"/>
      <c r="W3515"/>
      <c r="X3515"/>
    </row>
    <row r="3516" spans="5:24" x14ac:dyDescent="0.3">
      <c r="E3516" s="173"/>
      <c r="F3516" s="173"/>
      <c r="I3516"/>
      <c r="J3516"/>
      <c r="K3516"/>
      <c r="L3516"/>
      <c r="M3516"/>
      <c r="N3516"/>
      <c r="O3516"/>
      <c r="P3516" s="225"/>
      <c r="Q3516" s="225"/>
      <c r="R3516"/>
      <c r="S3516"/>
      <c r="T3516"/>
      <c r="U3516"/>
      <c r="V3516"/>
      <c r="W3516"/>
      <c r="X3516"/>
    </row>
    <row r="3517" spans="5:24" x14ac:dyDescent="0.3">
      <c r="E3517" s="173"/>
      <c r="F3517" s="173"/>
      <c r="I3517"/>
      <c r="J3517"/>
      <c r="K3517"/>
      <c r="L3517"/>
      <c r="M3517"/>
      <c r="N3517"/>
      <c r="O3517"/>
      <c r="P3517" s="225"/>
      <c r="Q3517" s="225"/>
      <c r="R3517"/>
      <c r="S3517"/>
      <c r="T3517"/>
      <c r="U3517"/>
      <c r="V3517"/>
      <c r="W3517"/>
      <c r="X3517"/>
    </row>
    <row r="3518" spans="5:24" x14ac:dyDescent="0.3">
      <c r="E3518" s="173"/>
      <c r="F3518" s="173"/>
      <c r="I3518"/>
      <c r="J3518"/>
      <c r="K3518"/>
      <c r="L3518"/>
      <c r="M3518"/>
      <c r="N3518"/>
      <c r="O3518"/>
      <c r="P3518" s="225"/>
      <c r="Q3518" s="225"/>
      <c r="R3518"/>
      <c r="S3518"/>
      <c r="T3518"/>
      <c r="U3518"/>
      <c r="V3518"/>
      <c r="W3518"/>
      <c r="X3518"/>
    </row>
    <row r="3519" spans="5:24" x14ac:dyDescent="0.3">
      <c r="E3519" s="173"/>
      <c r="F3519" s="173"/>
      <c r="I3519"/>
      <c r="J3519"/>
      <c r="K3519"/>
      <c r="L3519"/>
      <c r="M3519"/>
      <c r="N3519"/>
      <c r="O3519"/>
      <c r="P3519" s="225"/>
      <c r="Q3519" s="225"/>
      <c r="R3519"/>
      <c r="S3519"/>
      <c r="T3519"/>
      <c r="U3519"/>
      <c r="V3519"/>
      <c r="W3519"/>
      <c r="X3519"/>
    </row>
    <row r="3520" spans="5:24" x14ac:dyDescent="0.3">
      <c r="E3520" s="173"/>
      <c r="F3520" s="173"/>
      <c r="I3520"/>
      <c r="J3520"/>
      <c r="K3520"/>
      <c r="L3520"/>
      <c r="M3520"/>
      <c r="N3520"/>
      <c r="O3520"/>
      <c r="P3520" s="225"/>
      <c r="Q3520" s="225"/>
      <c r="R3520"/>
      <c r="S3520"/>
      <c r="T3520"/>
      <c r="U3520"/>
      <c r="V3520"/>
      <c r="W3520"/>
      <c r="X3520"/>
    </row>
    <row r="3521" spans="5:24" x14ac:dyDescent="0.3">
      <c r="E3521" s="173"/>
      <c r="F3521" s="173"/>
      <c r="I3521"/>
      <c r="J3521"/>
      <c r="K3521"/>
      <c r="L3521"/>
      <c r="M3521"/>
      <c r="N3521"/>
      <c r="O3521"/>
      <c r="P3521" s="225"/>
      <c r="Q3521" s="225"/>
      <c r="R3521"/>
      <c r="S3521"/>
      <c r="T3521"/>
      <c r="U3521"/>
      <c r="V3521"/>
      <c r="W3521"/>
      <c r="X3521"/>
    </row>
    <row r="3522" spans="5:24" x14ac:dyDescent="0.3">
      <c r="E3522" s="173"/>
      <c r="F3522" s="173"/>
      <c r="I3522"/>
      <c r="J3522"/>
      <c r="K3522"/>
      <c r="L3522"/>
      <c r="M3522"/>
      <c r="N3522"/>
      <c r="O3522"/>
      <c r="P3522" s="225"/>
      <c r="Q3522" s="225"/>
      <c r="R3522"/>
      <c r="S3522"/>
      <c r="T3522"/>
      <c r="U3522"/>
      <c r="V3522"/>
      <c r="W3522"/>
      <c r="X3522"/>
    </row>
    <row r="3523" spans="5:24" x14ac:dyDescent="0.3">
      <c r="E3523" s="173"/>
      <c r="F3523" s="173"/>
      <c r="I3523"/>
      <c r="J3523"/>
      <c r="K3523"/>
      <c r="L3523"/>
      <c r="M3523"/>
      <c r="N3523"/>
      <c r="O3523"/>
      <c r="P3523" s="225"/>
      <c r="Q3523" s="225"/>
      <c r="R3523"/>
      <c r="S3523"/>
      <c r="T3523"/>
      <c r="U3523"/>
      <c r="V3523"/>
      <c r="W3523"/>
      <c r="X3523"/>
    </row>
    <row r="3524" spans="5:24" x14ac:dyDescent="0.3">
      <c r="E3524" s="173"/>
      <c r="F3524" s="173"/>
      <c r="I3524"/>
      <c r="J3524"/>
      <c r="K3524"/>
      <c r="L3524"/>
      <c r="M3524"/>
      <c r="N3524"/>
      <c r="O3524"/>
      <c r="P3524" s="225"/>
      <c r="Q3524" s="225"/>
      <c r="R3524"/>
      <c r="S3524"/>
      <c r="T3524"/>
      <c r="U3524"/>
      <c r="V3524"/>
      <c r="W3524"/>
      <c r="X3524"/>
    </row>
    <row r="3525" spans="5:24" x14ac:dyDescent="0.3">
      <c r="E3525" s="173"/>
      <c r="F3525" s="173"/>
      <c r="I3525"/>
      <c r="J3525"/>
      <c r="K3525"/>
      <c r="L3525"/>
      <c r="M3525"/>
      <c r="N3525"/>
      <c r="O3525"/>
      <c r="P3525" s="225"/>
      <c r="Q3525" s="225"/>
      <c r="R3525"/>
      <c r="S3525"/>
      <c r="T3525"/>
      <c r="U3525"/>
      <c r="V3525"/>
      <c r="W3525"/>
      <c r="X3525"/>
    </row>
    <row r="3526" spans="5:24" x14ac:dyDescent="0.3">
      <c r="E3526" s="173"/>
      <c r="F3526" s="173"/>
      <c r="I3526"/>
      <c r="J3526"/>
      <c r="K3526"/>
      <c r="L3526"/>
      <c r="M3526"/>
      <c r="N3526"/>
      <c r="O3526"/>
      <c r="P3526" s="225"/>
      <c r="Q3526" s="225"/>
      <c r="R3526"/>
      <c r="S3526"/>
      <c r="T3526"/>
      <c r="U3526"/>
      <c r="V3526"/>
      <c r="W3526"/>
      <c r="X3526"/>
    </row>
    <row r="3527" spans="5:24" x14ac:dyDescent="0.3">
      <c r="E3527" s="173"/>
      <c r="F3527" s="173"/>
      <c r="I3527"/>
      <c r="J3527"/>
      <c r="K3527"/>
      <c r="L3527"/>
      <c r="M3527"/>
      <c r="N3527"/>
      <c r="O3527"/>
      <c r="P3527" s="225"/>
      <c r="Q3527" s="225"/>
      <c r="R3527"/>
      <c r="S3527"/>
      <c r="T3527"/>
      <c r="U3527"/>
      <c r="V3527"/>
      <c r="W3527"/>
      <c r="X3527"/>
    </row>
    <row r="3528" spans="5:24" x14ac:dyDescent="0.3">
      <c r="E3528" s="173"/>
      <c r="F3528" s="173"/>
      <c r="I3528"/>
      <c r="J3528"/>
      <c r="K3528"/>
      <c r="L3528"/>
      <c r="M3528"/>
      <c r="N3528"/>
      <c r="O3528"/>
      <c r="P3528" s="225"/>
      <c r="Q3528" s="225"/>
      <c r="R3528"/>
      <c r="S3528"/>
      <c r="T3528"/>
      <c r="U3528"/>
      <c r="V3528"/>
      <c r="W3528"/>
      <c r="X3528"/>
    </row>
    <row r="3529" spans="5:24" x14ac:dyDescent="0.3">
      <c r="E3529" s="173"/>
      <c r="F3529" s="173"/>
      <c r="I3529"/>
      <c r="J3529"/>
      <c r="K3529"/>
      <c r="L3529"/>
      <c r="M3529"/>
      <c r="N3529"/>
      <c r="O3529"/>
      <c r="P3529" s="225"/>
      <c r="Q3529" s="225"/>
      <c r="R3529"/>
      <c r="S3529"/>
      <c r="T3529"/>
      <c r="U3529"/>
      <c r="V3529"/>
      <c r="W3529"/>
      <c r="X3529"/>
    </row>
    <row r="3530" spans="5:24" x14ac:dyDescent="0.3">
      <c r="E3530" s="173"/>
      <c r="F3530" s="173"/>
      <c r="I3530"/>
      <c r="J3530"/>
      <c r="K3530"/>
      <c r="L3530"/>
      <c r="M3530"/>
      <c r="N3530"/>
      <c r="O3530"/>
      <c r="P3530" s="225"/>
      <c r="Q3530" s="225"/>
      <c r="R3530"/>
      <c r="S3530"/>
      <c r="T3530"/>
      <c r="U3530"/>
      <c r="V3530"/>
      <c r="W3530"/>
      <c r="X3530"/>
    </row>
    <row r="3531" spans="5:24" x14ac:dyDescent="0.3">
      <c r="E3531" s="173"/>
      <c r="F3531" s="173"/>
      <c r="I3531"/>
      <c r="J3531"/>
      <c r="K3531"/>
      <c r="L3531"/>
      <c r="M3531"/>
      <c r="N3531"/>
      <c r="O3531"/>
      <c r="P3531" s="225"/>
      <c r="Q3531" s="225"/>
      <c r="R3531"/>
      <c r="S3531"/>
      <c r="T3531"/>
      <c r="U3531"/>
      <c r="V3531"/>
      <c r="W3531"/>
      <c r="X3531"/>
    </row>
    <row r="3532" spans="5:24" x14ac:dyDescent="0.3">
      <c r="E3532" s="173"/>
      <c r="F3532" s="173"/>
      <c r="I3532"/>
      <c r="J3532"/>
      <c r="K3532"/>
      <c r="L3532"/>
      <c r="M3532"/>
      <c r="N3532"/>
      <c r="O3532"/>
      <c r="P3532" s="225"/>
      <c r="Q3532" s="225"/>
      <c r="R3532"/>
      <c r="S3532"/>
      <c r="T3532"/>
      <c r="U3532"/>
      <c r="V3532"/>
      <c r="W3532"/>
      <c r="X3532"/>
    </row>
    <row r="3533" spans="5:24" x14ac:dyDescent="0.3">
      <c r="E3533" s="173"/>
      <c r="F3533" s="173"/>
      <c r="I3533"/>
      <c r="J3533"/>
      <c r="K3533"/>
      <c r="L3533"/>
      <c r="M3533"/>
      <c r="N3533"/>
      <c r="O3533"/>
      <c r="P3533" s="225"/>
      <c r="Q3533" s="225"/>
      <c r="R3533"/>
      <c r="S3533"/>
      <c r="T3533"/>
      <c r="U3533"/>
      <c r="V3533"/>
      <c r="W3533"/>
      <c r="X3533"/>
    </row>
    <row r="3534" spans="5:24" x14ac:dyDescent="0.3">
      <c r="E3534" s="173"/>
      <c r="F3534" s="173"/>
      <c r="I3534"/>
      <c r="J3534"/>
      <c r="K3534"/>
      <c r="L3534"/>
      <c r="M3534"/>
      <c r="N3534"/>
      <c r="O3534"/>
      <c r="P3534" s="225"/>
      <c r="Q3534" s="225"/>
      <c r="R3534"/>
      <c r="S3534"/>
      <c r="T3534"/>
      <c r="U3534"/>
      <c r="V3534"/>
      <c r="W3534"/>
      <c r="X3534"/>
    </row>
    <row r="3535" spans="5:24" x14ac:dyDescent="0.3">
      <c r="E3535" s="173"/>
      <c r="F3535" s="173"/>
      <c r="I3535"/>
      <c r="J3535"/>
      <c r="K3535"/>
      <c r="L3535"/>
      <c r="M3535"/>
      <c r="N3535"/>
      <c r="O3535"/>
      <c r="P3535" s="225"/>
      <c r="Q3535" s="225"/>
      <c r="R3535"/>
      <c r="S3535"/>
      <c r="T3535"/>
      <c r="U3535"/>
      <c r="V3535"/>
      <c r="W3535"/>
      <c r="X3535"/>
    </row>
    <row r="3536" spans="5:24" x14ac:dyDescent="0.3">
      <c r="E3536" s="173"/>
      <c r="F3536" s="173"/>
      <c r="I3536"/>
      <c r="J3536"/>
      <c r="K3536"/>
      <c r="L3536"/>
      <c r="M3536"/>
      <c r="N3536"/>
      <c r="O3536"/>
      <c r="P3536" s="225"/>
      <c r="Q3536" s="225"/>
      <c r="R3536"/>
      <c r="S3536"/>
      <c r="T3536"/>
      <c r="U3536"/>
      <c r="V3536"/>
      <c r="W3536"/>
      <c r="X3536"/>
    </row>
    <row r="3537" spans="5:24" x14ac:dyDescent="0.3">
      <c r="E3537" s="173"/>
      <c r="F3537" s="173"/>
      <c r="I3537"/>
      <c r="J3537"/>
      <c r="K3537"/>
      <c r="L3537"/>
      <c r="M3537"/>
      <c r="N3537"/>
      <c r="O3537"/>
      <c r="P3537" s="225"/>
      <c r="Q3537" s="225"/>
      <c r="R3537"/>
      <c r="S3537"/>
      <c r="T3537"/>
      <c r="U3537"/>
      <c r="V3537"/>
      <c r="W3537"/>
      <c r="X3537"/>
    </row>
    <row r="3538" spans="5:24" x14ac:dyDescent="0.3">
      <c r="E3538" s="173"/>
      <c r="F3538" s="173"/>
      <c r="I3538"/>
      <c r="J3538"/>
      <c r="K3538"/>
      <c r="L3538"/>
      <c r="M3538"/>
      <c r="N3538"/>
      <c r="O3538"/>
      <c r="P3538" s="225"/>
      <c r="Q3538" s="225"/>
      <c r="R3538"/>
      <c r="S3538"/>
      <c r="T3538"/>
      <c r="U3538"/>
      <c r="V3538"/>
      <c r="W3538"/>
      <c r="X3538"/>
    </row>
    <row r="3539" spans="5:24" x14ac:dyDescent="0.3">
      <c r="E3539" s="173"/>
      <c r="F3539" s="173"/>
      <c r="I3539"/>
      <c r="J3539"/>
      <c r="K3539"/>
      <c r="L3539"/>
      <c r="M3539"/>
      <c r="N3539"/>
      <c r="O3539"/>
      <c r="P3539" s="225"/>
      <c r="Q3539" s="225"/>
      <c r="R3539"/>
      <c r="S3539"/>
      <c r="T3539"/>
      <c r="U3539"/>
      <c r="V3539"/>
      <c r="W3539"/>
      <c r="X3539"/>
    </row>
    <row r="3540" spans="5:24" x14ac:dyDescent="0.3">
      <c r="E3540" s="173"/>
      <c r="F3540" s="173"/>
      <c r="I3540"/>
      <c r="J3540"/>
      <c r="K3540"/>
      <c r="L3540"/>
      <c r="M3540"/>
      <c r="N3540"/>
      <c r="O3540"/>
      <c r="P3540" s="225"/>
      <c r="Q3540" s="225"/>
      <c r="R3540"/>
      <c r="S3540"/>
      <c r="T3540"/>
      <c r="U3540"/>
      <c r="V3540"/>
      <c r="W3540"/>
      <c r="X3540"/>
    </row>
    <row r="3541" spans="5:24" x14ac:dyDescent="0.3">
      <c r="E3541" s="173"/>
      <c r="F3541" s="173"/>
      <c r="I3541"/>
      <c r="J3541"/>
      <c r="K3541"/>
      <c r="L3541"/>
      <c r="M3541"/>
      <c r="N3541"/>
      <c r="O3541"/>
      <c r="P3541" s="225"/>
      <c r="Q3541" s="225"/>
      <c r="R3541"/>
      <c r="S3541"/>
      <c r="T3541"/>
      <c r="U3541"/>
      <c r="V3541"/>
      <c r="W3541"/>
      <c r="X3541"/>
    </row>
    <row r="3542" spans="5:24" x14ac:dyDescent="0.3">
      <c r="E3542" s="173"/>
      <c r="F3542" s="173"/>
      <c r="I3542"/>
      <c r="J3542"/>
      <c r="K3542"/>
      <c r="L3542"/>
      <c r="M3542"/>
      <c r="N3542"/>
      <c r="O3542"/>
      <c r="P3542" s="225"/>
      <c r="Q3542" s="225"/>
      <c r="R3542"/>
      <c r="S3542"/>
      <c r="T3542"/>
      <c r="U3542"/>
      <c r="V3542"/>
      <c r="W3542"/>
      <c r="X3542"/>
    </row>
    <row r="3543" spans="5:24" x14ac:dyDescent="0.3">
      <c r="E3543" s="173"/>
      <c r="F3543" s="173"/>
      <c r="I3543"/>
      <c r="J3543"/>
      <c r="K3543"/>
      <c r="L3543"/>
      <c r="M3543"/>
      <c r="N3543"/>
      <c r="O3543"/>
      <c r="P3543" s="225"/>
      <c r="Q3543" s="225"/>
      <c r="R3543"/>
      <c r="S3543"/>
      <c r="T3543"/>
      <c r="U3543"/>
      <c r="V3543"/>
      <c r="W3543"/>
      <c r="X3543"/>
    </row>
    <row r="3544" spans="5:24" x14ac:dyDescent="0.3">
      <c r="E3544" s="173"/>
      <c r="F3544" s="173"/>
      <c r="I3544"/>
      <c r="J3544"/>
      <c r="K3544"/>
      <c r="L3544"/>
      <c r="M3544"/>
      <c r="N3544"/>
      <c r="O3544"/>
      <c r="P3544" s="225"/>
      <c r="Q3544" s="225"/>
      <c r="R3544"/>
      <c r="S3544"/>
      <c r="T3544"/>
      <c r="U3544"/>
      <c r="V3544"/>
      <c r="W3544"/>
      <c r="X3544"/>
    </row>
    <row r="3545" spans="5:24" x14ac:dyDescent="0.3">
      <c r="E3545" s="173"/>
      <c r="F3545" s="173"/>
      <c r="I3545"/>
      <c r="J3545"/>
      <c r="K3545"/>
      <c r="L3545"/>
      <c r="M3545"/>
      <c r="N3545"/>
      <c r="O3545"/>
      <c r="P3545" s="225"/>
      <c r="Q3545" s="225"/>
      <c r="R3545"/>
      <c r="S3545"/>
      <c r="T3545"/>
      <c r="U3545"/>
      <c r="V3545"/>
      <c r="W3545"/>
      <c r="X3545"/>
    </row>
    <row r="3546" spans="5:24" x14ac:dyDescent="0.3">
      <c r="E3546" s="173"/>
      <c r="F3546" s="173"/>
      <c r="I3546"/>
      <c r="J3546"/>
      <c r="K3546"/>
      <c r="L3546"/>
      <c r="M3546"/>
      <c r="N3546"/>
      <c r="O3546"/>
      <c r="P3546" s="225"/>
      <c r="Q3546" s="225"/>
      <c r="R3546"/>
      <c r="S3546"/>
      <c r="T3546"/>
      <c r="U3546"/>
      <c r="V3546"/>
      <c r="W3546"/>
      <c r="X3546"/>
    </row>
    <row r="3547" spans="5:24" x14ac:dyDescent="0.3">
      <c r="E3547" s="173"/>
      <c r="F3547" s="173"/>
      <c r="I3547"/>
      <c r="J3547"/>
      <c r="K3547"/>
      <c r="L3547"/>
      <c r="M3547"/>
      <c r="N3547"/>
      <c r="O3547"/>
      <c r="P3547" s="225"/>
      <c r="Q3547" s="225"/>
      <c r="R3547"/>
      <c r="S3547"/>
      <c r="T3547"/>
      <c r="U3547"/>
      <c r="V3547"/>
      <c r="W3547"/>
      <c r="X3547"/>
    </row>
    <row r="3548" spans="5:24" x14ac:dyDescent="0.3">
      <c r="E3548" s="173"/>
      <c r="F3548" s="173"/>
      <c r="I3548"/>
      <c r="J3548"/>
      <c r="K3548"/>
      <c r="L3548"/>
      <c r="M3548"/>
      <c r="N3548"/>
      <c r="O3548"/>
      <c r="P3548" s="225"/>
      <c r="Q3548" s="225"/>
      <c r="R3548"/>
      <c r="S3548"/>
      <c r="T3548"/>
      <c r="U3548"/>
      <c r="V3548"/>
      <c r="W3548"/>
      <c r="X3548"/>
    </row>
    <row r="3549" spans="5:24" x14ac:dyDescent="0.3">
      <c r="E3549" s="173"/>
      <c r="F3549" s="173"/>
      <c r="I3549"/>
      <c r="J3549"/>
      <c r="K3549"/>
      <c r="L3549"/>
      <c r="M3549"/>
      <c r="N3549"/>
      <c r="O3549"/>
      <c r="P3549" s="225"/>
      <c r="Q3549" s="225"/>
      <c r="R3549"/>
      <c r="S3549"/>
      <c r="T3549"/>
      <c r="U3549"/>
      <c r="V3549"/>
      <c r="W3549"/>
      <c r="X3549"/>
    </row>
    <row r="3550" spans="5:24" x14ac:dyDescent="0.3">
      <c r="E3550" s="173"/>
      <c r="F3550" s="173"/>
      <c r="I3550"/>
      <c r="J3550"/>
      <c r="K3550"/>
      <c r="L3550"/>
      <c r="M3550"/>
      <c r="N3550"/>
      <c r="O3550"/>
      <c r="P3550" s="225"/>
      <c r="Q3550" s="225"/>
      <c r="R3550"/>
      <c r="S3550"/>
      <c r="T3550"/>
      <c r="U3550"/>
      <c r="V3550"/>
      <c r="W3550"/>
      <c r="X3550"/>
    </row>
    <row r="3551" spans="5:24" x14ac:dyDescent="0.3">
      <c r="E3551" s="173"/>
      <c r="F3551" s="173"/>
      <c r="I3551"/>
      <c r="J3551"/>
      <c r="K3551"/>
      <c r="L3551"/>
      <c r="M3551"/>
      <c r="N3551"/>
      <c r="O3551"/>
      <c r="P3551" s="225"/>
      <c r="Q3551" s="225"/>
      <c r="R3551"/>
      <c r="S3551"/>
      <c r="T3551"/>
      <c r="U3551"/>
      <c r="V3551"/>
      <c r="W3551"/>
      <c r="X3551"/>
    </row>
    <row r="3552" spans="5:24" x14ac:dyDescent="0.3">
      <c r="E3552" s="173"/>
      <c r="F3552" s="173"/>
      <c r="I3552"/>
      <c r="J3552"/>
      <c r="K3552"/>
      <c r="L3552"/>
      <c r="M3552"/>
      <c r="N3552"/>
      <c r="O3552"/>
      <c r="P3552" s="225"/>
      <c r="Q3552" s="225"/>
      <c r="R3552"/>
      <c r="S3552"/>
      <c r="T3552"/>
      <c r="U3552"/>
      <c r="V3552"/>
      <c r="W3552"/>
      <c r="X3552"/>
    </row>
    <row r="3553" spans="5:24" x14ac:dyDescent="0.3">
      <c r="E3553" s="173"/>
      <c r="F3553" s="173"/>
      <c r="I3553"/>
      <c r="J3553"/>
      <c r="K3553"/>
      <c r="L3553"/>
      <c r="M3553"/>
      <c r="N3553"/>
      <c r="O3553"/>
      <c r="P3553" s="225"/>
      <c r="Q3553" s="225"/>
      <c r="R3553"/>
      <c r="S3553"/>
      <c r="T3553"/>
      <c r="U3553"/>
      <c r="V3553"/>
      <c r="W3553"/>
      <c r="X3553"/>
    </row>
    <row r="3554" spans="5:24" x14ac:dyDescent="0.3">
      <c r="E3554" s="173"/>
      <c r="F3554" s="173"/>
      <c r="I3554"/>
      <c r="J3554"/>
      <c r="K3554"/>
      <c r="L3554"/>
      <c r="M3554"/>
      <c r="N3554"/>
      <c r="O3554"/>
      <c r="P3554" s="225"/>
      <c r="Q3554" s="225"/>
      <c r="R3554"/>
      <c r="S3554"/>
      <c r="T3554"/>
      <c r="U3554"/>
      <c r="V3554"/>
      <c r="W3554"/>
      <c r="X3554"/>
    </row>
    <row r="3555" spans="5:24" x14ac:dyDescent="0.3">
      <c r="E3555" s="173"/>
      <c r="F3555" s="173"/>
      <c r="I3555"/>
      <c r="J3555"/>
      <c r="K3555"/>
      <c r="L3555"/>
      <c r="M3555"/>
      <c r="N3555"/>
      <c r="O3555"/>
      <c r="P3555" s="225"/>
      <c r="Q3555" s="225"/>
      <c r="R3555"/>
      <c r="S3555"/>
      <c r="T3555"/>
      <c r="U3555"/>
      <c r="V3555"/>
      <c r="W3555"/>
      <c r="X3555"/>
    </row>
    <row r="3556" spans="5:24" x14ac:dyDescent="0.3">
      <c r="E3556" s="173"/>
      <c r="F3556" s="173"/>
      <c r="I3556"/>
      <c r="J3556"/>
      <c r="K3556"/>
      <c r="L3556"/>
      <c r="M3556"/>
      <c r="N3556"/>
      <c r="O3556"/>
      <c r="P3556" s="225"/>
      <c r="Q3556" s="225"/>
      <c r="R3556"/>
      <c r="S3556"/>
      <c r="T3556"/>
      <c r="U3556"/>
      <c r="V3556"/>
      <c r="W3556"/>
      <c r="X3556"/>
    </row>
    <row r="3557" spans="5:24" x14ac:dyDescent="0.3">
      <c r="E3557" s="173"/>
      <c r="F3557" s="173"/>
      <c r="I3557"/>
      <c r="J3557"/>
      <c r="K3557"/>
      <c r="L3557"/>
      <c r="M3557"/>
      <c r="N3557"/>
      <c r="O3557"/>
      <c r="P3557" s="225"/>
      <c r="Q3557" s="225"/>
      <c r="R3557"/>
      <c r="S3557"/>
      <c r="T3557"/>
      <c r="U3557"/>
      <c r="V3557"/>
      <c r="W3557"/>
      <c r="X3557"/>
    </row>
    <row r="3558" spans="5:24" x14ac:dyDescent="0.3">
      <c r="E3558" s="173"/>
      <c r="F3558" s="173"/>
      <c r="I3558"/>
      <c r="J3558"/>
      <c r="K3558"/>
      <c r="L3558"/>
      <c r="M3558"/>
      <c r="N3558"/>
      <c r="O3558"/>
      <c r="P3558" s="225"/>
      <c r="Q3558" s="225"/>
      <c r="R3558"/>
      <c r="S3558"/>
      <c r="T3558"/>
      <c r="U3558"/>
      <c r="V3558"/>
      <c r="W3558"/>
      <c r="X3558"/>
    </row>
    <row r="3559" spans="5:24" x14ac:dyDescent="0.3">
      <c r="E3559" s="173"/>
      <c r="F3559" s="173"/>
      <c r="I3559"/>
      <c r="J3559"/>
      <c r="K3559"/>
      <c r="L3559"/>
      <c r="M3559"/>
      <c r="N3559"/>
      <c r="O3559"/>
      <c r="P3559" s="225"/>
      <c r="Q3559" s="225"/>
      <c r="R3559"/>
      <c r="S3559"/>
      <c r="T3559"/>
      <c r="U3559"/>
      <c r="V3559"/>
      <c r="W3559"/>
      <c r="X3559"/>
    </row>
    <row r="3560" spans="5:24" x14ac:dyDescent="0.3">
      <c r="E3560" s="173"/>
      <c r="F3560" s="173"/>
      <c r="I3560"/>
      <c r="J3560"/>
      <c r="K3560"/>
      <c r="L3560"/>
      <c r="M3560"/>
      <c r="N3560"/>
      <c r="O3560"/>
      <c r="P3560" s="225"/>
      <c r="Q3560" s="225"/>
      <c r="R3560"/>
      <c r="S3560"/>
      <c r="T3560"/>
      <c r="U3560"/>
      <c r="V3560"/>
      <c r="W3560"/>
      <c r="X3560"/>
    </row>
    <row r="3561" spans="5:24" x14ac:dyDescent="0.3">
      <c r="E3561" s="173"/>
      <c r="F3561" s="173"/>
      <c r="I3561"/>
      <c r="J3561"/>
      <c r="K3561"/>
      <c r="L3561"/>
      <c r="M3561"/>
      <c r="N3561"/>
      <c r="O3561"/>
      <c r="P3561" s="225"/>
      <c r="Q3561" s="225"/>
      <c r="R3561"/>
      <c r="S3561"/>
      <c r="T3561"/>
      <c r="U3561"/>
      <c r="V3561"/>
      <c r="W3561"/>
      <c r="X3561"/>
    </row>
    <row r="3562" spans="5:24" x14ac:dyDescent="0.3">
      <c r="E3562" s="173"/>
      <c r="F3562" s="173"/>
      <c r="I3562"/>
      <c r="J3562"/>
      <c r="K3562"/>
      <c r="L3562"/>
      <c r="M3562"/>
      <c r="N3562"/>
      <c r="O3562"/>
      <c r="P3562" s="225"/>
      <c r="Q3562" s="225"/>
      <c r="R3562"/>
      <c r="S3562"/>
      <c r="T3562"/>
      <c r="U3562"/>
      <c r="V3562"/>
      <c r="W3562"/>
      <c r="X3562"/>
    </row>
    <row r="3563" spans="5:24" x14ac:dyDescent="0.3">
      <c r="E3563" s="173"/>
      <c r="F3563" s="173"/>
      <c r="I3563"/>
      <c r="J3563"/>
      <c r="K3563"/>
      <c r="L3563"/>
      <c r="M3563"/>
      <c r="N3563"/>
      <c r="O3563"/>
      <c r="P3563" s="225"/>
      <c r="Q3563" s="225"/>
      <c r="R3563"/>
      <c r="S3563"/>
      <c r="T3563"/>
      <c r="U3563"/>
      <c r="V3563"/>
      <c r="W3563"/>
      <c r="X3563"/>
    </row>
    <row r="3564" spans="5:24" x14ac:dyDescent="0.3">
      <c r="E3564" s="173"/>
      <c r="F3564" s="173"/>
      <c r="I3564"/>
      <c r="J3564"/>
      <c r="K3564"/>
      <c r="L3564"/>
      <c r="M3564"/>
      <c r="N3564"/>
      <c r="O3564"/>
      <c r="P3564" s="225"/>
      <c r="Q3564" s="225"/>
      <c r="R3564"/>
      <c r="S3564"/>
      <c r="T3564"/>
      <c r="U3564"/>
      <c r="V3564"/>
      <c r="W3564"/>
      <c r="X3564"/>
    </row>
    <row r="3565" spans="5:24" x14ac:dyDescent="0.3">
      <c r="E3565" s="173"/>
      <c r="F3565" s="173"/>
      <c r="I3565"/>
      <c r="J3565"/>
      <c r="K3565"/>
      <c r="L3565"/>
      <c r="M3565"/>
      <c r="N3565"/>
      <c r="O3565"/>
      <c r="P3565" s="225"/>
      <c r="Q3565" s="225"/>
      <c r="R3565"/>
      <c r="S3565"/>
      <c r="T3565"/>
      <c r="U3565"/>
      <c r="V3565"/>
      <c r="W3565"/>
      <c r="X3565"/>
    </row>
    <row r="3566" spans="5:24" x14ac:dyDescent="0.3">
      <c r="E3566" s="173"/>
      <c r="F3566" s="173"/>
      <c r="I3566"/>
      <c r="J3566"/>
      <c r="K3566"/>
      <c r="L3566"/>
      <c r="M3566"/>
      <c r="N3566"/>
      <c r="O3566"/>
      <c r="P3566" s="225"/>
      <c r="Q3566" s="225"/>
      <c r="R3566"/>
      <c r="S3566"/>
      <c r="T3566"/>
      <c r="U3566"/>
      <c r="V3566"/>
      <c r="W3566"/>
      <c r="X3566"/>
    </row>
    <row r="3567" spans="5:24" x14ac:dyDescent="0.3">
      <c r="E3567" s="173"/>
      <c r="F3567" s="173"/>
      <c r="I3567"/>
      <c r="J3567"/>
      <c r="K3567"/>
      <c r="L3567"/>
      <c r="M3567"/>
      <c r="N3567"/>
      <c r="O3567"/>
      <c r="P3567" s="225"/>
      <c r="Q3567" s="225"/>
      <c r="R3567"/>
      <c r="S3567"/>
      <c r="T3567"/>
      <c r="U3567"/>
      <c r="V3567"/>
      <c r="W3567"/>
      <c r="X3567"/>
    </row>
    <row r="3568" spans="5:24" x14ac:dyDescent="0.3">
      <c r="E3568" s="173"/>
      <c r="F3568" s="173"/>
      <c r="I3568"/>
      <c r="J3568"/>
      <c r="K3568"/>
      <c r="L3568"/>
      <c r="M3568"/>
      <c r="N3568"/>
      <c r="O3568"/>
      <c r="P3568" s="225"/>
      <c r="Q3568" s="225"/>
      <c r="R3568"/>
      <c r="S3568"/>
      <c r="T3568"/>
      <c r="U3568"/>
      <c r="V3568"/>
      <c r="W3568"/>
      <c r="X3568"/>
    </row>
    <row r="3569" spans="5:24" x14ac:dyDescent="0.3">
      <c r="E3569" s="173"/>
      <c r="F3569" s="173"/>
      <c r="I3569"/>
      <c r="J3569"/>
      <c r="K3569"/>
      <c r="L3569"/>
      <c r="M3569"/>
      <c r="N3569"/>
      <c r="O3569"/>
      <c r="P3569" s="225"/>
      <c r="Q3569" s="225"/>
      <c r="R3569"/>
      <c r="S3569"/>
      <c r="T3569"/>
      <c r="U3569"/>
      <c r="V3569"/>
      <c r="W3569"/>
      <c r="X3569"/>
    </row>
    <row r="3570" spans="5:24" x14ac:dyDescent="0.3">
      <c r="E3570" s="173"/>
      <c r="F3570" s="173"/>
      <c r="I3570"/>
      <c r="J3570"/>
      <c r="K3570"/>
      <c r="L3570"/>
      <c r="M3570"/>
      <c r="N3570"/>
      <c r="O3570"/>
      <c r="P3570" s="225"/>
      <c r="Q3570" s="225"/>
      <c r="R3570"/>
      <c r="S3570"/>
      <c r="T3570"/>
      <c r="U3570"/>
      <c r="V3570"/>
      <c r="W3570"/>
      <c r="X3570"/>
    </row>
    <row r="3571" spans="5:24" x14ac:dyDescent="0.3">
      <c r="E3571" s="173"/>
      <c r="F3571" s="173"/>
      <c r="I3571"/>
      <c r="J3571"/>
      <c r="K3571"/>
      <c r="L3571"/>
      <c r="M3571"/>
      <c r="N3571"/>
      <c r="O3571"/>
      <c r="P3571" s="225"/>
      <c r="Q3571" s="225"/>
      <c r="R3571"/>
      <c r="S3571"/>
      <c r="T3571"/>
      <c r="U3571"/>
      <c r="V3571"/>
      <c r="W3571"/>
      <c r="X3571"/>
    </row>
    <row r="3572" spans="5:24" x14ac:dyDescent="0.3">
      <c r="E3572" s="173"/>
      <c r="F3572" s="173"/>
      <c r="I3572"/>
      <c r="J3572"/>
      <c r="K3572"/>
      <c r="L3572"/>
      <c r="M3572"/>
      <c r="N3572"/>
      <c r="O3572"/>
      <c r="P3572" s="225"/>
      <c r="Q3572" s="225"/>
      <c r="R3572"/>
      <c r="S3572"/>
      <c r="T3572"/>
      <c r="U3572"/>
      <c r="V3572"/>
      <c r="W3572"/>
      <c r="X3572"/>
    </row>
    <row r="3573" spans="5:24" x14ac:dyDescent="0.3">
      <c r="E3573" s="173"/>
      <c r="F3573" s="173"/>
      <c r="I3573"/>
      <c r="J3573"/>
      <c r="K3573"/>
      <c r="L3573"/>
      <c r="M3573"/>
      <c r="N3573"/>
      <c r="O3573"/>
      <c r="P3573" s="225"/>
      <c r="Q3573" s="225"/>
      <c r="R3573"/>
      <c r="S3573"/>
      <c r="T3573"/>
      <c r="U3573"/>
      <c r="V3573"/>
      <c r="W3573"/>
      <c r="X3573"/>
    </row>
    <row r="3574" spans="5:24" x14ac:dyDescent="0.3">
      <c r="E3574" s="173"/>
      <c r="F3574" s="173"/>
      <c r="I3574"/>
      <c r="J3574"/>
      <c r="K3574"/>
      <c r="L3574"/>
      <c r="M3574"/>
      <c r="N3574"/>
      <c r="O3574"/>
      <c r="P3574" s="225"/>
      <c r="Q3574" s="225"/>
      <c r="R3574"/>
      <c r="S3574"/>
      <c r="T3574"/>
      <c r="U3574"/>
      <c r="V3574"/>
      <c r="W3574"/>
      <c r="X3574"/>
    </row>
    <row r="3575" spans="5:24" x14ac:dyDescent="0.3">
      <c r="E3575" s="173"/>
      <c r="F3575" s="173"/>
      <c r="I3575"/>
      <c r="J3575"/>
      <c r="K3575"/>
      <c r="L3575"/>
      <c r="M3575"/>
      <c r="N3575"/>
      <c r="O3575"/>
      <c r="P3575" s="225"/>
      <c r="Q3575" s="225"/>
      <c r="R3575"/>
      <c r="S3575"/>
      <c r="T3575"/>
      <c r="U3575"/>
      <c r="V3575"/>
      <c r="W3575"/>
      <c r="X3575"/>
    </row>
    <row r="3576" spans="5:24" x14ac:dyDescent="0.3">
      <c r="E3576" s="173"/>
      <c r="F3576" s="173"/>
      <c r="I3576"/>
      <c r="J3576"/>
      <c r="K3576"/>
      <c r="L3576"/>
      <c r="M3576"/>
      <c r="N3576"/>
      <c r="O3576"/>
      <c r="P3576" s="225"/>
      <c r="Q3576" s="225"/>
      <c r="R3576"/>
      <c r="S3576"/>
      <c r="T3576"/>
      <c r="U3576"/>
      <c r="V3576"/>
      <c r="W3576"/>
      <c r="X3576"/>
    </row>
    <row r="3577" spans="5:24" x14ac:dyDescent="0.3">
      <c r="E3577" s="173"/>
      <c r="F3577" s="173"/>
      <c r="I3577"/>
      <c r="J3577"/>
      <c r="K3577"/>
      <c r="L3577"/>
      <c r="M3577"/>
      <c r="N3577"/>
      <c r="O3577"/>
      <c r="P3577" s="225"/>
      <c r="Q3577" s="225"/>
      <c r="R3577"/>
      <c r="S3577"/>
      <c r="T3577"/>
      <c r="U3577"/>
      <c r="V3577"/>
      <c r="W3577"/>
      <c r="X3577"/>
    </row>
    <row r="3578" spans="5:24" x14ac:dyDescent="0.3">
      <c r="E3578" s="173"/>
      <c r="F3578" s="173"/>
      <c r="I3578"/>
      <c r="J3578"/>
      <c r="K3578"/>
      <c r="L3578"/>
      <c r="M3578"/>
      <c r="N3578"/>
      <c r="O3578"/>
      <c r="P3578" s="225"/>
      <c r="Q3578" s="225"/>
      <c r="R3578"/>
      <c r="S3578"/>
      <c r="T3578"/>
      <c r="U3578"/>
      <c r="V3578"/>
      <c r="W3578"/>
      <c r="X3578"/>
    </row>
    <row r="3579" spans="5:24" x14ac:dyDescent="0.3">
      <c r="E3579" s="173"/>
      <c r="F3579" s="173"/>
      <c r="I3579"/>
      <c r="J3579"/>
      <c r="K3579"/>
      <c r="L3579"/>
      <c r="M3579"/>
      <c r="N3579"/>
      <c r="O3579"/>
      <c r="P3579" s="225"/>
      <c r="Q3579" s="225"/>
      <c r="R3579"/>
      <c r="S3579"/>
      <c r="T3579"/>
      <c r="U3579"/>
      <c r="V3579"/>
      <c r="W3579"/>
      <c r="X3579"/>
    </row>
    <row r="3580" spans="5:24" x14ac:dyDescent="0.3">
      <c r="E3580" s="173"/>
      <c r="F3580" s="173"/>
      <c r="I3580"/>
      <c r="J3580"/>
      <c r="K3580"/>
      <c r="L3580"/>
      <c r="M3580"/>
      <c r="N3580"/>
      <c r="O3580"/>
      <c r="P3580" s="225"/>
      <c r="Q3580" s="225"/>
      <c r="R3580"/>
      <c r="S3580"/>
      <c r="T3580"/>
      <c r="U3580"/>
      <c r="V3580"/>
      <c r="W3580"/>
      <c r="X3580"/>
    </row>
    <row r="3581" spans="5:24" x14ac:dyDescent="0.3">
      <c r="E3581" s="173"/>
      <c r="F3581" s="173"/>
      <c r="I3581"/>
      <c r="J3581"/>
      <c r="K3581"/>
      <c r="L3581"/>
      <c r="M3581"/>
      <c r="N3581"/>
      <c r="O3581"/>
      <c r="P3581" s="225"/>
      <c r="Q3581" s="225"/>
      <c r="R3581"/>
      <c r="S3581"/>
      <c r="T3581"/>
      <c r="U3581"/>
      <c r="V3581"/>
      <c r="W3581"/>
      <c r="X3581"/>
    </row>
    <row r="3582" spans="5:24" x14ac:dyDescent="0.3">
      <c r="E3582" s="173"/>
      <c r="F3582" s="173"/>
      <c r="I3582"/>
      <c r="J3582"/>
      <c r="K3582"/>
      <c r="L3582"/>
      <c r="M3582"/>
      <c r="N3582"/>
      <c r="O3582"/>
      <c r="P3582" s="225"/>
      <c r="Q3582" s="225"/>
      <c r="R3582"/>
      <c r="S3582"/>
      <c r="T3582"/>
      <c r="U3582"/>
      <c r="V3582"/>
      <c r="W3582"/>
      <c r="X3582"/>
    </row>
    <row r="3583" spans="5:24" x14ac:dyDescent="0.3">
      <c r="E3583" s="173"/>
      <c r="F3583" s="173"/>
      <c r="I3583"/>
      <c r="J3583"/>
      <c r="K3583"/>
      <c r="L3583"/>
      <c r="M3583"/>
      <c r="N3583"/>
      <c r="O3583"/>
      <c r="P3583" s="225"/>
      <c r="Q3583" s="225"/>
      <c r="R3583"/>
      <c r="S3583"/>
      <c r="T3583"/>
      <c r="U3583"/>
      <c r="V3583"/>
      <c r="W3583"/>
      <c r="X3583"/>
    </row>
    <row r="3584" spans="5:24" x14ac:dyDescent="0.3">
      <c r="E3584" s="173"/>
      <c r="F3584" s="173"/>
      <c r="I3584"/>
      <c r="J3584"/>
      <c r="K3584"/>
      <c r="L3584"/>
      <c r="M3584"/>
      <c r="N3584"/>
      <c r="O3584"/>
      <c r="P3584" s="225"/>
      <c r="Q3584" s="225"/>
      <c r="R3584"/>
      <c r="S3584"/>
      <c r="T3584"/>
      <c r="U3584"/>
      <c r="V3584"/>
      <c r="W3584"/>
      <c r="X3584"/>
    </row>
    <row r="3585" spans="5:24" x14ac:dyDescent="0.3">
      <c r="E3585" s="173"/>
      <c r="F3585" s="173"/>
      <c r="I3585"/>
      <c r="J3585"/>
      <c r="K3585"/>
      <c r="L3585"/>
      <c r="M3585"/>
      <c r="N3585"/>
      <c r="O3585"/>
      <c r="P3585" s="225"/>
      <c r="Q3585" s="225"/>
      <c r="R3585"/>
      <c r="S3585"/>
      <c r="T3585"/>
      <c r="U3585"/>
      <c r="V3585"/>
      <c r="W3585"/>
      <c r="X3585"/>
    </row>
    <row r="3586" spans="5:24" x14ac:dyDescent="0.3">
      <c r="E3586" s="173"/>
      <c r="F3586" s="173"/>
      <c r="I3586"/>
      <c r="J3586"/>
      <c r="K3586"/>
      <c r="L3586"/>
      <c r="M3586"/>
      <c r="N3586"/>
      <c r="O3586"/>
      <c r="P3586" s="225"/>
      <c r="Q3586" s="225"/>
      <c r="R3586"/>
      <c r="S3586"/>
      <c r="T3586"/>
      <c r="U3586"/>
      <c r="V3586"/>
      <c r="W3586"/>
      <c r="X3586"/>
    </row>
    <row r="3587" spans="5:24" x14ac:dyDescent="0.3">
      <c r="E3587" s="173"/>
      <c r="F3587" s="173"/>
      <c r="I3587"/>
      <c r="J3587"/>
      <c r="K3587"/>
      <c r="L3587"/>
      <c r="M3587"/>
      <c r="N3587"/>
      <c r="O3587"/>
      <c r="P3587" s="225"/>
      <c r="Q3587" s="225"/>
      <c r="R3587"/>
      <c r="S3587"/>
      <c r="T3587"/>
      <c r="U3587"/>
      <c r="V3587"/>
      <c r="W3587"/>
      <c r="X3587"/>
    </row>
    <row r="3588" spans="5:24" x14ac:dyDescent="0.3">
      <c r="E3588" s="173"/>
      <c r="F3588" s="173"/>
      <c r="I3588"/>
      <c r="J3588"/>
      <c r="K3588"/>
      <c r="L3588"/>
      <c r="M3588"/>
      <c r="N3588"/>
      <c r="O3588"/>
      <c r="P3588" s="225"/>
      <c r="Q3588" s="225"/>
      <c r="R3588"/>
      <c r="S3588"/>
      <c r="T3588"/>
      <c r="U3588"/>
      <c r="V3588"/>
      <c r="W3588"/>
      <c r="X3588"/>
    </row>
    <row r="3589" spans="5:24" x14ac:dyDescent="0.3">
      <c r="E3589" s="173"/>
      <c r="F3589" s="173"/>
      <c r="I3589"/>
      <c r="J3589"/>
      <c r="K3589"/>
      <c r="L3589"/>
      <c r="M3589"/>
      <c r="N3589"/>
      <c r="O3589"/>
      <c r="P3589" s="225"/>
      <c r="Q3589" s="225"/>
      <c r="R3589"/>
      <c r="S3589"/>
      <c r="T3589"/>
      <c r="U3589"/>
      <c r="V3589"/>
      <c r="W3589"/>
      <c r="X3589"/>
    </row>
    <row r="3590" spans="5:24" x14ac:dyDescent="0.3">
      <c r="E3590" s="173"/>
      <c r="F3590" s="173"/>
      <c r="I3590"/>
      <c r="J3590"/>
      <c r="K3590"/>
      <c r="L3590"/>
      <c r="M3590"/>
      <c r="N3590"/>
      <c r="O3590"/>
      <c r="P3590" s="225"/>
      <c r="Q3590" s="225"/>
      <c r="R3590"/>
      <c r="S3590"/>
      <c r="T3590"/>
      <c r="U3590"/>
      <c r="V3590"/>
      <c r="W3590"/>
      <c r="X3590"/>
    </row>
    <row r="3591" spans="5:24" x14ac:dyDescent="0.3">
      <c r="E3591" s="173"/>
      <c r="F3591" s="173"/>
      <c r="I3591"/>
      <c r="J3591"/>
      <c r="K3591"/>
      <c r="L3591"/>
      <c r="M3591"/>
      <c r="N3591"/>
      <c r="O3591"/>
      <c r="P3591" s="225"/>
      <c r="Q3591" s="225"/>
      <c r="R3591"/>
      <c r="S3591"/>
      <c r="T3591"/>
      <c r="U3591"/>
      <c r="V3591"/>
      <c r="W3591"/>
      <c r="X3591"/>
    </row>
    <row r="3592" spans="5:24" x14ac:dyDescent="0.3">
      <c r="E3592" s="173"/>
      <c r="F3592" s="173"/>
      <c r="I3592"/>
      <c r="J3592"/>
      <c r="K3592"/>
      <c r="L3592"/>
      <c r="M3592"/>
      <c r="N3592"/>
      <c r="O3592"/>
      <c r="P3592" s="225"/>
      <c r="Q3592" s="225"/>
      <c r="R3592"/>
      <c r="S3592"/>
      <c r="T3592"/>
      <c r="U3592"/>
      <c r="V3592"/>
      <c r="W3592"/>
      <c r="X3592"/>
    </row>
    <row r="3593" spans="5:24" x14ac:dyDescent="0.3">
      <c r="E3593" s="173"/>
      <c r="F3593" s="173"/>
      <c r="I3593"/>
      <c r="J3593"/>
      <c r="K3593"/>
      <c r="L3593"/>
      <c r="M3593"/>
      <c r="N3593"/>
      <c r="O3593"/>
      <c r="P3593" s="225"/>
      <c r="Q3593" s="225"/>
      <c r="R3593"/>
      <c r="S3593"/>
      <c r="T3593"/>
      <c r="U3593"/>
      <c r="V3593"/>
      <c r="W3593"/>
      <c r="X3593"/>
    </row>
    <row r="3594" spans="5:24" x14ac:dyDescent="0.3">
      <c r="E3594" s="173"/>
      <c r="F3594" s="173"/>
      <c r="I3594"/>
      <c r="J3594"/>
      <c r="K3594"/>
      <c r="L3594"/>
      <c r="M3594"/>
      <c r="N3594"/>
      <c r="O3594"/>
      <c r="P3594" s="225"/>
      <c r="Q3594" s="225"/>
      <c r="R3594"/>
      <c r="S3594"/>
      <c r="T3594"/>
      <c r="U3594"/>
      <c r="V3594"/>
      <c r="W3594"/>
      <c r="X3594"/>
    </row>
    <row r="3595" spans="5:24" x14ac:dyDescent="0.3">
      <c r="E3595" s="173"/>
      <c r="F3595" s="173"/>
      <c r="I3595"/>
      <c r="J3595"/>
      <c r="K3595"/>
      <c r="L3595"/>
      <c r="M3595"/>
      <c r="N3595"/>
      <c r="O3595"/>
      <c r="P3595" s="225"/>
      <c r="Q3595" s="225"/>
      <c r="R3595"/>
      <c r="S3595"/>
      <c r="T3595"/>
      <c r="U3595"/>
      <c r="V3595"/>
      <c r="W3595"/>
      <c r="X3595"/>
    </row>
    <row r="3596" spans="5:24" x14ac:dyDescent="0.3">
      <c r="E3596" s="173"/>
      <c r="F3596" s="173"/>
      <c r="I3596"/>
      <c r="J3596"/>
      <c r="K3596"/>
      <c r="L3596"/>
      <c r="M3596"/>
      <c r="N3596"/>
      <c r="O3596"/>
      <c r="P3596" s="225"/>
      <c r="Q3596" s="225"/>
      <c r="R3596"/>
      <c r="S3596"/>
      <c r="T3596"/>
      <c r="U3596"/>
      <c r="V3596"/>
      <c r="W3596"/>
      <c r="X3596"/>
    </row>
    <row r="3597" spans="5:24" x14ac:dyDescent="0.3">
      <c r="E3597" s="173"/>
      <c r="F3597" s="173"/>
      <c r="I3597"/>
      <c r="J3597"/>
      <c r="K3597"/>
      <c r="L3597"/>
      <c r="M3597"/>
      <c r="N3597"/>
      <c r="O3597"/>
      <c r="P3597" s="225"/>
      <c r="Q3597" s="225"/>
      <c r="R3597"/>
      <c r="S3597"/>
      <c r="T3597"/>
      <c r="U3597"/>
      <c r="V3597"/>
      <c r="W3597"/>
      <c r="X3597"/>
    </row>
    <row r="3598" spans="5:24" x14ac:dyDescent="0.3">
      <c r="E3598" s="173"/>
      <c r="F3598" s="173"/>
      <c r="I3598"/>
      <c r="J3598"/>
      <c r="K3598"/>
      <c r="L3598"/>
      <c r="M3598"/>
      <c r="N3598"/>
      <c r="O3598"/>
      <c r="P3598" s="225"/>
      <c r="Q3598" s="225"/>
      <c r="R3598"/>
      <c r="S3598"/>
      <c r="T3598"/>
      <c r="U3598"/>
      <c r="V3598"/>
      <c r="W3598"/>
      <c r="X3598"/>
    </row>
    <row r="3599" spans="5:24" x14ac:dyDescent="0.3">
      <c r="E3599" s="173"/>
      <c r="F3599" s="173"/>
      <c r="I3599"/>
      <c r="J3599"/>
      <c r="K3599"/>
      <c r="L3599"/>
      <c r="M3599"/>
      <c r="N3599"/>
      <c r="O3599"/>
      <c r="P3599" s="225"/>
      <c r="Q3599" s="225"/>
      <c r="R3599"/>
      <c r="S3599"/>
      <c r="T3599"/>
      <c r="U3599"/>
      <c r="V3599"/>
      <c r="W3599"/>
      <c r="X3599"/>
    </row>
    <row r="3600" spans="5:24" x14ac:dyDescent="0.3">
      <c r="E3600" s="173"/>
      <c r="F3600" s="173"/>
      <c r="I3600"/>
      <c r="J3600"/>
      <c r="K3600"/>
      <c r="L3600"/>
      <c r="M3600"/>
      <c r="N3600"/>
      <c r="O3600"/>
      <c r="P3600" s="225"/>
      <c r="Q3600" s="225"/>
      <c r="R3600"/>
      <c r="S3600"/>
      <c r="T3600"/>
      <c r="U3600"/>
      <c r="V3600"/>
      <c r="W3600"/>
      <c r="X3600"/>
    </row>
    <row r="3601" spans="5:24" x14ac:dyDescent="0.3">
      <c r="E3601" s="173"/>
      <c r="F3601" s="173"/>
      <c r="I3601"/>
      <c r="J3601"/>
      <c r="K3601"/>
      <c r="L3601"/>
      <c r="M3601"/>
      <c r="N3601"/>
      <c r="O3601"/>
      <c r="P3601" s="225"/>
      <c r="Q3601" s="225"/>
      <c r="R3601"/>
      <c r="S3601"/>
      <c r="T3601"/>
      <c r="U3601"/>
      <c r="V3601"/>
      <c r="W3601"/>
      <c r="X3601"/>
    </row>
    <row r="3602" spans="5:24" x14ac:dyDescent="0.3">
      <c r="E3602" s="173"/>
      <c r="F3602" s="173"/>
      <c r="I3602"/>
      <c r="J3602"/>
      <c r="K3602"/>
      <c r="L3602"/>
      <c r="M3602"/>
      <c r="N3602"/>
      <c r="O3602"/>
      <c r="P3602" s="225"/>
      <c r="Q3602" s="225"/>
      <c r="R3602"/>
      <c r="S3602"/>
      <c r="T3602"/>
      <c r="U3602"/>
      <c r="V3602"/>
      <c r="W3602"/>
      <c r="X3602"/>
    </row>
    <row r="3603" spans="5:24" x14ac:dyDescent="0.3">
      <c r="E3603" s="173"/>
      <c r="F3603" s="173"/>
      <c r="I3603"/>
      <c r="J3603"/>
      <c r="K3603"/>
      <c r="L3603"/>
      <c r="M3603"/>
      <c r="N3603"/>
      <c r="O3603"/>
      <c r="P3603" s="225"/>
      <c r="Q3603" s="225"/>
      <c r="R3603"/>
      <c r="S3603"/>
      <c r="T3603"/>
      <c r="U3603"/>
      <c r="V3603"/>
      <c r="W3603"/>
      <c r="X3603"/>
    </row>
    <row r="3604" spans="5:24" x14ac:dyDescent="0.3">
      <c r="E3604" s="173"/>
      <c r="F3604" s="173"/>
      <c r="I3604"/>
      <c r="J3604"/>
      <c r="K3604"/>
      <c r="L3604"/>
      <c r="M3604"/>
      <c r="N3604"/>
      <c r="O3604"/>
      <c r="P3604" s="225"/>
      <c r="Q3604" s="225"/>
      <c r="R3604"/>
      <c r="S3604"/>
      <c r="T3604"/>
      <c r="U3604"/>
      <c r="V3604"/>
      <c r="W3604"/>
      <c r="X3604"/>
    </row>
    <row r="3605" spans="5:24" x14ac:dyDescent="0.3">
      <c r="E3605" s="173"/>
      <c r="F3605" s="173"/>
      <c r="I3605"/>
      <c r="J3605"/>
      <c r="K3605"/>
      <c r="L3605"/>
      <c r="M3605"/>
      <c r="N3605"/>
      <c r="O3605"/>
      <c r="P3605" s="225"/>
      <c r="Q3605" s="225"/>
      <c r="R3605"/>
      <c r="S3605"/>
      <c r="T3605"/>
      <c r="U3605"/>
      <c r="V3605"/>
      <c r="W3605"/>
      <c r="X3605"/>
    </row>
    <row r="3606" spans="5:24" x14ac:dyDescent="0.3">
      <c r="E3606" s="173"/>
      <c r="F3606" s="173"/>
      <c r="I3606"/>
      <c r="J3606"/>
      <c r="K3606"/>
      <c r="L3606"/>
      <c r="M3606"/>
      <c r="N3606"/>
      <c r="O3606"/>
      <c r="P3606" s="225"/>
      <c r="Q3606" s="225"/>
      <c r="R3606"/>
      <c r="S3606"/>
      <c r="T3606"/>
      <c r="U3606"/>
      <c r="V3606"/>
      <c r="W3606"/>
      <c r="X3606"/>
    </row>
    <row r="3607" spans="5:24" x14ac:dyDescent="0.3">
      <c r="E3607" s="173"/>
      <c r="F3607" s="173"/>
      <c r="I3607"/>
      <c r="J3607"/>
      <c r="K3607"/>
      <c r="L3607"/>
      <c r="M3607"/>
      <c r="N3607"/>
      <c r="O3607"/>
      <c r="P3607" s="225"/>
      <c r="Q3607" s="225"/>
      <c r="R3607"/>
      <c r="S3607"/>
      <c r="T3607"/>
      <c r="U3607"/>
      <c r="V3607"/>
      <c r="W3607"/>
      <c r="X3607"/>
    </row>
    <row r="3608" spans="5:24" x14ac:dyDescent="0.3">
      <c r="E3608" s="173"/>
      <c r="F3608" s="173"/>
      <c r="I3608"/>
      <c r="J3608"/>
      <c r="K3608"/>
      <c r="L3608"/>
      <c r="M3608"/>
      <c r="N3608"/>
      <c r="O3608"/>
      <c r="P3608" s="225"/>
      <c r="Q3608" s="225"/>
      <c r="R3608"/>
      <c r="S3608"/>
      <c r="T3608"/>
      <c r="U3608"/>
      <c r="V3608"/>
      <c r="W3608"/>
      <c r="X3608"/>
    </row>
    <row r="3609" spans="5:24" x14ac:dyDescent="0.3">
      <c r="E3609" s="173"/>
      <c r="F3609" s="173"/>
      <c r="I3609"/>
      <c r="J3609"/>
      <c r="K3609"/>
      <c r="L3609"/>
      <c r="M3609"/>
      <c r="N3609"/>
      <c r="O3609"/>
      <c r="P3609" s="225"/>
      <c r="Q3609" s="225"/>
      <c r="R3609"/>
      <c r="S3609"/>
      <c r="T3609"/>
      <c r="U3609"/>
      <c r="V3609"/>
      <c r="W3609"/>
      <c r="X3609"/>
    </row>
    <row r="3610" spans="5:24" x14ac:dyDescent="0.3">
      <c r="E3610" s="173"/>
      <c r="F3610" s="173"/>
      <c r="I3610"/>
      <c r="J3610"/>
      <c r="K3610"/>
      <c r="L3610"/>
      <c r="M3610"/>
      <c r="N3610"/>
      <c r="O3610"/>
      <c r="P3610" s="225"/>
      <c r="Q3610" s="225"/>
      <c r="R3610"/>
      <c r="S3610"/>
      <c r="T3610"/>
      <c r="U3610"/>
      <c r="V3610"/>
      <c r="W3610"/>
      <c r="X3610"/>
    </row>
    <row r="3611" spans="5:24" x14ac:dyDescent="0.3">
      <c r="E3611" s="173"/>
      <c r="F3611" s="173"/>
      <c r="I3611"/>
      <c r="J3611"/>
      <c r="K3611"/>
      <c r="L3611"/>
      <c r="M3611"/>
      <c r="N3611"/>
      <c r="O3611"/>
      <c r="P3611" s="225"/>
      <c r="Q3611" s="225"/>
      <c r="R3611"/>
      <c r="S3611"/>
      <c r="T3611"/>
      <c r="U3611"/>
      <c r="V3611"/>
      <c r="W3611"/>
      <c r="X3611"/>
    </row>
    <row r="3612" spans="5:24" x14ac:dyDescent="0.3">
      <c r="E3612" s="173"/>
      <c r="F3612" s="173"/>
      <c r="I3612"/>
      <c r="J3612"/>
      <c r="K3612"/>
      <c r="L3612"/>
      <c r="M3612"/>
      <c r="N3612"/>
      <c r="O3612"/>
      <c r="P3612" s="225"/>
      <c r="Q3612" s="225"/>
      <c r="R3612"/>
      <c r="S3612"/>
      <c r="T3612"/>
      <c r="U3612"/>
      <c r="V3612"/>
      <c r="W3612"/>
      <c r="X3612"/>
    </row>
    <row r="3613" spans="5:24" x14ac:dyDescent="0.3">
      <c r="E3613" s="173"/>
      <c r="F3613" s="173"/>
      <c r="I3613"/>
      <c r="J3613"/>
      <c r="K3613"/>
      <c r="L3613"/>
      <c r="M3613"/>
      <c r="N3613"/>
      <c r="O3613"/>
      <c r="P3613" s="225"/>
      <c r="Q3613" s="225"/>
      <c r="R3613"/>
      <c r="S3613"/>
      <c r="T3613"/>
      <c r="U3613"/>
      <c r="V3613"/>
      <c r="W3613"/>
      <c r="X3613"/>
    </row>
    <row r="3614" spans="5:24" x14ac:dyDescent="0.3">
      <c r="E3614" s="173"/>
      <c r="F3614" s="173"/>
      <c r="I3614"/>
      <c r="J3614"/>
      <c r="K3614"/>
      <c r="L3614"/>
      <c r="M3614"/>
      <c r="N3614"/>
      <c r="O3614"/>
      <c r="P3614" s="225"/>
      <c r="Q3614" s="225"/>
      <c r="R3614"/>
      <c r="S3614"/>
      <c r="T3614"/>
      <c r="U3614"/>
      <c r="V3614"/>
      <c r="W3614"/>
      <c r="X3614"/>
    </row>
    <row r="3615" spans="5:24" x14ac:dyDescent="0.3">
      <c r="E3615" s="173"/>
      <c r="F3615" s="173"/>
      <c r="I3615"/>
      <c r="J3615"/>
      <c r="K3615"/>
      <c r="L3615"/>
      <c r="M3615"/>
      <c r="N3615"/>
      <c r="O3615"/>
      <c r="P3615" s="225"/>
      <c r="Q3615" s="225"/>
      <c r="R3615"/>
      <c r="S3615"/>
      <c r="T3615"/>
      <c r="U3615"/>
      <c r="V3615"/>
      <c r="W3615"/>
      <c r="X3615"/>
    </row>
    <row r="3616" spans="5:24" x14ac:dyDescent="0.3">
      <c r="E3616" s="173"/>
      <c r="F3616" s="173"/>
      <c r="I3616"/>
      <c r="J3616"/>
      <c r="K3616"/>
      <c r="L3616"/>
      <c r="M3616"/>
      <c r="N3616"/>
      <c r="O3616"/>
      <c r="P3616" s="225"/>
      <c r="Q3616" s="225"/>
      <c r="R3616"/>
      <c r="S3616"/>
      <c r="T3616"/>
      <c r="U3616"/>
      <c r="V3616"/>
      <c r="W3616"/>
      <c r="X3616"/>
    </row>
    <row r="3617" spans="5:24" x14ac:dyDescent="0.3">
      <c r="E3617" s="173"/>
      <c r="F3617" s="173"/>
      <c r="I3617"/>
      <c r="J3617"/>
      <c r="K3617"/>
      <c r="L3617"/>
      <c r="M3617"/>
      <c r="N3617"/>
      <c r="O3617"/>
      <c r="P3617" s="225"/>
      <c r="Q3617" s="225"/>
      <c r="R3617"/>
      <c r="S3617"/>
      <c r="T3617"/>
      <c r="U3617"/>
      <c r="V3617"/>
      <c r="W3617"/>
      <c r="X3617"/>
    </row>
    <row r="3618" spans="5:24" x14ac:dyDescent="0.3">
      <c r="E3618" s="173"/>
      <c r="F3618" s="173"/>
      <c r="I3618"/>
      <c r="J3618"/>
      <c r="K3618"/>
      <c r="L3618"/>
      <c r="M3618"/>
      <c r="N3618"/>
      <c r="O3618"/>
      <c r="P3618" s="225"/>
      <c r="Q3618" s="225"/>
      <c r="R3618"/>
      <c r="S3618"/>
      <c r="T3618"/>
      <c r="U3618"/>
      <c r="V3618"/>
      <c r="W3618"/>
      <c r="X3618"/>
    </row>
    <row r="3619" spans="5:24" x14ac:dyDescent="0.3">
      <c r="E3619" s="173"/>
      <c r="F3619" s="173"/>
      <c r="I3619"/>
      <c r="J3619"/>
      <c r="K3619"/>
      <c r="L3619"/>
      <c r="M3619"/>
      <c r="N3619"/>
      <c r="O3619"/>
      <c r="P3619" s="225"/>
      <c r="Q3619" s="225"/>
      <c r="R3619"/>
      <c r="S3619"/>
      <c r="T3619"/>
      <c r="U3619"/>
      <c r="V3619"/>
      <c r="W3619"/>
      <c r="X3619"/>
    </row>
    <row r="3620" spans="5:24" x14ac:dyDescent="0.3">
      <c r="E3620" s="173"/>
      <c r="F3620" s="173"/>
      <c r="I3620"/>
      <c r="J3620"/>
      <c r="K3620"/>
      <c r="L3620"/>
      <c r="M3620"/>
      <c r="N3620"/>
      <c r="O3620"/>
      <c r="P3620" s="225"/>
      <c r="Q3620" s="225"/>
      <c r="R3620"/>
      <c r="S3620"/>
      <c r="T3620"/>
      <c r="U3620"/>
      <c r="V3620"/>
      <c r="W3620"/>
      <c r="X3620"/>
    </row>
    <row r="3621" spans="5:24" x14ac:dyDescent="0.3">
      <c r="E3621" s="173"/>
      <c r="F3621" s="173"/>
      <c r="I3621"/>
      <c r="J3621"/>
      <c r="K3621"/>
      <c r="L3621"/>
      <c r="M3621"/>
      <c r="N3621"/>
      <c r="O3621"/>
      <c r="P3621" s="225"/>
      <c r="Q3621" s="225"/>
      <c r="R3621"/>
      <c r="S3621"/>
      <c r="T3621"/>
      <c r="U3621"/>
      <c r="V3621"/>
      <c r="W3621"/>
      <c r="X3621"/>
    </row>
    <row r="3622" spans="5:24" x14ac:dyDescent="0.3">
      <c r="E3622" s="173"/>
      <c r="F3622" s="173"/>
      <c r="I3622"/>
      <c r="J3622"/>
      <c r="K3622"/>
      <c r="L3622"/>
      <c r="M3622"/>
      <c r="N3622"/>
      <c r="O3622"/>
      <c r="P3622" s="225"/>
      <c r="Q3622" s="225"/>
      <c r="R3622"/>
      <c r="S3622"/>
      <c r="T3622"/>
      <c r="U3622"/>
      <c r="V3622"/>
      <c r="W3622"/>
      <c r="X3622"/>
    </row>
    <row r="3623" spans="5:24" x14ac:dyDescent="0.3">
      <c r="E3623" s="173"/>
      <c r="F3623" s="173"/>
      <c r="I3623"/>
      <c r="J3623"/>
      <c r="K3623"/>
      <c r="L3623"/>
      <c r="M3623"/>
      <c r="N3623"/>
      <c r="O3623"/>
      <c r="P3623" s="225"/>
      <c r="Q3623" s="225"/>
      <c r="R3623"/>
      <c r="S3623"/>
      <c r="T3623"/>
      <c r="U3623"/>
      <c r="V3623"/>
      <c r="W3623"/>
      <c r="X3623"/>
    </row>
    <row r="3624" spans="5:24" x14ac:dyDescent="0.3">
      <c r="E3624" s="173"/>
      <c r="F3624" s="173"/>
      <c r="I3624"/>
      <c r="J3624"/>
      <c r="K3624"/>
      <c r="L3624"/>
      <c r="M3624"/>
      <c r="N3624"/>
      <c r="O3624"/>
      <c r="P3624" s="225"/>
      <c r="Q3624" s="225"/>
      <c r="R3624"/>
      <c r="S3624"/>
      <c r="T3624"/>
      <c r="U3624"/>
      <c r="V3624"/>
      <c r="W3624"/>
      <c r="X3624"/>
    </row>
    <row r="3625" spans="5:24" x14ac:dyDescent="0.3">
      <c r="E3625" s="173"/>
      <c r="F3625" s="173"/>
      <c r="I3625"/>
      <c r="J3625"/>
      <c r="K3625"/>
      <c r="L3625"/>
      <c r="M3625"/>
      <c r="N3625"/>
      <c r="O3625"/>
      <c r="P3625" s="225"/>
      <c r="Q3625" s="225"/>
      <c r="R3625"/>
      <c r="S3625"/>
      <c r="T3625"/>
      <c r="U3625"/>
      <c r="V3625"/>
      <c r="W3625"/>
      <c r="X3625"/>
    </row>
    <row r="3626" spans="5:24" x14ac:dyDescent="0.3">
      <c r="E3626" s="173"/>
      <c r="F3626" s="173"/>
      <c r="I3626"/>
      <c r="J3626"/>
      <c r="K3626"/>
      <c r="L3626"/>
      <c r="M3626"/>
      <c r="N3626"/>
      <c r="O3626"/>
      <c r="P3626" s="225"/>
      <c r="Q3626" s="225"/>
      <c r="R3626"/>
      <c r="S3626"/>
      <c r="T3626"/>
      <c r="U3626"/>
      <c r="V3626"/>
      <c r="W3626"/>
      <c r="X3626"/>
    </row>
    <row r="3627" spans="5:24" x14ac:dyDescent="0.3">
      <c r="E3627" s="173"/>
      <c r="F3627" s="173"/>
      <c r="I3627"/>
      <c r="J3627"/>
      <c r="K3627"/>
      <c r="L3627"/>
      <c r="M3627"/>
      <c r="N3627"/>
      <c r="O3627"/>
      <c r="P3627" s="225"/>
      <c r="Q3627" s="225"/>
      <c r="R3627"/>
      <c r="S3627"/>
      <c r="T3627"/>
      <c r="U3627"/>
      <c r="V3627"/>
      <c r="W3627"/>
      <c r="X3627"/>
    </row>
    <row r="3628" spans="5:24" x14ac:dyDescent="0.3">
      <c r="E3628" s="173"/>
      <c r="F3628" s="173"/>
      <c r="I3628"/>
      <c r="J3628"/>
      <c r="K3628"/>
      <c r="L3628"/>
      <c r="M3628"/>
      <c r="N3628"/>
      <c r="O3628"/>
      <c r="P3628" s="225"/>
      <c r="Q3628" s="225"/>
      <c r="R3628"/>
      <c r="S3628"/>
      <c r="T3628"/>
      <c r="U3628"/>
      <c r="V3628"/>
      <c r="W3628"/>
      <c r="X3628"/>
    </row>
    <row r="3629" spans="5:24" x14ac:dyDescent="0.3">
      <c r="E3629" s="173"/>
      <c r="F3629" s="173"/>
      <c r="I3629"/>
      <c r="J3629"/>
      <c r="K3629"/>
      <c r="L3629"/>
      <c r="M3629"/>
      <c r="N3629"/>
      <c r="O3629"/>
      <c r="P3629" s="225"/>
      <c r="Q3629" s="225"/>
      <c r="R3629"/>
      <c r="S3629"/>
      <c r="T3629"/>
      <c r="U3629"/>
      <c r="V3629"/>
      <c r="W3629"/>
      <c r="X3629"/>
    </row>
    <row r="3630" spans="5:24" x14ac:dyDescent="0.3">
      <c r="E3630" s="173"/>
      <c r="F3630" s="173"/>
      <c r="I3630"/>
      <c r="J3630"/>
      <c r="K3630"/>
      <c r="L3630"/>
      <c r="M3630"/>
      <c r="N3630"/>
      <c r="O3630"/>
      <c r="P3630" s="225"/>
      <c r="Q3630" s="225"/>
      <c r="R3630"/>
      <c r="S3630"/>
      <c r="T3630"/>
      <c r="U3630"/>
      <c r="V3630"/>
      <c r="W3630"/>
      <c r="X3630"/>
    </row>
    <row r="3631" spans="5:24" x14ac:dyDescent="0.3">
      <c r="E3631" s="173"/>
      <c r="F3631" s="173"/>
      <c r="I3631"/>
      <c r="J3631"/>
      <c r="K3631"/>
      <c r="L3631"/>
      <c r="M3631"/>
      <c r="N3631"/>
      <c r="O3631"/>
      <c r="P3631" s="225"/>
      <c r="Q3631" s="225"/>
      <c r="R3631"/>
      <c r="S3631"/>
      <c r="T3631"/>
      <c r="U3631"/>
      <c r="V3631"/>
      <c r="W3631"/>
      <c r="X3631"/>
    </row>
    <row r="3632" spans="5:24" x14ac:dyDescent="0.3">
      <c r="E3632" s="173"/>
      <c r="F3632" s="173"/>
      <c r="I3632"/>
      <c r="J3632"/>
      <c r="K3632"/>
      <c r="L3632"/>
      <c r="M3632"/>
      <c r="N3632"/>
      <c r="O3632"/>
      <c r="P3632" s="225"/>
      <c r="Q3632" s="225"/>
      <c r="R3632"/>
      <c r="S3632"/>
      <c r="T3632"/>
      <c r="U3632"/>
      <c r="V3632"/>
      <c r="W3632"/>
      <c r="X3632"/>
    </row>
    <row r="3633" spans="5:24" x14ac:dyDescent="0.3">
      <c r="E3633" s="173"/>
      <c r="F3633" s="173"/>
      <c r="I3633"/>
      <c r="J3633"/>
      <c r="K3633"/>
      <c r="L3633"/>
      <c r="M3633"/>
      <c r="N3633"/>
      <c r="O3633"/>
      <c r="P3633" s="225"/>
      <c r="Q3633" s="225"/>
      <c r="R3633"/>
      <c r="S3633"/>
      <c r="T3633"/>
      <c r="U3633"/>
      <c r="V3633"/>
      <c r="W3633"/>
      <c r="X3633"/>
    </row>
    <row r="3634" spans="5:24" x14ac:dyDescent="0.3">
      <c r="E3634" s="173"/>
      <c r="F3634" s="173"/>
      <c r="I3634"/>
      <c r="J3634"/>
      <c r="K3634"/>
      <c r="L3634"/>
      <c r="M3634"/>
      <c r="N3634"/>
      <c r="O3634"/>
      <c r="P3634" s="225"/>
      <c r="Q3634" s="225"/>
      <c r="R3634"/>
      <c r="S3634"/>
      <c r="T3634"/>
      <c r="U3634"/>
      <c r="V3634"/>
      <c r="W3634"/>
      <c r="X3634"/>
    </row>
    <row r="3635" spans="5:24" x14ac:dyDescent="0.3">
      <c r="E3635" s="173"/>
      <c r="F3635" s="173"/>
      <c r="I3635"/>
      <c r="J3635"/>
      <c r="K3635"/>
      <c r="L3635"/>
      <c r="M3635"/>
      <c r="N3635"/>
      <c r="O3635"/>
      <c r="P3635" s="225"/>
      <c r="Q3635" s="225"/>
      <c r="R3635"/>
      <c r="S3635"/>
      <c r="T3635"/>
      <c r="U3635"/>
      <c r="V3635"/>
      <c r="W3635"/>
      <c r="X3635"/>
    </row>
    <row r="3636" spans="5:24" x14ac:dyDescent="0.3">
      <c r="E3636" s="173"/>
      <c r="F3636" s="173"/>
      <c r="I3636"/>
      <c r="J3636"/>
      <c r="K3636"/>
      <c r="L3636"/>
      <c r="M3636"/>
      <c r="N3636"/>
      <c r="O3636"/>
      <c r="P3636" s="225"/>
      <c r="Q3636" s="225"/>
      <c r="R3636"/>
      <c r="S3636"/>
      <c r="T3636"/>
      <c r="U3636"/>
      <c r="V3636"/>
      <c r="W3636"/>
      <c r="X3636"/>
    </row>
    <row r="3637" spans="5:24" x14ac:dyDescent="0.3">
      <c r="E3637" s="173"/>
      <c r="F3637" s="173"/>
      <c r="I3637"/>
      <c r="J3637"/>
      <c r="K3637"/>
      <c r="L3637"/>
      <c r="M3637"/>
      <c r="N3637"/>
      <c r="O3637"/>
      <c r="P3637" s="225"/>
      <c r="Q3637" s="225"/>
      <c r="R3637"/>
      <c r="S3637"/>
      <c r="T3637"/>
      <c r="U3637"/>
      <c r="V3637"/>
      <c r="W3637"/>
      <c r="X3637"/>
    </row>
    <row r="3638" spans="5:24" x14ac:dyDescent="0.3">
      <c r="E3638" s="173"/>
      <c r="F3638" s="173"/>
      <c r="I3638"/>
      <c r="J3638"/>
      <c r="K3638"/>
      <c r="L3638"/>
      <c r="M3638"/>
      <c r="N3638"/>
      <c r="O3638"/>
      <c r="P3638" s="225"/>
      <c r="Q3638" s="225"/>
      <c r="R3638"/>
      <c r="S3638"/>
      <c r="T3638"/>
      <c r="U3638"/>
      <c r="V3638"/>
      <c r="W3638"/>
      <c r="X3638"/>
    </row>
    <row r="3639" spans="5:24" x14ac:dyDescent="0.3">
      <c r="E3639" s="173"/>
      <c r="F3639" s="173"/>
      <c r="I3639"/>
      <c r="J3639"/>
      <c r="K3639"/>
      <c r="L3639"/>
      <c r="M3639"/>
      <c r="N3639"/>
      <c r="O3639"/>
      <c r="P3639" s="225"/>
      <c r="Q3639" s="225"/>
      <c r="R3639"/>
      <c r="S3639"/>
      <c r="T3639"/>
      <c r="U3639"/>
      <c r="V3639"/>
      <c r="W3639"/>
      <c r="X3639"/>
    </row>
    <row r="3640" spans="5:24" x14ac:dyDescent="0.3">
      <c r="E3640" s="173"/>
      <c r="F3640" s="173"/>
      <c r="I3640"/>
      <c r="J3640"/>
      <c r="K3640"/>
      <c r="L3640"/>
      <c r="M3640"/>
      <c r="N3640"/>
      <c r="O3640"/>
      <c r="P3640" s="225"/>
      <c r="Q3640" s="225"/>
      <c r="R3640"/>
      <c r="S3640"/>
      <c r="T3640"/>
      <c r="U3640"/>
      <c r="V3640"/>
      <c r="W3640"/>
      <c r="X3640"/>
    </row>
    <row r="3641" spans="5:24" x14ac:dyDescent="0.3">
      <c r="E3641" s="173"/>
      <c r="F3641" s="173"/>
      <c r="I3641"/>
      <c r="J3641"/>
      <c r="K3641"/>
      <c r="L3641"/>
      <c r="M3641"/>
      <c r="N3641"/>
      <c r="O3641"/>
      <c r="P3641" s="225"/>
      <c r="Q3641" s="225"/>
      <c r="R3641"/>
      <c r="S3641"/>
      <c r="T3641"/>
      <c r="U3641"/>
      <c r="V3641"/>
      <c r="W3641"/>
      <c r="X3641"/>
    </row>
    <row r="3642" spans="5:24" x14ac:dyDescent="0.3">
      <c r="E3642" s="173"/>
      <c r="F3642" s="173"/>
      <c r="I3642"/>
      <c r="J3642"/>
      <c r="K3642"/>
      <c r="L3642"/>
      <c r="M3642"/>
      <c r="N3642"/>
      <c r="O3642"/>
      <c r="P3642" s="225"/>
      <c r="Q3642" s="225"/>
      <c r="R3642"/>
      <c r="S3642"/>
      <c r="T3642"/>
      <c r="U3642"/>
      <c r="V3642"/>
      <c r="W3642"/>
      <c r="X3642"/>
    </row>
    <row r="3643" spans="5:24" x14ac:dyDescent="0.3">
      <c r="E3643" s="173"/>
      <c r="F3643" s="173"/>
      <c r="I3643"/>
      <c r="J3643"/>
      <c r="K3643"/>
      <c r="L3643"/>
      <c r="M3643"/>
      <c r="N3643"/>
      <c r="O3643"/>
      <c r="P3643" s="225"/>
      <c r="Q3643" s="225"/>
      <c r="R3643"/>
      <c r="S3643"/>
      <c r="T3643"/>
      <c r="U3643"/>
      <c r="V3643"/>
      <c r="W3643"/>
      <c r="X3643"/>
    </row>
    <row r="3644" spans="5:24" x14ac:dyDescent="0.3">
      <c r="E3644" s="173"/>
      <c r="F3644" s="173"/>
      <c r="I3644"/>
      <c r="J3644"/>
      <c r="K3644"/>
      <c r="L3644"/>
      <c r="M3644"/>
      <c r="N3644"/>
      <c r="O3644"/>
      <c r="P3644" s="225"/>
      <c r="Q3644" s="225"/>
      <c r="R3644"/>
      <c r="S3644"/>
      <c r="T3644"/>
      <c r="U3644"/>
      <c r="V3644"/>
      <c r="W3644"/>
      <c r="X3644"/>
    </row>
    <row r="3645" spans="5:24" x14ac:dyDescent="0.3">
      <c r="E3645" s="173"/>
      <c r="F3645" s="173"/>
      <c r="I3645"/>
      <c r="J3645"/>
      <c r="K3645"/>
      <c r="L3645"/>
      <c r="M3645"/>
      <c r="N3645"/>
      <c r="O3645"/>
      <c r="P3645" s="225"/>
      <c r="Q3645" s="225"/>
      <c r="R3645"/>
      <c r="S3645"/>
      <c r="T3645"/>
      <c r="U3645"/>
      <c r="V3645"/>
      <c r="W3645"/>
      <c r="X3645"/>
    </row>
    <row r="3646" spans="5:24" x14ac:dyDescent="0.3">
      <c r="E3646" s="173"/>
      <c r="F3646" s="173"/>
      <c r="I3646"/>
      <c r="J3646"/>
      <c r="K3646"/>
      <c r="L3646"/>
      <c r="M3646"/>
      <c r="N3646"/>
      <c r="O3646"/>
      <c r="P3646" s="225"/>
      <c r="Q3646" s="225"/>
      <c r="R3646"/>
      <c r="S3646"/>
      <c r="T3646"/>
      <c r="U3646"/>
      <c r="V3646"/>
      <c r="W3646"/>
      <c r="X3646"/>
    </row>
    <row r="3647" spans="5:24" x14ac:dyDescent="0.3">
      <c r="E3647" s="173"/>
      <c r="F3647" s="173"/>
      <c r="I3647"/>
      <c r="J3647"/>
      <c r="K3647"/>
      <c r="L3647"/>
      <c r="M3647"/>
      <c r="N3647"/>
      <c r="O3647"/>
      <c r="P3647" s="225"/>
      <c r="Q3647" s="225"/>
      <c r="R3647"/>
      <c r="S3647"/>
      <c r="T3647"/>
      <c r="U3647"/>
      <c r="V3647"/>
      <c r="W3647"/>
      <c r="X3647"/>
    </row>
    <row r="3648" spans="5:24" x14ac:dyDescent="0.3">
      <c r="E3648" s="173"/>
      <c r="F3648" s="173"/>
      <c r="I3648"/>
      <c r="J3648"/>
      <c r="K3648"/>
      <c r="L3648"/>
      <c r="M3648"/>
      <c r="N3648"/>
      <c r="O3648"/>
      <c r="P3648" s="225"/>
      <c r="Q3648" s="225"/>
      <c r="R3648"/>
      <c r="S3648"/>
      <c r="T3648"/>
      <c r="U3648"/>
      <c r="V3648"/>
      <c r="W3648"/>
      <c r="X3648"/>
    </row>
    <row r="3649" spans="5:24" x14ac:dyDescent="0.3">
      <c r="E3649" s="173"/>
      <c r="F3649" s="173"/>
      <c r="I3649"/>
      <c r="J3649"/>
      <c r="K3649"/>
      <c r="L3649"/>
      <c r="M3649"/>
      <c r="N3649"/>
      <c r="O3649"/>
      <c r="P3649" s="225"/>
      <c r="Q3649" s="225"/>
      <c r="R3649"/>
      <c r="S3649"/>
      <c r="T3649"/>
      <c r="U3649"/>
      <c r="V3649"/>
      <c r="W3649"/>
      <c r="X3649"/>
    </row>
    <row r="3650" spans="5:24" x14ac:dyDescent="0.3">
      <c r="E3650" s="173"/>
      <c r="F3650" s="173"/>
      <c r="I3650"/>
      <c r="J3650"/>
      <c r="K3650"/>
      <c r="L3650"/>
      <c r="M3650"/>
      <c r="N3650"/>
      <c r="O3650"/>
      <c r="P3650" s="225"/>
      <c r="Q3650" s="225"/>
      <c r="R3650"/>
      <c r="S3650"/>
      <c r="T3650"/>
      <c r="U3650"/>
      <c r="V3650"/>
      <c r="W3650"/>
      <c r="X3650"/>
    </row>
    <row r="3651" spans="5:24" x14ac:dyDescent="0.3">
      <c r="E3651" s="173"/>
      <c r="F3651" s="173"/>
      <c r="I3651"/>
      <c r="J3651"/>
      <c r="K3651"/>
      <c r="L3651"/>
      <c r="M3651"/>
      <c r="N3651"/>
      <c r="O3651"/>
      <c r="P3651" s="225"/>
      <c r="Q3651" s="225"/>
      <c r="R3651"/>
      <c r="S3651"/>
      <c r="T3651"/>
      <c r="U3651"/>
      <c r="V3651"/>
      <c r="W3651"/>
      <c r="X3651"/>
    </row>
    <row r="3652" spans="5:24" x14ac:dyDescent="0.3">
      <c r="E3652" s="173"/>
      <c r="F3652" s="173"/>
      <c r="I3652"/>
      <c r="J3652"/>
      <c r="K3652"/>
      <c r="L3652"/>
      <c r="M3652"/>
      <c r="N3652"/>
      <c r="O3652"/>
      <c r="P3652" s="225"/>
      <c r="Q3652" s="225"/>
      <c r="R3652"/>
      <c r="S3652"/>
      <c r="T3652"/>
      <c r="U3652"/>
      <c r="V3652"/>
      <c r="W3652"/>
      <c r="X3652"/>
    </row>
    <row r="3653" spans="5:24" x14ac:dyDescent="0.3">
      <c r="E3653" s="173"/>
      <c r="F3653" s="173"/>
      <c r="I3653"/>
      <c r="J3653"/>
      <c r="K3653"/>
      <c r="L3653"/>
      <c r="M3653"/>
      <c r="N3653"/>
      <c r="O3653"/>
      <c r="P3653" s="225"/>
      <c r="Q3653" s="225"/>
      <c r="R3653"/>
      <c r="S3653"/>
      <c r="T3653"/>
      <c r="U3653"/>
      <c r="V3653"/>
      <c r="W3653"/>
      <c r="X3653"/>
    </row>
    <row r="3654" spans="5:24" x14ac:dyDescent="0.3">
      <c r="E3654" s="173"/>
      <c r="F3654" s="173"/>
      <c r="I3654"/>
      <c r="J3654"/>
      <c r="K3654"/>
      <c r="L3654"/>
      <c r="M3654"/>
      <c r="N3654"/>
      <c r="O3654"/>
      <c r="P3654" s="225"/>
      <c r="Q3654" s="225"/>
      <c r="R3654"/>
      <c r="S3654"/>
      <c r="T3654"/>
      <c r="U3654"/>
      <c r="V3654"/>
      <c r="W3654"/>
      <c r="X3654"/>
    </row>
    <row r="3655" spans="5:24" x14ac:dyDescent="0.3">
      <c r="E3655" s="173"/>
      <c r="F3655" s="173"/>
      <c r="I3655"/>
      <c r="J3655"/>
      <c r="K3655"/>
      <c r="L3655"/>
      <c r="M3655"/>
      <c r="N3655"/>
      <c r="O3655"/>
      <c r="P3655" s="225"/>
      <c r="Q3655" s="225"/>
      <c r="R3655"/>
      <c r="S3655"/>
      <c r="T3655"/>
      <c r="U3655"/>
      <c r="V3655"/>
      <c r="W3655"/>
      <c r="X3655"/>
    </row>
    <row r="3656" spans="5:24" x14ac:dyDescent="0.3">
      <c r="E3656" s="173"/>
      <c r="F3656" s="173"/>
      <c r="I3656"/>
      <c r="J3656"/>
      <c r="K3656"/>
      <c r="L3656"/>
      <c r="M3656"/>
      <c r="N3656"/>
      <c r="O3656"/>
      <c r="P3656" s="225"/>
      <c r="Q3656" s="225"/>
      <c r="R3656"/>
      <c r="S3656"/>
      <c r="T3656"/>
      <c r="U3656"/>
      <c r="V3656"/>
      <c r="W3656"/>
      <c r="X3656"/>
    </row>
    <row r="3657" spans="5:24" x14ac:dyDescent="0.3">
      <c r="E3657" s="173"/>
      <c r="F3657" s="173"/>
      <c r="I3657"/>
      <c r="J3657"/>
      <c r="K3657"/>
      <c r="L3657"/>
      <c r="M3657"/>
      <c r="N3657"/>
      <c r="O3657"/>
      <c r="P3657" s="225"/>
      <c r="Q3657" s="225"/>
      <c r="R3657"/>
      <c r="S3657"/>
      <c r="T3657"/>
      <c r="U3657"/>
      <c r="V3657"/>
      <c r="W3657"/>
      <c r="X3657"/>
    </row>
    <row r="3658" spans="5:24" x14ac:dyDescent="0.3">
      <c r="E3658" s="173"/>
      <c r="F3658" s="173"/>
      <c r="I3658"/>
      <c r="J3658"/>
      <c r="K3658"/>
      <c r="L3658"/>
      <c r="M3658"/>
      <c r="N3658"/>
      <c r="O3658"/>
      <c r="P3658" s="225"/>
      <c r="Q3658" s="225"/>
      <c r="R3658"/>
      <c r="S3658"/>
      <c r="T3658"/>
      <c r="U3658"/>
      <c r="V3658"/>
      <c r="W3658"/>
      <c r="X3658"/>
    </row>
    <row r="3659" spans="5:24" x14ac:dyDescent="0.3">
      <c r="E3659" s="173"/>
      <c r="F3659" s="173"/>
      <c r="I3659"/>
      <c r="J3659"/>
      <c r="K3659"/>
      <c r="L3659"/>
      <c r="M3659"/>
      <c r="N3659"/>
      <c r="O3659"/>
      <c r="P3659" s="225"/>
      <c r="Q3659" s="225"/>
      <c r="R3659"/>
      <c r="S3659"/>
      <c r="T3659"/>
      <c r="U3659"/>
      <c r="V3659"/>
      <c r="W3659"/>
      <c r="X3659"/>
    </row>
    <row r="3660" spans="5:24" x14ac:dyDescent="0.3">
      <c r="E3660" s="173"/>
      <c r="F3660" s="173"/>
      <c r="I3660"/>
      <c r="J3660"/>
      <c r="K3660"/>
      <c r="L3660"/>
      <c r="M3660"/>
      <c r="N3660"/>
      <c r="O3660"/>
      <c r="P3660" s="225"/>
      <c r="Q3660" s="225"/>
      <c r="R3660"/>
      <c r="S3660"/>
      <c r="T3660"/>
      <c r="U3660"/>
      <c r="V3660"/>
      <c r="W3660"/>
      <c r="X3660"/>
    </row>
    <row r="3661" spans="5:24" x14ac:dyDescent="0.3">
      <c r="E3661" s="173"/>
      <c r="F3661" s="173"/>
      <c r="I3661"/>
      <c r="J3661"/>
      <c r="K3661"/>
      <c r="L3661"/>
      <c r="M3661"/>
      <c r="N3661"/>
      <c r="O3661"/>
      <c r="P3661" s="225"/>
      <c r="Q3661" s="225"/>
      <c r="R3661"/>
      <c r="S3661"/>
      <c r="T3661"/>
      <c r="U3661"/>
      <c r="V3661"/>
      <c r="W3661"/>
      <c r="X3661"/>
    </row>
    <row r="3662" spans="5:24" x14ac:dyDescent="0.3">
      <c r="E3662" s="173"/>
      <c r="F3662" s="173"/>
      <c r="I3662"/>
      <c r="J3662"/>
      <c r="K3662"/>
      <c r="L3662"/>
      <c r="M3662"/>
      <c r="N3662"/>
      <c r="O3662"/>
      <c r="P3662" s="225"/>
      <c r="Q3662" s="225"/>
      <c r="R3662"/>
      <c r="S3662"/>
      <c r="T3662"/>
      <c r="U3662"/>
      <c r="V3662"/>
      <c r="W3662"/>
      <c r="X3662"/>
    </row>
    <row r="3663" spans="5:24" x14ac:dyDescent="0.3">
      <c r="E3663" s="173"/>
      <c r="F3663" s="173"/>
      <c r="I3663"/>
      <c r="J3663"/>
      <c r="K3663"/>
      <c r="L3663"/>
      <c r="M3663"/>
      <c r="N3663"/>
      <c r="O3663"/>
      <c r="P3663" s="225"/>
      <c r="Q3663" s="225"/>
      <c r="R3663"/>
      <c r="S3663"/>
      <c r="T3663"/>
      <c r="U3663"/>
      <c r="V3663"/>
      <c r="W3663"/>
      <c r="X3663"/>
    </row>
    <row r="3664" spans="5:24" x14ac:dyDescent="0.3">
      <c r="E3664" s="173"/>
      <c r="F3664" s="173"/>
      <c r="I3664"/>
      <c r="J3664"/>
      <c r="K3664"/>
      <c r="L3664"/>
      <c r="M3664"/>
      <c r="N3664"/>
      <c r="O3664"/>
      <c r="P3664" s="225"/>
      <c r="Q3664" s="225"/>
      <c r="R3664"/>
      <c r="S3664"/>
      <c r="T3664"/>
      <c r="U3664"/>
      <c r="V3664"/>
      <c r="W3664"/>
      <c r="X3664"/>
    </row>
    <row r="3665" spans="5:24" x14ac:dyDescent="0.3">
      <c r="E3665" s="173"/>
      <c r="F3665" s="173"/>
      <c r="I3665"/>
      <c r="J3665"/>
      <c r="K3665"/>
      <c r="L3665"/>
      <c r="M3665"/>
      <c r="N3665"/>
      <c r="O3665"/>
      <c r="P3665" s="225"/>
      <c r="Q3665" s="225"/>
      <c r="R3665"/>
      <c r="S3665"/>
      <c r="T3665"/>
      <c r="U3665"/>
      <c r="V3665"/>
      <c r="W3665"/>
      <c r="X3665"/>
    </row>
    <row r="3666" spans="5:24" x14ac:dyDescent="0.3">
      <c r="E3666" s="173"/>
      <c r="F3666" s="173"/>
      <c r="I3666"/>
      <c r="J3666"/>
      <c r="K3666"/>
      <c r="L3666"/>
      <c r="M3666"/>
      <c r="N3666"/>
      <c r="O3666"/>
      <c r="P3666" s="225"/>
      <c r="Q3666" s="225"/>
      <c r="R3666"/>
      <c r="S3666"/>
      <c r="T3666"/>
      <c r="U3666"/>
      <c r="V3666"/>
      <c r="W3666"/>
      <c r="X3666"/>
    </row>
    <row r="3667" spans="5:24" x14ac:dyDescent="0.3">
      <c r="E3667" s="173"/>
      <c r="F3667" s="173"/>
      <c r="I3667"/>
      <c r="J3667"/>
      <c r="K3667"/>
      <c r="L3667"/>
      <c r="M3667"/>
      <c r="N3667"/>
      <c r="O3667"/>
      <c r="P3667" s="225"/>
      <c r="Q3667" s="225"/>
      <c r="R3667"/>
      <c r="S3667"/>
      <c r="T3667"/>
      <c r="U3667"/>
      <c r="V3667"/>
      <c r="W3667"/>
      <c r="X3667"/>
    </row>
    <row r="3668" spans="5:24" x14ac:dyDescent="0.3">
      <c r="E3668" s="173"/>
      <c r="F3668" s="173"/>
      <c r="I3668"/>
      <c r="J3668"/>
      <c r="K3668"/>
      <c r="L3668"/>
      <c r="M3668"/>
      <c r="N3668"/>
      <c r="O3668"/>
      <c r="P3668" s="225"/>
      <c r="Q3668" s="225"/>
      <c r="R3668"/>
      <c r="S3668"/>
      <c r="T3668"/>
      <c r="U3668"/>
      <c r="V3668"/>
      <c r="W3668"/>
      <c r="X3668"/>
    </row>
    <row r="3669" spans="5:24" x14ac:dyDescent="0.3">
      <c r="E3669" s="173"/>
      <c r="F3669" s="173"/>
      <c r="I3669"/>
      <c r="J3669"/>
      <c r="K3669"/>
      <c r="L3669"/>
      <c r="M3669"/>
      <c r="N3669"/>
      <c r="O3669"/>
      <c r="P3669" s="225"/>
      <c r="Q3669" s="225"/>
      <c r="R3669"/>
      <c r="S3669"/>
      <c r="T3669"/>
      <c r="U3669"/>
      <c r="V3669"/>
      <c r="W3669"/>
      <c r="X3669"/>
    </row>
    <row r="3670" spans="5:24" x14ac:dyDescent="0.3">
      <c r="E3670" s="173"/>
      <c r="F3670" s="173"/>
      <c r="I3670"/>
      <c r="J3670"/>
      <c r="K3670"/>
      <c r="L3670"/>
      <c r="M3670"/>
      <c r="N3670"/>
      <c r="O3670"/>
      <c r="P3670" s="225"/>
      <c r="Q3670" s="225"/>
      <c r="R3670"/>
      <c r="S3670"/>
      <c r="T3670"/>
      <c r="U3670"/>
      <c r="V3670"/>
      <c r="W3670"/>
      <c r="X3670"/>
    </row>
    <row r="3671" spans="5:24" x14ac:dyDescent="0.3">
      <c r="E3671" s="173"/>
      <c r="F3671" s="173"/>
      <c r="I3671"/>
      <c r="J3671"/>
      <c r="K3671"/>
      <c r="L3671"/>
      <c r="M3671"/>
      <c r="N3671"/>
      <c r="O3671"/>
      <c r="P3671" s="225"/>
      <c r="Q3671" s="225"/>
      <c r="R3671"/>
      <c r="S3671"/>
      <c r="T3671"/>
      <c r="U3671"/>
      <c r="V3671"/>
      <c r="W3671"/>
      <c r="X3671"/>
    </row>
    <row r="3672" spans="5:24" x14ac:dyDescent="0.3">
      <c r="E3672" s="173"/>
      <c r="F3672" s="173"/>
      <c r="I3672"/>
      <c r="J3672"/>
      <c r="K3672"/>
      <c r="L3672"/>
      <c r="M3672"/>
      <c r="N3672"/>
      <c r="O3672"/>
      <c r="P3672" s="225"/>
      <c r="Q3672" s="225"/>
      <c r="R3672"/>
      <c r="S3672"/>
      <c r="T3672"/>
      <c r="U3672"/>
      <c r="V3672"/>
      <c r="W3672"/>
      <c r="X3672"/>
    </row>
    <row r="3673" spans="5:24" x14ac:dyDescent="0.3">
      <c r="E3673" s="173"/>
      <c r="F3673" s="173"/>
      <c r="I3673"/>
      <c r="J3673"/>
      <c r="K3673"/>
      <c r="L3673"/>
      <c r="M3673"/>
      <c r="N3673"/>
      <c r="O3673"/>
      <c r="P3673" s="225"/>
      <c r="Q3673" s="225"/>
      <c r="R3673"/>
      <c r="S3673"/>
      <c r="T3673"/>
      <c r="U3673"/>
      <c r="V3673"/>
      <c r="W3673"/>
      <c r="X3673"/>
    </row>
    <row r="3674" spans="5:24" x14ac:dyDescent="0.3">
      <c r="E3674" s="173"/>
      <c r="F3674" s="173"/>
      <c r="I3674"/>
      <c r="J3674"/>
      <c r="K3674"/>
      <c r="L3674"/>
      <c r="M3674"/>
      <c r="N3674"/>
      <c r="O3674"/>
      <c r="P3674" s="225"/>
      <c r="Q3674" s="225"/>
      <c r="R3674"/>
      <c r="S3674"/>
      <c r="T3674"/>
      <c r="U3674"/>
      <c r="V3674"/>
      <c r="W3674"/>
      <c r="X3674"/>
    </row>
    <row r="3675" spans="5:24" x14ac:dyDescent="0.3">
      <c r="E3675" s="173"/>
      <c r="F3675" s="173"/>
      <c r="I3675"/>
      <c r="J3675"/>
      <c r="K3675"/>
      <c r="L3675"/>
      <c r="M3675"/>
      <c r="N3675"/>
      <c r="O3675"/>
      <c r="P3675" s="225"/>
      <c r="Q3675" s="225"/>
      <c r="R3675"/>
      <c r="S3675"/>
      <c r="T3675"/>
      <c r="U3675"/>
      <c r="V3675"/>
      <c r="W3675"/>
      <c r="X3675"/>
    </row>
    <row r="3676" spans="5:24" x14ac:dyDescent="0.3">
      <c r="E3676" s="173"/>
      <c r="F3676" s="173"/>
      <c r="I3676"/>
      <c r="J3676"/>
      <c r="K3676"/>
      <c r="L3676"/>
      <c r="M3676"/>
      <c r="N3676"/>
      <c r="O3676"/>
      <c r="P3676" s="225"/>
      <c r="Q3676" s="225"/>
      <c r="R3676"/>
      <c r="S3676"/>
      <c r="T3676"/>
      <c r="U3676"/>
      <c r="V3676"/>
      <c r="W3676"/>
      <c r="X3676"/>
    </row>
    <row r="3677" spans="5:24" x14ac:dyDescent="0.3">
      <c r="E3677" s="173"/>
      <c r="F3677" s="173"/>
      <c r="I3677"/>
      <c r="J3677"/>
      <c r="K3677"/>
      <c r="L3677"/>
      <c r="M3677"/>
      <c r="N3677"/>
      <c r="O3677"/>
      <c r="P3677" s="225"/>
      <c r="Q3677" s="225"/>
      <c r="R3677"/>
      <c r="S3677"/>
      <c r="T3677"/>
      <c r="U3677"/>
      <c r="V3677"/>
      <c r="W3677"/>
      <c r="X3677"/>
    </row>
    <row r="3678" spans="5:24" x14ac:dyDescent="0.3">
      <c r="E3678" s="173"/>
      <c r="F3678" s="173"/>
      <c r="I3678"/>
      <c r="J3678"/>
      <c r="K3678"/>
      <c r="L3678"/>
      <c r="M3678"/>
      <c r="N3678"/>
      <c r="O3678"/>
      <c r="P3678" s="225"/>
      <c r="Q3678" s="225"/>
      <c r="R3678"/>
      <c r="S3678"/>
      <c r="T3678"/>
      <c r="U3678"/>
      <c r="V3678"/>
      <c r="W3678"/>
      <c r="X3678"/>
    </row>
    <row r="3679" spans="5:24" x14ac:dyDescent="0.3">
      <c r="E3679" s="173"/>
      <c r="F3679" s="173"/>
      <c r="I3679"/>
      <c r="J3679"/>
      <c r="K3679"/>
      <c r="L3679"/>
      <c r="M3679"/>
      <c r="N3679"/>
      <c r="O3679"/>
      <c r="P3679" s="225"/>
      <c r="Q3679" s="225"/>
      <c r="R3679"/>
      <c r="S3679"/>
      <c r="T3679"/>
      <c r="U3679"/>
      <c r="V3679"/>
      <c r="W3679"/>
      <c r="X3679"/>
    </row>
    <row r="3680" spans="5:24" x14ac:dyDescent="0.3">
      <c r="E3680" s="173"/>
      <c r="F3680" s="173"/>
      <c r="I3680"/>
      <c r="J3680"/>
      <c r="K3680"/>
      <c r="L3680"/>
      <c r="M3680"/>
      <c r="N3680"/>
      <c r="O3680"/>
      <c r="P3680" s="225"/>
      <c r="Q3680" s="225"/>
      <c r="R3680"/>
      <c r="S3680"/>
      <c r="T3680"/>
      <c r="U3680"/>
      <c r="V3680"/>
      <c r="W3680"/>
      <c r="X3680"/>
    </row>
    <row r="3681" spans="5:24" x14ac:dyDescent="0.3">
      <c r="E3681" s="173"/>
      <c r="F3681" s="173"/>
      <c r="I3681"/>
      <c r="J3681"/>
      <c r="K3681"/>
      <c r="L3681"/>
      <c r="M3681"/>
      <c r="N3681"/>
      <c r="O3681"/>
      <c r="P3681" s="225"/>
      <c r="Q3681" s="225"/>
      <c r="R3681"/>
      <c r="S3681"/>
      <c r="T3681"/>
      <c r="U3681"/>
      <c r="V3681"/>
      <c r="W3681"/>
      <c r="X3681"/>
    </row>
    <row r="3682" spans="5:24" x14ac:dyDescent="0.3">
      <c r="E3682" s="173"/>
      <c r="F3682" s="173"/>
      <c r="I3682"/>
      <c r="J3682"/>
      <c r="K3682"/>
      <c r="L3682"/>
      <c r="M3682"/>
      <c r="N3682"/>
      <c r="O3682"/>
      <c r="P3682" s="225"/>
      <c r="Q3682" s="225"/>
      <c r="R3682"/>
      <c r="S3682"/>
      <c r="T3682"/>
      <c r="U3682"/>
      <c r="V3682"/>
      <c r="W3682"/>
      <c r="X3682"/>
    </row>
    <row r="3683" spans="5:24" x14ac:dyDescent="0.3">
      <c r="E3683" s="173"/>
      <c r="F3683" s="173"/>
      <c r="I3683"/>
      <c r="J3683"/>
      <c r="K3683"/>
      <c r="L3683"/>
      <c r="M3683"/>
      <c r="N3683"/>
      <c r="O3683"/>
      <c r="P3683" s="225"/>
      <c r="Q3683" s="225"/>
      <c r="R3683"/>
      <c r="S3683"/>
      <c r="T3683"/>
      <c r="U3683"/>
      <c r="V3683"/>
      <c r="W3683"/>
      <c r="X3683"/>
    </row>
    <row r="3684" spans="5:24" x14ac:dyDescent="0.3">
      <c r="E3684" s="173"/>
      <c r="F3684" s="173"/>
      <c r="I3684"/>
      <c r="J3684"/>
      <c r="K3684"/>
      <c r="L3684"/>
      <c r="M3684"/>
      <c r="N3684"/>
      <c r="O3684"/>
      <c r="P3684" s="225"/>
      <c r="Q3684" s="225"/>
      <c r="R3684"/>
      <c r="S3684"/>
      <c r="T3684"/>
      <c r="U3684"/>
      <c r="V3684"/>
      <c r="W3684"/>
      <c r="X3684"/>
    </row>
    <row r="3685" spans="5:24" x14ac:dyDescent="0.3">
      <c r="E3685" s="173"/>
      <c r="F3685" s="173"/>
      <c r="I3685"/>
      <c r="J3685"/>
      <c r="K3685"/>
      <c r="L3685"/>
      <c r="M3685"/>
      <c r="N3685"/>
      <c r="O3685"/>
      <c r="P3685" s="225"/>
      <c r="Q3685" s="225"/>
      <c r="R3685"/>
      <c r="S3685"/>
      <c r="T3685"/>
      <c r="U3685"/>
      <c r="V3685"/>
      <c r="W3685"/>
      <c r="X3685"/>
    </row>
    <row r="3686" spans="5:24" x14ac:dyDescent="0.3">
      <c r="E3686" s="173"/>
      <c r="F3686" s="173"/>
      <c r="I3686"/>
      <c r="J3686"/>
      <c r="K3686"/>
      <c r="L3686"/>
      <c r="M3686"/>
      <c r="N3686"/>
      <c r="O3686"/>
      <c r="P3686" s="225"/>
      <c r="Q3686" s="225"/>
      <c r="R3686"/>
      <c r="S3686"/>
      <c r="T3686"/>
      <c r="U3686"/>
      <c r="V3686"/>
      <c r="W3686"/>
      <c r="X3686"/>
    </row>
    <row r="3687" spans="5:24" x14ac:dyDescent="0.3">
      <c r="E3687" s="173"/>
      <c r="F3687" s="173"/>
      <c r="I3687"/>
      <c r="J3687"/>
      <c r="K3687"/>
      <c r="L3687"/>
      <c r="M3687"/>
      <c r="N3687"/>
      <c r="O3687"/>
      <c r="P3687" s="225"/>
      <c r="Q3687" s="225"/>
      <c r="R3687"/>
      <c r="S3687"/>
      <c r="T3687"/>
      <c r="U3687"/>
      <c r="V3687"/>
      <c r="W3687"/>
      <c r="X3687"/>
    </row>
    <row r="3688" spans="5:24" x14ac:dyDescent="0.3">
      <c r="E3688" s="173"/>
      <c r="F3688" s="173"/>
      <c r="I3688"/>
      <c r="J3688"/>
      <c r="K3688"/>
      <c r="L3688"/>
      <c r="M3688"/>
      <c r="N3688"/>
      <c r="O3688"/>
      <c r="P3688" s="225"/>
      <c r="Q3688" s="225"/>
      <c r="R3688"/>
      <c r="S3688"/>
      <c r="T3688"/>
      <c r="U3688"/>
      <c r="V3688"/>
      <c r="W3688"/>
      <c r="X3688"/>
    </row>
    <row r="3689" spans="5:24" x14ac:dyDescent="0.3">
      <c r="E3689" s="173"/>
      <c r="F3689" s="173"/>
      <c r="I3689"/>
      <c r="J3689"/>
      <c r="K3689"/>
      <c r="L3689"/>
      <c r="M3689"/>
      <c r="N3689"/>
      <c r="O3689"/>
      <c r="P3689" s="225"/>
      <c r="Q3689" s="225"/>
      <c r="R3689"/>
      <c r="S3689"/>
      <c r="T3689"/>
      <c r="U3689"/>
      <c r="V3689"/>
      <c r="W3689"/>
      <c r="X3689"/>
    </row>
    <row r="3690" spans="5:24" x14ac:dyDescent="0.3">
      <c r="E3690" s="173"/>
      <c r="F3690" s="173"/>
      <c r="I3690"/>
      <c r="J3690"/>
      <c r="K3690"/>
      <c r="L3690"/>
      <c r="M3690"/>
      <c r="N3690"/>
      <c r="O3690"/>
      <c r="P3690" s="225"/>
      <c r="Q3690" s="225"/>
      <c r="R3690"/>
      <c r="S3690"/>
      <c r="T3690"/>
      <c r="U3690"/>
      <c r="V3690"/>
      <c r="W3690"/>
      <c r="X3690"/>
    </row>
    <row r="3691" spans="5:24" x14ac:dyDescent="0.3">
      <c r="E3691" s="173"/>
      <c r="F3691" s="173"/>
      <c r="I3691"/>
      <c r="J3691"/>
      <c r="K3691"/>
      <c r="L3691"/>
      <c r="M3691"/>
      <c r="N3691"/>
      <c r="O3691"/>
      <c r="P3691" s="225"/>
      <c r="Q3691" s="225"/>
      <c r="R3691"/>
      <c r="S3691"/>
      <c r="T3691"/>
      <c r="U3691"/>
      <c r="V3691"/>
      <c r="W3691"/>
      <c r="X3691"/>
    </row>
    <row r="3692" spans="5:24" x14ac:dyDescent="0.3">
      <c r="E3692" s="173"/>
      <c r="F3692" s="173"/>
      <c r="I3692"/>
      <c r="J3692"/>
      <c r="K3692"/>
      <c r="L3692"/>
      <c r="M3692"/>
      <c r="N3692"/>
      <c r="O3692"/>
      <c r="P3692" s="225"/>
      <c r="Q3692" s="225"/>
      <c r="R3692"/>
      <c r="S3692"/>
      <c r="T3692"/>
      <c r="U3692"/>
      <c r="V3692"/>
      <c r="W3692"/>
      <c r="X3692"/>
    </row>
    <row r="3693" spans="5:24" x14ac:dyDescent="0.3">
      <c r="E3693" s="173"/>
      <c r="F3693" s="173"/>
      <c r="I3693"/>
      <c r="J3693"/>
      <c r="K3693"/>
      <c r="L3693"/>
      <c r="M3693"/>
      <c r="N3693"/>
      <c r="O3693"/>
      <c r="P3693" s="225"/>
      <c r="Q3693" s="225"/>
      <c r="R3693"/>
      <c r="S3693"/>
      <c r="T3693"/>
      <c r="U3693"/>
      <c r="V3693"/>
      <c r="W3693"/>
      <c r="X3693"/>
    </row>
    <row r="3694" spans="5:24" x14ac:dyDescent="0.3">
      <c r="E3694" s="173"/>
      <c r="F3694" s="173"/>
      <c r="I3694"/>
      <c r="J3694"/>
      <c r="K3694"/>
      <c r="L3694"/>
      <c r="M3694"/>
      <c r="N3694"/>
      <c r="O3694"/>
      <c r="P3694" s="225"/>
      <c r="Q3694" s="225"/>
      <c r="R3694"/>
      <c r="S3694"/>
      <c r="T3694"/>
      <c r="U3694"/>
      <c r="V3694"/>
      <c r="W3694"/>
      <c r="X3694"/>
    </row>
    <row r="3695" spans="5:24" x14ac:dyDescent="0.3">
      <c r="E3695" s="173"/>
      <c r="F3695" s="173"/>
      <c r="I3695"/>
      <c r="J3695"/>
      <c r="K3695"/>
      <c r="L3695"/>
      <c r="M3695"/>
      <c r="N3695"/>
      <c r="O3695"/>
      <c r="P3695" s="225"/>
      <c r="Q3695" s="225"/>
      <c r="R3695"/>
      <c r="S3695"/>
      <c r="T3695"/>
      <c r="U3695"/>
      <c r="V3695"/>
      <c r="W3695"/>
      <c r="X3695"/>
    </row>
    <row r="3696" spans="5:24" x14ac:dyDescent="0.3">
      <c r="E3696" s="173"/>
      <c r="F3696" s="173"/>
      <c r="I3696"/>
      <c r="J3696"/>
      <c r="K3696"/>
      <c r="L3696"/>
      <c r="M3696"/>
      <c r="N3696"/>
      <c r="O3696"/>
      <c r="P3696" s="225"/>
      <c r="Q3696" s="225"/>
      <c r="R3696"/>
      <c r="S3696"/>
      <c r="T3696"/>
      <c r="U3696"/>
      <c r="V3696"/>
      <c r="W3696"/>
      <c r="X3696"/>
    </row>
    <row r="3697" spans="5:24" x14ac:dyDescent="0.3">
      <c r="E3697" s="173"/>
      <c r="F3697" s="173"/>
      <c r="I3697"/>
      <c r="J3697"/>
      <c r="K3697"/>
      <c r="L3697"/>
      <c r="M3697"/>
      <c r="N3697"/>
      <c r="O3697"/>
      <c r="P3697" s="225"/>
      <c r="Q3697" s="225"/>
      <c r="R3697"/>
      <c r="S3697"/>
      <c r="T3697"/>
      <c r="U3697"/>
      <c r="V3697"/>
      <c r="W3697"/>
      <c r="X3697"/>
    </row>
    <row r="3698" spans="5:24" x14ac:dyDescent="0.3">
      <c r="E3698" s="173"/>
      <c r="F3698" s="173"/>
      <c r="I3698"/>
      <c r="J3698"/>
      <c r="K3698"/>
      <c r="L3698"/>
      <c r="M3698"/>
      <c r="N3698"/>
      <c r="O3698"/>
      <c r="P3698" s="225"/>
      <c r="Q3698" s="225"/>
      <c r="R3698"/>
      <c r="S3698"/>
      <c r="T3698"/>
      <c r="U3698"/>
      <c r="V3698"/>
      <c r="W3698"/>
      <c r="X3698"/>
    </row>
    <row r="3699" spans="5:24" x14ac:dyDescent="0.3">
      <c r="E3699" s="173"/>
      <c r="F3699" s="173"/>
      <c r="I3699"/>
      <c r="J3699"/>
      <c r="K3699"/>
      <c r="L3699"/>
      <c r="M3699"/>
      <c r="N3699"/>
      <c r="O3699"/>
      <c r="P3699" s="225"/>
      <c r="Q3699" s="225"/>
      <c r="R3699"/>
      <c r="S3699"/>
      <c r="T3699"/>
      <c r="U3699"/>
      <c r="V3699"/>
      <c r="W3699"/>
      <c r="X3699"/>
    </row>
    <row r="3700" spans="5:24" x14ac:dyDescent="0.3">
      <c r="E3700" s="173"/>
      <c r="F3700" s="173"/>
      <c r="I3700"/>
      <c r="J3700"/>
      <c r="K3700"/>
      <c r="L3700"/>
      <c r="M3700"/>
      <c r="N3700"/>
      <c r="O3700"/>
      <c r="P3700" s="225"/>
      <c r="Q3700" s="225"/>
      <c r="R3700"/>
      <c r="S3700"/>
      <c r="T3700"/>
      <c r="U3700"/>
      <c r="V3700"/>
      <c r="W3700"/>
      <c r="X3700"/>
    </row>
    <row r="3701" spans="5:24" x14ac:dyDescent="0.3">
      <c r="E3701" s="173"/>
      <c r="F3701" s="173"/>
      <c r="I3701"/>
      <c r="J3701"/>
      <c r="K3701"/>
      <c r="L3701"/>
      <c r="M3701"/>
      <c r="N3701"/>
      <c r="O3701"/>
      <c r="P3701" s="225"/>
      <c r="Q3701" s="225"/>
      <c r="R3701"/>
      <c r="S3701"/>
      <c r="T3701"/>
      <c r="U3701"/>
      <c r="V3701"/>
      <c r="W3701"/>
      <c r="X3701"/>
    </row>
    <row r="3702" spans="5:24" x14ac:dyDescent="0.3">
      <c r="E3702" s="173"/>
      <c r="F3702" s="173"/>
      <c r="I3702"/>
      <c r="J3702"/>
      <c r="K3702"/>
      <c r="L3702"/>
      <c r="M3702"/>
      <c r="N3702"/>
      <c r="O3702"/>
      <c r="P3702" s="225"/>
      <c r="Q3702" s="225"/>
      <c r="R3702"/>
      <c r="S3702"/>
      <c r="T3702"/>
      <c r="U3702"/>
      <c r="V3702"/>
      <c r="W3702"/>
      <c r="X3702"/>
    </row>
    <row r="3703" spans="5:24" x14ac:dyDescent="0.3">
      <c r="E3703" s="173"/>
      <c r="F3703" s="173"/>
      <c r="I3703"/>
      <c r="J3703"/>
      <c r="K3703"/>
      <c r="L3703"/>
      <c r="M3703"/>
      <c r="N3703"/>
      <c r="O3703"/>
      <c r="P3703" s="225"/>
      <c r="Q3703" s="225"/>
      <c r="R3703"/>
      <c r="S3703"/>
      <c r="T3703"/>
      <c r="U3703"/>
      <c r="V3703"/>
      <c r="W3703"/>
      <c r="X3703"/>
    </row>
    <row r="3704" spans="5:24" x14ac:dyDescent="0.3">
      <c r="E3704" s="173"/>
      <c r="F3704" s="173"/>
      <c r="I3704"/>
      <c r="J3704"/>
      <c r="K3704"/>
      <c r="L3704"/>
      <c r="M3704"/>
      <c r="N3704"/>
      <c r="O3704"/>
      <c r="P3704" s="225"/>
      <c r="Q3704" s="225"/>
      <c r="R3704"/>
      <c r="S3704"/>
      <c r="T3704"/>
      <c r="U3704"/>
      <c r="V3704"/>
      <c r="W3704"/>
      <c r="X3704"/>
    </row>
    <row r="3705" spans="5:24" x14ac:dyDescent="0.3">
      <c r="E3705" s="173"/>
      <c r="F3705" s="173"/>
      <c r="I3705"/>
      <c r="J3705"/>
      <c r="K3705"/>
      <c r="L3705"/>
      <c r="M3705"/>
      <c r="N3705"/>
      <c r="O3705"/>
      <c r="P3705" s="225"/>
      <c r="Q3705" s="225"/>
      <c r="R3705"/>
      <c r="S3705"/>
      <c r="T3705"/>
      <c r="U3705"/>
      <c r="V3705"/>
      <c r="W3705"/>
      <c r="X3705"/>
    </row>
    <row r="3706" spans="5:24" x14ac:dyDescent="0.3">
      <c r="E3706" s="173"/>
      <c r="F3706" s="173"/>
      <c r="I3706"/>
      <c r="J3706"/>
      <c r="K3706"/>
      <c r="L3706"/>
      <c r="M3706"/>
      <c r="N3706"/>
      <c r="O3706"/>
      <c r="P3706" s="225"/>
      <c r="Q3706" s="225"/>
      <c r="R3706"/>
      <c r="S3706"/>
      <c r="T3706"/>
      <c r="U3706"/>
      <c r="V3706"/>
      <c r="W3706"/>
      <c r="X3706"/>
    </row>
    <row r="3707" spans="5:24" x14ac:dyDescent="0.3">
      <c r="E3707" s="173"/>
      <c r="F3707" s="173"/>
      <c r="I3707"/>
      <c r="J3707"/>
      <c r="K3707"/>
      <c r="L3707"/>
      <c r="M3707"/>
      <c r="N3707"/>
      <c r="O3707"/>
      <c r="P3707" s="225"/>
      <c r="Q3707" s="225"/>
      <c r="R3707"/>
      <c r="S3707"/>
      <c r="T3707"/>
      <c r="U3707"/>
      <c r="V3707"/>
      <c r="W3707"/>
      <c r="X3707"/>
    </row>
    <row r="3708" spans="5:24" x14ac:dyDescent="0.3">
      <c r="E3708" s="173"/>
      <c r="F3708" s="173"/>
      <c r="I3708"/>
      <c r="J3708"/>
      <c r="K3708"/>
      <c r="L3708"/>
      <c r="M3708"/>
      <c r="N3708"/>
      <c r="O3708"/>
      <c r="P3708" s="225"/>
      <c r="Q3708" s="225"/>
      <c r="R3708"/>
      <c r="S3708"/>
      <c r="T3708"/>
      <c r="U3708"/>
      <c r="V3708"/>
      <c r="W3708"/>
      <c r="X3708"/>
    </row>
    <row r="3709" spans="5:24" x14ac:dyDescent="0.3">
      <c r="E3709" s="173"/>
      <c r="F3709" s="173"/>
      <c r="I3709"/>
      <c r="J3709"/>
      <c r="K3709"/>
      <c r="L3709"/>
      <c r="M3709"/>
      <c r="N3709"/>
      <c r="O3709"/>
      <c r="P3709" s="225"/>
      <c r="Q3709" s="225"/>
      <c r="R3709"/>
      <c r="S3709"/>
      <c r="T3709"/>
      <c r="U3709"/>
      <c r="V3709"/>
      <c r="W3709"/>
      <c r="X3709"/>
    </row>
    <row r="3710" spans="5:24" x14ac:dyDescent="0.3">
      <c r="E3710" s="173"/>
      <c r="F3710" s="173"/>
      <c r="I3710"/>
      <c r="J3710"/>
      <c r="K3710"/>
      <c r="L3710"/>
      <c r="M3710"/>
      <c r="N3710"/>
      <c r="O3710"/>
      <c r="P3710" s="225"/>
      <c r="Q3710" s="225"/>
      <c r="R3710"/>
      <c r="S3710"/>
      <c r="T3710"/>
      <c r="U3710"/>
      <c r="V3710"/>
      <c r="W3710"/>
      <c r="X3710"/>
    </row>
    <row r="3711" spans="5:24" x14ac:dyDescent="0.3">
      <c r="E3711" s="173"/>
      <c r="F3711" s="173"/>
      <c r="I3711"/>
      <c r="J3711"/>
      <c r="K3711"/>
      <c r="L3711"/>
      <c r="M3711"/>
      <c r="N3711"/>
      <c r="O3711"/>
      <c r="P3711" s="225"/>
      <c r="Q3711" s="225"/>
      <c r="R3711"/>
      <c r="S3711"/>
      <c r="T3711"/>
      <c r="U3711"/>
      <c r="V3711"/>
      <c r="W3711"/>
      <c r="X3711"/>
    </row>
    <row r="3712" spans="5:24" x14ac:dyDescent="0.3">
      <c r="E3712" s="173"/>
      <c r="F3712" s="173"/>
      <c r="I3712"/>
      <c r="J3712"/>
      <c r="K3712"/>
      <c r="L3712"/>
      <c r="M3712"/>
      <c r="N3712"/>
      <c r="O3712"/>
      <c r="P3712" s="225"/>
      <c r="Q3712" s="225"/>
      <c r="R3712"/>
      <c r="S3712"/>
      <c r="T3712"/>
      <c r="U3712"/>
      <c r="V3712"/>
      <c r="W3712"/>
      <c r="X3712"/>
    </row>
    <row r="3713" spans="5:24" x14ac:dyDescent="0.3">
      <c r="E3713" s="173"/>
      <c r="F3713" s="173"/>
      <c r="I3713"/>
      <c r="J3713"/>
      <c r="K3713"/>
      <c r="L3713"/>
      <c r="M3713"/>
      <c r="N3713"/>
      <c r="O3713"/>
      <c r="P3713" s="225"/>
      <c r="Q3713" s="225"/>
      <c r="R3713"/>
      <c r="S3713"/>
      <c r="T3713"/>
      <c r="U3713"/>
      <c r="V3713"/>
      <c r="W3713"/>
      <c r="X3713"/>
    </row>
    <row r="3714" spans="5:24" x14ac:dyDescent="0.3">
      <c r="E3714" s="173"/>
      <c r="F3714" s="173"/>
      <c r="I3714"/>
      <c r="J3714"/>
      <c r="K3714"/>
      <c r="L3714"/>
      <c r="M3714"/>
      <c r="N3714"/>
      <c r="O3714"/>
      <c r="P3714" s="225"/>
      <c r="Q3714" s="225"/>
      <c r="R3714"/>
      <c r="S3714"/>
      <c r="T3714"/>
      <c r="U3714"/>
      <c r="V3714"/>
      <c r="W3714"/>
      <c r="X3714"/>
    </row>
    <row r="3715" spans="5:24" x14ac:dyDescent="0.3">
      <c r="E3715" s="173"/>
      <c r="F3715" s="173"/>
      <c r="I3715"/>
      <c r="J3715"/>
      <c r="K3715"/>
      <c r="L3715"/>
      <c r="M3715"/>
      <c r="N3715"/>
      <c r="O3715"/>
      <c r="P3715" s="225"/>
      <c r="Q3715" s="225"/>
      <c r="R3715"/>
      <c r="S3715"/>
      <c r="T3715"/>
      <c r="U3715"/>
      <c r="V3715"/>
      <c r="W3715"/>
      <c r="X3715"/>
    </row>
    <row r="3716" spans="5:24" x14ac:dyDescent="0.3">
      <c r="E3716" s="173"/>
      <c r="F3716" s="173"/>
      <c r="I3716"/>
      <c r="J3716"/>
      <c r="K3716"/>
      <c r="L3716"/>
      <c r="M3716"/>
      <c r="N3716"/>
      <c r="O3716"/>
      <c r="P3716" s="225"/>
      <c r="Q3716" s="225"/>
      <c r="R3716"/>
      <c r="S3716"/>
      <c r="T3716"/>
      <c r="U3716"/>
      <c r="V3716"/>
      <c r="W3716"/>
      <c r="X3716"/>
    </row>
    <row r="3717" spans="5:24" x14ac:dyDescent="0.3">
      <c r="E3717" s="173"/>
      <c r="F3717" s="173"/>
      <c r="I3717"/>
      <c r="J3717"/>
      <c r="K3717"/>
      <c r="L3717"/>
      <c r="M3717"/>
      <c r="N3717"/>
      <c r="O3717"/>
      <c r="P3717" s="225"/>
      <c r="Q3717" s="225"/>
      <c r="R3717"/>
      <c r="S3717"/>
      <c r="T3717"/>
      <c r="U3717"/>
      <c r="V3717"/>
      <c r="W3717"/>
      <c r="X3717"/>
    </row>
    <row r="3718" spans="5:24" x14ac:dyDescent="0.3">
      <c r="E3718" s="173"/>
      <c r="F3718" s="173"/>
      <c r="I3718"/>
      <c r="J3718"/>
      <c r="K3718"/>
      <c r="L3718"/>
      <c r="M3718"/>
      <c r="N3718"/>
      <c r="O3718"/>
      <c r="P3718" s="225"/>
      <c r="Q3718" s="225"/>
      <c r="R3718"/>
      <c r="S3718"/>
      <c r="T3718"/>
      <c r="U3718"/>
      <c r="V3718"/>
      <c r="W3718"/>
      <c r="X3718"/>
    </row>
    <row r="3719" spans="5:24" x14ac:dyDescent="0.3">
      <c r="E3719" s="173"/>
      <c r="F3719" s="173"/>
      <c r="I3719"/>
      <c r="J3719"/>
      <c r="K3719"/>
      <c r="L3719"/>
      <c r="M3719"/>
      <c r="N3719"/>
      <c r="O3719"/>
      <c r="P3719" s="225"/>
      <c r="Q3719" s="225"/>
      <c r="R3719"/>
      <c r="S3719"/>
      <c r="T3719"/>
      <c r="U3719"/>
      <c r="V3719"/>
      <c r="W3719"/>
      <c r="X3719"/>
    </row>
    <row r="3720" spans="5:24" x14ac:dyDescent="0.3">
      <c r="E3720" s="173"/>
      <c r="F3720" s="173"/>
      <c r="I3720"/>
      <c r="J3720"/>
      <c r="K3720"/>
      <c r="L3720"/>
      <c r="M3720"/>
      <c r="N3720"/>
      <c r="O3720"/>
      <c r="P3720" s="225"/>
      <c r="Q3720" s="225"/>
      <c r="R3720"/>
      <c r="S3720"/>
      <c r="T3720"/>
      <c r="U3720"/>
      <c r="V3720"/>
      <c r="W3720"/>
      <c r="X3720"/>
    </row>
    <row r="3721" spans="5:24" x14ac:dyDescent="0.3">
      <c r="E3721" s="173"/>
      <c r="F3721" s="173"/>
      <c r="I3721"/>
      <c r="J3721"/>
      <c r="K3721"/>
      <c r="L3721"/>
      <c r="M3721"/>
      <c r="N3721"/>
      <c r="O3721"/>
      <c r="P3721" s="225"/>
      <c r="Q3721" s="225"/>
      <c r="R3721"/>
      <c r="S3721"/>
      <c r="T3721"/>
      <c r="U3721"/>
      <c r="V3721"/>
      <c r="W3721"/>
      <c r="X3721"/>
    </row>
    <row r="3722" spans="5:24" x14ac:dyDescent="0.3">
      <c r="E3722" s="173"/>
      <c r="F3722" s="173"/>
      <c r="I3722"/>
      <c r="J3722"/>
      <c r="K3722"/>
      <c r="L3722"/>
      <c r="M3722"/>
      <c r="N3722"/>
      <c r="O3722"/>
      <c r="P3722" s="225"/>
      <c r="Q3722" s="225"/>
      <c r="R3722"/>
      <c r="S3722"/>
      <c r="T3722"/>
      <c r="U3722"/>
      <c r="V3722"/>
      <c r="W3722"/>
      <c r="X3722"/>
    </row>
    <row r="3723" spans="5:24" x14ac:dyDescent="0.3">
      <c r="E3723" s="173"/>
      <c r="F3723" s="173"/>
      <c r="I3723"/>
      <c r="J3723"/>
      <c r="K3723"/>
      <c r="L3723"/>
      <c r="M3723"/>
      <c r="N3723"/>
      <c r="O3723"/>
      <c r="P3723" s="225"/>
      <c r="Q3723" s="225"/>
      <c r="R3723"/>
      <c r="S3723"/>
      <c r="T3723"/>
      <c r="U3723"/>
      <c r="V3723"/>
      <c r="W3723"/>
      <c r="X3723"/>
    </row>
    <row r="3724" spans="5:24" x14ac:dyDescent="0.3">
      <c r="E3724" s="173"/>
      <c r="F3724" s="173"/>
      <c r="I3724"/>
      <c r="J3724"/>
      <c r="K3724"/>
      <c r="L3724"/>
      <c r="M3724"/>
      <c r="N3724"/>
      <c r="O3724"/>
      <c r="P3724" s="225"/>
      <c r="Q3724" s="225"/>
      <c r="R3724"/>
      <c r="S3724"/>
      <c r="T3724"/>
      <c r="U3724"/>
      <c r="V3724"/>
      <c r="W3724"/>
      <c r="X3724"/>
    </row>
    <row r="3725" spans="5:24" x14ac:dyDescent="0.3">
      <c r="E3725" s="173"/>
      <c r="F3725" s="173"/>
      <c r="I3725"/>
      <c r="J3725"/>
      <c r="K3725"/>
      <c r="L3725"/>
      <c r="M3725"/>
      <c r="N3725"/>
      <c r="O3725"/>
      <c r="P3725" s="225"/>
      <c r="Q3725" s="225"/>
      <c r="R3725"/>
      <c r="S3725"/>
      <c r="T3725"/>
      <c r="U3725"/>
      <c r="V3725"/>
      <c r="W3725"/>
      <c r="X3725"/>
    </row>
    <row r="3726" spans="5:24" x14ac:dyDescent="0.3">
      <c r="E3726" s="173"/>
      <c r="F3726" s="173"/>
      <c r="I3726"/>
      <c r="J3726"/>
      <c r="K3726"/>
      <c r="L3726"/>
      <c r="M3726"/>
      <c r="N3726"/>
      <c r="O3726"/>
      <c r="P3726" s="225"/>
      <c r="Q3726" s="225"/>
      <c r="R3726"/>
      <c r="S3726"/>
      <c r="T3726"/>
      <c r="U3726"/>
      <c r="V3726"/>
      <c r="W3726"/>
      <c r="X3726"/>
    </row>
    <row r="3727" spans="5:24" x14ac:dyDescent="0.3">
      <c r="E3727" s="173"/>
      <c r="F3727" s="173"/>
      <c r="I3727"/>
      <c r="J3727"/>
      <c r="K3727"/>
      <c r="L3727"/>
      <c r="M3727"/>
      <c r="N3727"/>
      <c r="O3727"/>
      <c r="P3727" s="225"/>
      <c r="Q3727" s="225"/>
      <c r="R3727"/>
      <c r="S3727"/>
      <c r="T3727"/>
      <c r="U3727"/>
      <c r="V3727"/>
      <c r="W3727"/>
      <c r="X3727"/>
    </row>
    <row r="3728" spans="5:24" x14ac:dyDescent="0.3">
      <c r="E3728" s="173"/>
      <c r="F3728" s="173"/>
      <c r="I3728"/>
      <c r="J3728"/>
      <c r="K3728"/>
      <c r="L3728"/>
      <c r="M3728"/>
      <c r="N3728"/>
      <c r="O3728"/>
      <c r="P3728" s="225"/>
      <c r="Q3728" s="225"/>
      <c r="R3728"/>
      <c r="S3728"/>
      <c r="T3728"/>
      <c r="U3728"/>
      <c r="V3728"/>
      <c r="W3728"/>
      <c r="X3728"/>
    </row>
    <row r="3729" spans="5:24" x14ac:dyDescent="0.3">
      <c r="E3729" s="173"/>
      <c r="F3729" s="173"/>
      <c r="I3729"/>
      <c r="J3729"/>
      <c r="K3729"/>
      <c r="L3729"/>
      <c r="M3729"/>
      <c r="N3729"/>
      <c r="O3729"/>
      <c r="P3729" s="225"/>
      <c r="Q3729" s="225"/>
      <c r="R3729"/>
      <c r="S3729"/>
      <c r="T3729"/>
      <c r="U3729"/>
      <c r="V3729"/>
      <c r="W3729"/>
      <c r="X3729"/>
    </row>
    <row r="3730" spans="5:24" x14ac:dyDescent="0.3">
      <c r="E3730" s="173"/>
      <c r="F3730" s="173"/>
      <c r="I3730"/>
      <c r="J3730"/>
      <c r="K3730"/>
      <c r="L3730"/>
      <c r="M3730"/>
      <c r="N3730"/>
      <c r="O3730"/>
      <c r="P3730" s="225"/>
      <c r="Q3730" s="225"/>
      <c r="R3730"/>
      <c r="S3730"/>
      <c r="T3730"/>
      <c r="U3730"/>
      <c r="V3730"/>
      <c r="W3730"/>
      <c r="X3730"/>
    </row>
    <row r="3731" spans="5:24" x14ac:dyDescent="0.3">
      <c r="E3731" s="173"/>
      <c r="F3731" s="173"/>
      <c r="I3731"/>
      <c r="J3731"/>
      <c r="K3731"/>
      <c r="L3731"/>
      <c r="M3731"/>
      <c r="N3731"/>
      <c r="O3731"/>
      <c r="P3731" s="225"/>
      <c r="Q3731" s="225"/>
      <c r="R3731"/>
      <c r="S3731"/>
      <c r="T3731"/>
      <c r="U3731"/>
      <c r="V3731"/>
      <c r="W3731"/>
      <c r="X3731"/>
    </row>
    <row r="3732" spans="5:24" x14ac:dyDescent="0.3">
      <c r="E3732" s="173"/>
      <c r="F3732" s="173"/>
      <c r="I3732"/>
      <c r="J3732"/>
      <c r="K3732"/>
      <c r="L3732"/>
      <c r="M3732"/>
      <c r="N3732"/>
      <c r="O3732"/>
      <c r="P3732" s="225"/>
      <c r="Q3732" s="225"/>
      <c r="R3732"/>
      <c r="S3732"/>
      <c r="T3732"/>
      <c r="U3732"/>
      <c r="V3732"/>
      <c r="W3732"/>
      <c r="X3732"/>
    </row>
    <row r="3733" spans="5:24" x14ac:dyDescent="0.3">
      <c r="E3733" s="173"/>
      <c r="F3733" s="173"/>
      <c r="I3733"/>
      <c r="J3733"/>
      <c r="K3733"/>
      <c r="L3733"/>
      <c r="M3733"/>
      <c r="N3733"/>
      <c r="O3733"/>
      <c r="P3733" s="225"/>
      <c r="Q3733" s="225"/>
      <c r="R3733"/>
      <c r="S3733"/>
      <c r="T3733"/>
      <c r="U3733"/>
      <c r="V3733"/>
      <c r="W3733"/>
      <c r="X3733"/>
    </row>
    <row r="3734" spans="5:24" x14ac:dyDescent="0.3">
      <c r="E3734" s="173"/>
      <c r="F3734" s="173"/>
      <c r="I3734"/>
      <c r="J3734"/>
      <c r="K3734"/>
      <c r="L3734"/>
      <c r="M3734"/>
      <c r="N3734"/>
      <c r="O3734"/>
      <c r="P3734" s="225"/>
      <c r="Q3734" s="225"/>
      <c r="R3734"/>
      <c r="S3734"/>
      <c r="T3734"/>
      <c r="U3734"/>
      <c r="V3734"/>
      <c r="W3734"/>
      <c r="X3734"/>
    </row>
    <row r="3735" spans="5:24" x14ac:dyDescent="0.3">
      <c r="E3735" s="173"/>
      <c r="F3735" s="173"/>
      <c r="I3735"/>
      <c r="J3735"/>
      <c r="K3735"/>
      <c r="L3735"/>
      <c r="M3735"/>
      <c r="N3735"/>
      <c r="O3735"/>
      <c r="P3735" s="225"/>
      <c r="Q3735" s="225"/>
      <c r="R3735"/>
      <c r="S3735"/>
      <c r="T3735"/>
      <c r="U3735"/>
      <c r="V3735"/>
      <c r="W3735"/>
      <c r="X3735"/>
    </row>
    <row r="3736" spans="5:24" x14ac:dyDescent="0.3">
      <c r="E3736" s="173"/>
      <c r="F3736" s="173"/>
      <c r="I3736"/>
      <c r="J3736"/>
      <c r="K3736"/>
      <c r="L3736"/>
      <c r="M3736"/>
      <c r="N3736"/>
      <c r="O3736"/>
      <c r="P3736" s="225"/>
      <c r="Q3736" s="225"/>
      <c r="R3736"/>
      <c r="S3736"/>
      <c r="T3736"/>
      <c r="U3736"/>
      <c r="V3736"/>
      <c r="W3736"/>
      <c r="X3736"/>
    </row>
    <row r="3737" spans="5:24" x14ac:dyDescent="0.3">
      <c r="E3737" s="173"/>
      <c r="F3737" s="173"/>
      <c r="I3737"/>
      <c r="J3737"/>
      <c r="K3737"/>
      <c r="L3737"/>
      <c r="M3737"/>
      <c r="N3737"/>
      <c r="O3737"/>
      <c r="P3737" s="225"/>
      <c r="Q3737" s="225"/>
      <c r="R3737"/>
      <c r="S3737"/>
      <c r="T3737"/>
      <c r="U3737"/>
      <c r="V3737"/>
      <c r="W3737"/>
      <c r="X3737"/>
    </row>
    <row r="3738" spans="5:24" x14ac:dyDescent="0.3">
      <c r="E3738" s="173"/>
      <c r="F3738" s="173"/>
      <c r="I3738"/>
      <c r="J3738"/>
      <c r="K3738"/>
      <c r="L3738"/>
      <c r="M3738"/>
      <c r="N3738"/>
      <c r="O3738"/>
      <c r="P3738" s="225"/>
      <c r="Q3738" s="225"/>
      <c r="R3738"/>
      <c r="S3738"/>
      <c r="T3738"/>
      <c r="U3738"/>
      <c r="V3738"/>
      <c r="W3738"/>
      <c r="X3738"/>
    </row>
    <row r="3739" spans="5:24" x14ac:dyDescent="0.3">
      <c r="E3739" s="173"/>
      <c r="F3739" s="173"/>
      <c r="I3739"/>
      <c r="J3739"/>
      <c r="K3739"/>
      <c r="L3739"/>
      <c r="M3739"/>
      <c r="N3739"/>
      <c r="O3739"/>
      <c r="P3739" s="225"/>
      <c r="Q3739" s="225"/>
      <c r="R3739"/>
      <c r="S3739"/>
      <c r="T3739"/>
      <c r="U3739"/>
      <c r="V3739"/>
      <c r="W3739"/>
      <c r="X3739"/>
    </row>
    <row r="3740" spans="5:24" x14ac:dyDescent="0.3">
      <c r="E3740" s="173"/>
      <c r="F3740" s="173"/>
      <c r="I3740"/>
      <c r="J3740"/>
      <c r="K3740"/>
      <c r="L3740"/>
      <c r="M3740"/>
      <c r="N3740"/>
      <c r="O3740"/>
      <c r="P3740" s="225"/>
      <c r="Q3740" s="225"/>
      <c r="R3740"/>
      <c r="S3740"/>
      <c r="T3740"/>
      <c r="U3740"/>
      <c r="V3740"/>
      <c r="W3740"/>
      <c r="X3740"/>
    </row>
    <row r="3741" spans="5:24" x14ac:dyDescent="0.3">
      <c r="E3741" s="173"/>
      <c r="F3741" s="173"/>
      <c r="I3741"/>
      <c r="J3741"/>
      <c r="K3741"/>
      <c r="L3741"/>
      <c r="M3741"/>
      <c r="N3741"/>
      <c r="O3741"/>
      <c r="P3741" s="225"/>
      <c r="Q3741" s="225"/>
      <c r="R3741"/>
      <c r="S3741"/>
      <c r="T3741"/>
      <c r="U3741"/>
      <c r="V3741"/>
      <c r="W3741"/>
      <c r="X3741"/>
    </row>
    <row r="3742" spans="5:24" x14ac:dyDescent="0.3">
      <c r="E3742" s="173"/>
      <c r="F3742" s="173"/>
      <c r="I3742"/>
      <c r="J3742"/>
      <c r="K3742"/>
      <c r="L3742"/>
      <c r="M3742"/>
      <c r="N3742"/>
      <c r="O3742"/>
      <c r="P3742" s="225"/>
      <c r="Q3742" s="225"/>
      <c r="R3742"/>
      <c r="S3742"/>
      <c r="T3742"/>
      <c r="U3742"/>
      <c r="V3742"/>
      <c r="W3742"/>
      <c r="X3742"/>
    </row>
    <row r="3743" spans="5:24" x14ac:dyDescent="0.3">
      <c r="E3743" s="173"/>
      <c r="F3743" s="173"/>
      <c r="I3743"/>
      <c r="J3743"/>
      <c r="K3743"/>
      <c r="L3743"/>
      <c r="M3743"/>
      <c r="N3743"/>
      <c r="O3743"/>
      <c r="P3743" s="225"/>
      <c r="Q3743" s="225"/>
      <c r="R3743"/>
      <c r="S3743"/>
      <c r="T3743"/>
      <c r="U3743"/>
      <c r="V3743"/>
      <c r="W3743"/>
      <c r="X3743"/>
    </row>
    <row r="3744" spans="5:24" x14ac:dyDescent="0.3">
      <c r="E3744" s="173"/>
      <c r="F3744" s="173"/>
      <c r="I3744"/>
      <c r="J3744"/>
      <c r="K3744"/>
      <c r="L3744"/>
      <c r="M3744"/>
      <c r="N3744"/>
      <c r="O3744"/>
      <c r="P3744" s="225"/>
      <c r="Q3744" s="225"/>
      <c r="R3744"/>
      <c r="S3744"/>
      <c r="T3744"/>
      <c r="U3744"/>
      <c r="V3744"/>
      <c r="W3744"/>
      <c r="X3744"/>
    </row>
    <row r="3745" spans="5:24" x14ac:dyDescent="0.3">
      <c r="E3745" s="173"/>
      <c r="F3745" s="173"/>
      <c r="I3745"/>
      <c r="J3745"/>
      <c r="K3745"/>
      <c r="L3745"/>
      <c r="M3745"/>
      <c r="N3745"/>
      <c r="O3745"/>
      <c r="P3745" s="225"/>
      <c r="Q3745" s="225"/>
      <c r="R3745"/>
      <c r="S3745"/>
      <c r="T3745"/>
      <c r="U3745"/>
      <c r="V3745"/>
      <c r="W3745"/>
      <c r="X3745"/>
    </row>
    <row r="3746" spans="5:24" x14ac:dyDescent="0.3">
      <c r="E3746" s="173"/>
      <c r="F3746" s="173"/>
      <c r="I3746"/>
      <c r="J3746"/>
      <c r="K3746"/>
      <c r="L3746"/>
      <c r="M3746"/>
      <c r="N3746"/>
      <c r="O3746"/>
      <c r="P3746" s="225"/>
      <c r="Q3746" s="225"/>
      <c r="R3746"/>
      <c r="S3746"/>
      <c r="T3746"/>
      <c r="U3746"/>
      <c r="V3746"/>
      <c r="W3746"/>
      <c r="X3746"/>
    </row>
    <row r="3747" spans="5:24" x14ac:dyDescent="0.3">
      <c r="E3747" s="173"/>
      <c r="F3747" s="173"/>
      <c r="I3747"/>
      <c r="J3747"/>
      <c r="K3747"/>
      <c r="L3747"/>
      <c r="M3747"/>
      <c r="N3747"/>
      <c r="O3747"/>
      <c r="P3747" s="225"/>
      <c r="Q3747" s="225"/>
      <c r="R3747"/>
      <c r="S3747"/>
      <c r="T3747"/>
      <c r="U3747"/>
      <c r="V3747"/>
      <c r="W3747"/>
      <c r="X3747"/>
    </row>
    <row r="3748" spans="5:24" x14ac:dyDescent="0.3">
      <c r="E3748" s="173"/>
      <c r="F3748" s="173"/>
      <c r="I3748"/>
      <c r="J3748"/>
      <c r="K3748"/>
      <c r="L3748"/>
      <c r="M3748"/>
      <c r="N3748"/>
      <c r="O3748"/>
      <c r="P3748" s="225"/>
      <c r="Q3748" s="225"/>
      <c r="R3748"/>
      <c r="S3748"/>
      <c r="T3748"/>
      <c r="U3748"/>
      <c r="V3748"/>
      <c r="W3748"/>
      <c r="X3748"/>
    </row>
    <row r="3749" spans="5:24" x14ac:dyDescent="0.3">
      <c r="E3749" s="173"/>
      <c r="F3749" s="173"/>
      <c r="I3749"/>
      <c r="J3749"/>
      <c r="K3749"/>
      <c r="L3749"/>
      <c r="M3749"/>
      <c r="N3749"/>
      <c r="O3749"/>
      <c r="P3749" s="225"/>
      <c r="Q3749" s="225"/>
      <c r="R3749"/>
      <c r="S3749"/>
      <c r="T3749"/>
      <c r="U3749"/>
      <c r="V3749"/>
      <c r="W3749"/>
      <c r="X3749"/>
    </row>
    <row r="3750" spans="5:24" x14ac:dyDescent="0.3">
      <c r="E3750" s="173"/>
      <c r="F3750" s="173"/>
      <c r="I3750"/>
      <c r="J3750"/>
      <c r="K3750"/>
      <c r="L3750"/>
      <c r="M3750"/>
      <c r="N3750"/>
      <c r="O3750"/>
      <c r="P3750" s="225"/>
      <c r="Q3750" s="225"/>
      <c r="R3750"/>
      <c r="S3750"/>
      <c r="T3750"/>
      <c r="U3750"/>
      <c r="V3750"/>
      <c r="W3750"/>
      <c r="X3750"/>
    </row>
    <row r="3751" spans="5:24" x14ac:dyDescent="0.3">
      <c r="E3751" s="173"/>
      <c r="F3751" s="173"/>
      <c r="I3751"/>
      <c r="J3751"/>
      <c r="K3751"/>
      <c r="L3751"/>
      <c r="M3751"/>
      <c r="N3751"/>
      <c r="O3751"/>
      <c r="P3751" s="225"/>
      <c r="Q3751" s="225"/>
      <c r="R3751"/>
      <c r="S3751"/>
      <c r="T3751"/>
      <c r="U3751"/>
      <c r="V3751"/>
      <c r="W3751"/>
      <c r="X3751"/>
    </row>
    <row r="3752" spans="5:24" x14ac:dyDescent="0.3">
      <c r="E3752" s="173"/>
      <c r="F3752" s="173"/>
      <c r="I3752"/>
      <c r="J3752"/>
      <c r="K3752"/>
      <c r="L3752"/>
      <c r="M3752"/>
      <c r="N3752"/>
      <c r="O3752"/>
      <c r="P3752" s="225"/>
      <c r="Q3752" s="225"/>
      <c r="R3752"/>
      <c r="S3752"/>
      <c r="T3752"/>
      <c r="U3752"/>
      <c r="V3752"/>
      <c r="W3752"/>
      <c r="X3752"/>
    </row>
    <row r="3753" spans="5:24" x14ac:dyDescent="0.3">
      <c r="E3753" s="173"/>
      <c r="F3753" s="173"/>
      <c r="I3753"/>
      <c r="J3753"/>
      <c r="K3753"/>
      <c r="L3753"/>
      <c r="M3753"/>
      <c r="N3753"/>
      <c r="O3753"/>
      <c r="P3753" s="225"/>
      <c r="Q3753" s="225"/>
      <c r="R3753"/>
      <c r="S3753"/>
      <c r="T3753"/>
      <c r="U3753"/>
      <c r="V3753"/>
      <c r="W3753"/>
      <c r="X3753"/>
    </row>
    <row r="3754" spans="5:24" x14ac:dyDescent="0.3">
      <c r="E3754" s="173"/>
      <c r="F3754" s="173"/>
      <c r="I3754"/>
      <c r="J3754"/>
      <c r="K3754"/>
      <c r="L3754"/>
      <c r="M3754"/>
      <c r="N3754"/>
      <c r="O3754"/>
      <c r="P3754" s="225"/>
      <c r="Q3754" s="225"/>
      <c r="R3754"/>
      <c r="S3754"/>
      <c r="T3754"/>
      <c r="U3754"/>
      <c r="V3754"/>
      <c r="W3754"/>
      <c r="X3754"/>
    </row>
    <row r="3755" spans="5:24" x14ac:dyDescent="0.3">
      <c r="E3755" s="173"/>
      <c r="F3755" s="173"/>
      <c r="I3755"/>
      <c r="J3755"/>
      <c r="K3755"/>
      <c r="L3755"/>
      <c r="M3755"/>
      <c r="N3755"/>
      <c r="O3755"/>
      <c r="P3755" s="225"/>
      <c r="Q3755" s="225"/>
      <c r="R3755"/>
      <c r="S3755"/>
      <c r="T3755"/>
      <c r="U3755"/>
      <c r="V3755"/>
      <c r="W3755"/>
      <c r="X3755"/>
    </row>
    <row r="3756" spans="5:24" x14ac:dyDescent="0.3">
      <c r="E3756" s="173"/>
      <c r="F3756" s="173"/>
      <c r="I3756"/>
      <c r="J3756"/>
      <c r="K3756"/>
      <c r="L3756"/>
      <c r="M3756"/>
      <c r="N3756"/>
      <c r="O3756"/>
      <c r="P3756" s="225"/>
      <c r="Q3756" s="225"/>
      <c r="R3756"/>
      <c r="S3756"/>
      <c r="T3756"/>
      <c r="U3756"/>
      <c r="V3756"/>
      <c r="W3756"/>
      <c r="X3756"/>
    </row>
    <row r="3757" spans="5:24" x14ac:dyDescent="0.3">
      <c r="E3757" s="173"/>
      <c r="F3757" s="173"/>
      <c r="I3757"/>
      <c r="J3757"/>
      <c r="K3757"/>
      <c r="L3757"/>
      <c r="M3757"/>
      <c r="N3757"/>
      <c r="O3757"/>
      <c r="P3757" s="225"/>
      <c r="Q3757" s="225"/>
      <c r="R3757"/>
      <c r="S3757"/>
      <c r="T3757"/>
      <c r="U3757"/>
      <c r="V3757"/>
      <c r="W3757"/>
      <c r="X3757"/>
    </row>
    <row r="3758" spans="5:24" x14ac:dyDescent="0.3">
      <c r="E3758" s="173"/>
      <c r="F3758" s="173"/>
      <c r="I3758"/>
      <c r="J3758"/>
      <c r="K3758"/>
      <c r="L3758"/>
      <c r="M3758"/>
      <c r="N3758"/>
      <c r="O3758"/>
      <c r="P3758" s="225"/>
      <c r="Q3758" s="225"/>
      <c r="R3758"/>
      <c r="S3758"/>
      <c r="T3758"/>
      <c r="U3758"/>
      <c r="V3758"/>
      <c r="W3758"/>
      <c r="X3758"/>
    </row>
    <row r="3759" spans="5:24" x14ac:dyDescent="0.3">
      <c r="E3759" s="173"/>
      <c r="F3759" s="173"/>
      <c r="I3759"/>
      <c r="J3759"/>
      <c r="K3759"/>
      <c r="L3759"/>
      <c r="M3759"/>
      <c r="N3759"/>
      <c r="O3759"/>
      <c r="P3759" s="225"/>
      <c r="Q3759" s="225"/>
      <c r="R3759"/>
      <c r="S3759"/>
      <c r="T3759"/>
      <c r="U3759"/>
      <c r="V3759"/>
      <c r="W3759"/>
      <c r="X3759"/>
    </row>
    <row r="3760" spans="5:24" x14ac:dyDescent="0.3">
      <c r="E3760" s="173"/>
      <c r="F3760" s="173"/>
      <c r="I3760"/>
      <c r="J3760"/>
      <c r="K3760"/>
      <c r="L3760"/>
      <c r="M3760"/>
      <c r="N3760"/>
      <c r="O3760"/>
      <c r="P3760" s="225"/>
      <c r="Q3760" s="225"/>
      <c r="R3760"/>
      <c r="S3760"/>
      <c r="T3760"/>
      <c r="U3760"/>
      <c r="V3760"/>
      <c r="W3760"/>
      <c r="X3760"/>
    </row>
    <row r="3761" spans="5:24" x14ac:dyDescent="0.3">
      <c r="E3761" s="173"/>
      <c r="F3761" s="173"/>
      <c r="I3761"/>
      <c r="J3761"/>
      <c r="K3761"/>
      <c r="L3761"/>
      <c r="M3761"/>
      <c r="N3761"/>
      <c r="O3761"/>
      <c r="P3761" s="225"/>
      <c r="Q3761" s="225"/>
      <c r="R3761"/>
      <c r="S3761"/>
      <c r="T3761"/>
      <c r="U3761"/>
      <c r="V3761"/>
      <c r="W3761"/>
      <c r="X3761"/>
    </row>
    <row r="3762" spans="5:24" x14ac:dyDescent="0.3">
      <c r="E3762" s="173"/>
      <c r="F3762" s="173"/>
      <c r="I3762"/>
      <c r="J3762"/>
      <c r="K3762"/>
      <c r="L3762"/>
      <c r="M3762"/>
      <c r="N3762"/>
      <c r="O3762"/>
      <c r="P3762" s="225"/>
      <c r="Q3762" s="225"/>
      <c r="R3762"/>
      <c r="S3762"/>
      <c r="T3762"/>
      <c r="U3762"/>
      <c r="V3762"/>
      <c r="W3762"/>
      <c r="X3762"/>
    </row>
    <row r="3763" spans="5:24" x14ac:dyDescent="0.3">
      <c r="E3763" s="173"/>
      <c r="F3763" s="173"/>
      <c r="I3763"/>
      <c r="J3763"/>
      <c r="K3763"/>
      <c r="L3763"/>
      <c r="M3763"/>
      <c r="N3763"/>
      <c r="O3763"/>
      <c r="P3763" s="225"/>
      <c r="Q3763" s="225"/>
      <c r="R3763"/>
      <c r="S3763"/>
      <c r="T3763"/>
      <c r="U3763"/>
      <c r="V3763"/>
      <c r="W3763"/>
      <c r="X3763"/>
    </row>
    <row r="3764" spans="5:24" x14ac:dyDescent="0.3">
      <c r="E3764" s="173"/>
      <c r="F3764" s="173"/>
      <c r="I3764"/>
      <c r="J3764"/>
      <c r="K3764"/>
      <c r="L3764"/>
      <c r="M3764"/>
      <c r="N3764"/>
      <c r="O3764"/>
      <c r="P3764" s="225"/>
      <c r="Q3764" s="225"/>
      <c r="R3764"/>
      <c r="S3764"/>
      <c r="T3764"/>
      <c r="U3764"/>
      <c r="V3764"/>
      <c r="W3764"/>
      <c r="X3764"/>
    </row>
    <row r="3765" spans="5:24" x14ac:dyDescent="0.3">
      <c r="E3765" s="173"/>
      <c r="F3765" s="173"/>
      <c r="I3765"/>
      <c r="J3765"/>
      <c r="K3765"/>
      <c r="L3765"/>
      <c r="M3765"/>
      <c r="N3765"/>
      <c r="O3765"/>
      <c r="P3765" s="225"/>
      <c r="Q3765" s="225"/>
      <c r="R3765"/>
      <c r="S3765"/>
      <c r="T3765"/>
      <c r="U3765"/>
      <c r="V3765"/>
      <c r="W3765"/>
      <c r="X3765"/>
    </row>
    <row r="3766" spans="5:24" x14ac:dyDescent="0.3">
      <c r="E3766" s="173"/>
      <c r="F3766" s="173"/>
      <c r="I3766"/>
      <c r="J3766"/>
      <c r="K3766"/>
      <c r="L3766"/>
      <c r="M3766"/>
      <c r="N3766"/>
      <c r="O3766"/>
      <c r="P3766" s="225"/>
      <c r="Q3766" s="225"/>
      <c r="R3766"/>
      <c r="S3766"/>
      <c r="T3766"/>
      <c r="U3766"/>
      <c r="V3766"/>
      <c r="W3766"/>
      <c r="X3766"/>
    </row>
    <row r="3767" spans="5:24" x14ac:dyDescent="0.3">
      <c r="E3767" s="173"/>
      <c r="F3767" s="173"/>
      <c r="I3767"/>
      <c r="J3767"/>
      <c r="K3767"/>
      <c r="L3767"/>
      <c r="M3767"/>
      <c r="N3767"/>
      <c r="O3767"/>
      <c r="P3767" s="225"/>
      <c r="Q3767" s="225"/>
      <c r="R3767"/>
      <c r="S3767"/>
      <c r="T3767"/>
      <c r="U3767"/>
      <c r="V3767"/>
      <c r="W3767"/>
      <c r="X3767"/>
    </row>
    <row r="3768" spans="5:24" x14ac:dyDescent="0.3">
      <c r="E3768" s="173"/>
      <c r="F3768" s="173"/>
      <c r="I3768"/>
      <c r="J3768"/>
      <c r="K3768"/>
      <c r="L3768"/>
      <c r="M3768"/>
      <c r="N3768"/>
      <c r="O3768"/>
      <c r="P3768" s="225"/>
      <c r="Q3768" s="225"/>
      <c r="R3768"/>
      <c r="S3768"/>
      <c r="T3768"/>
      <c r="U3768"/>
      <c r="V3768"/>
      <c r="W3768"/>
      <c r="X3768"/>
    </row>
    <row r="3769" spans="5:24" x14ac:dyDescent="0.3">
      <c r="E3769" s="173"/>
      <c r="F3769" s="173"/>
      <c r="I3769"/>
      <c r="J3769"/>
      <c r="K3769"/>
      <c r="L3769"/>
      <c r="M3769"/>
      <c r="N3769"/>
      <c r="O3769"/>
      <c r="P3769" s="225"/>
      <c r="Q3769" s="225"/>
      <c r="R3769"/>
      <c r="S3769"/>
      <c r="T3769"/>
      <c r="U3769"/>
      <c r="V3769"/>
      <c r="W3769"/>
      <c r="X3769"/>
    </row>
    <row r="3770" spans="5:24" x14ac:dyDescent="0.3">
      <c r="E3770" s="173"/>
      <c r="F3770" s="173"/>
      <c r="I3770"/>
      <c r="J3770"/>
      <c r="K3770"/>
      <c r="L3770"/>
      <c r="M3770"/>
      <c r="N3770"/>
      <c r="O3770"/>
      <c r="P3770" s="225"/>
      <c r="Q3770" s="225"/>
      <c r="R3770"/>
      <c r="S3770"/>
      <c r="T3770"/>
      <c r="U3770"/>
      <c r="V3770"/>
      <c r="W3770"/>
      <c r="X3770"/>
    </row>
    <row r="3771" spans="5:24" x14ac:dyDescent="0.3">
      <c r="E3771" s="173"/>
      <c r="F3771" s="173"/>
      <c r="I3771"/>
      <c r="J3771"/>
      <c r="K3771"/>
      <c r="L3771"/>
      <c r="M3771"/>
      <c r="N3771"/>
      <c r="O3771"/>
      <c r="P3771" s="225"/>
      <c r="Q3771" s="225"/>
      <c r="R3771"/>
      <c r="S3771"/>
      <c r="T3771"/>
      <c r="U3771"/>
      <c r="V3771"/>
      <c r="W3771"/>
      <c r="X3771"/>
    </row>
    <row r="3772" spans="5:24" x14ac:dyDescent="0.3">
      <c r="E3772" s="173"/>
      <c r="F3772" s="173"/>
      <c r="I3772"/>
      <c r="J3772"/>
      <c r="K3772"/>
      <c r="L3772"/>
      <c r="M3772"/>
      <c r="N3772"/>
      <c r="O3772"/>
      <c r="P3772" s="225"/>
      <c r="Q3772" s="225"/>
      <c r="R3772"/>
      <c r="S3772"/>
      <c r="T3772"/>
      <c r="U3772"/>
      <c r="V3772"/>
      <c r="W3772"/>
      <c r="X3772"/>
    </row>
    <row r="3773" spans="5:24" x14ac:dyDescent="0.3">
      <c r="E3773" s="173"/>
      <c r="F3773" s="173"/>
      <c r="I3773"/>
      <c r="J3773"/>
      <c r="K3773"/>
      <c r="L3773"/>
      <c r="M3773"/>
      <c r="N3773"/>
      <c r="O3773"/>
      <c r="P3773" s="225"/>
      <c r="Q3773" s="225"/>
      <c r="R3773"/>
      <c r="S3773"/>
      <c r="T3773"/>
      <c r="U3773"/>
      <c r="V3773"/>
      <c r="W3773"/>
      <c r="X3773"/>
    </row>
    <row r="3774" spans="5:24" x14ac:dyDescent="0.3">
      <c r="E3774" s="173"/>
      <c r="F3774" s="173"/>
      <c r="I3774"/>
      <c r="J3774"/>
      <c r="K3774"/>
      <c r="L3774"/>
      <c r="M3774"/>
      <c r="N3774"/>
      <c r="O3774"/>
      <c r="P3774" s="225"/>
      <c r="Q3774" s="225"/>
      <c r="R3774"/>
      <c r="S3774"/>
      <c r="T3774"/>
      <c r="U3774"/>
      <c r="V3774"/>
      <c r="W3774"/>
      <c r="X3774"/>
    </row>
    <row r="3775" spans="5:24" x14ac:dyDescent="0.3">
      <c r="E3775" s="173"/>
      <c r="F3775" s="173"/>
      <c r="I3775"/>
      <c r="J3775"/>
      <c r="K3775"/>
      <c r="L3775"/>
      <c r="M3775"/>
      <c r="N3775"/>
      <c r="O3775"/>
      <c r="P3775" s="225"/>
      <c r="Q3775" s="225"/>
      <c r="R3775"/>
      <c r="S3775"/>
      <c r="T3775"/>
      <c r="U3775"/>
      <c r="V3775"/>
      <c r="W3775"/>
      <c r="X3775"/>
    </row>
    <row r="3776" spans="5:24" x14ac:dyDescent="0.3">
      <c r="E3776" s="173"/>
      <c r="F3776" s="173"/>
      <c r="I3776"/>
      <c r="J3776"/>
      <c r="K3776"/>
      <c r="L3776"/>
      <c r="M3776"/>
      <c r="N3776"/>
      <c r="O3776"/>
      <c r="P3776" s="225"/>
      <c r="Q3776" s="225"/>
      <c r="R3776"/>
      <c r="S3776"/>
      <c r="T3776"/>
      <c r="U3776"/>
      <c r="V3776"/>
      <c r="W3776"/>
      <c r="X3776"/>
    </row>
    <row r="3777" spans="5:24" x14ac:dyDescent="0.3">
      <c r="E3777" s="173"/>
      <c r="F3777" s="173"/>
      <c r="I3777"/>
      <c r="J3777"/>
      <c r="K3777"/>
      <c r="L3777"/>
      <c r="M3777"/>
      <c r="N3777"/>
      <c r="O3777"/>
      <c r="P3777" s="225"/>
      <c r="Q3777" s="225"/>
      <c r="R3777"/>
      <c r="S3777"/>
      <c r="T3777"/>
      <c r="U3777"/>
      <c r="V3777"/>
      <c r="W3777"/>
      <c r="X3777"/>
    </row>
    <row r="3778" spans="5:24" x14ac:dyDescent="0.3">
      <c r="E3778" s="173"/>
      <c r="F3778" s="173"/>
      <c r="I3778"/>
      <c r="J3778"/>
      <c r="K3778"/>
      <c r="L3778"/>
      <c r="M3778"/>
      <c r="N3778"/>
      <c r="O3778"/>
      <c r="P3778" s="225"/>
      <c r="Q3778" s="225"/>
      <c r="R3778"/>
      <c r="S3778"/>
      <c r="T3778"/>
      <c r="U3778"/>
      <c r="V3778"/>
      <c r="W3778"/>
      <c r="X3778"/>
    </row>
    <row r="3779" spans="5:24" x14ac:dyDescent="0.3">
      <c r="E3779" s="173"/>
      <c r="F3779" s="173"/>
      <c r="I3779"/>
      <c r="J3779"/>
      <c r="K3779"/>
      <c r="L3779"/>
      <c r="M3779"/>
      <c r="N3779"/>
      <c r="O3779"/>
      <c r="P3779" s="225"/>
      <c r="Q3779" s="225"/>
      <c r="R3779"/>
      <c r="S3779"/>
      <c r="T3779"/>
      <c r="U3779"/>
      <c r="V3779"/>
      <c r="W3779"/>
      <c r="X3779"/>
    </row>
    <row r="3780" spans="5:24" x14ac:dyDescent="0.3">
      <c r="E3780" s="173"/>
      <c r="F3780" s="173"/>
      <c r="I3780"/>
      <c r="J3780"/>
      <c r="K3780"/>
      <c r="L3780"/>
      <c r="M3780"/>
      <c r="N3780"/>
      <c r="O3780"/>
      <c r="P3780" s="225"/>
      <c r="Q3780" s="225"/>
      <c r="R3780"/>
      <c r="S3780"/>
      <c r="T3780"/>
      <c r="U3780"/>
      <c r="V3780"/>
      <c r="W3780"/>
      <c r="X3780"/>
    </row>
    <row r="3781" spans="5:24" x14ac:dyDescent="0.3">
      <c r="E3781" s="173"/>
      <c r="F3781" s="173"/>
      <c r="I3781"/>
      <c r="J3781"/>
      <c r="K3781"/>
      <c r="L3781"/>
      <c r="M3781"/>
      <c r="N3781"/>
      <c r="O3781"/>
      <c r="P3781" s="225"/>
      <c r="Q3781" s="225"/>
      <c r="R3781"/>
      <c r="S3781"/>
      <c r="T3781"/>
      <c r="U3781"/>
      <c r="V3781"/>
      <c r="W3781"/>
      <c r="X3781"/>
    </row>
    <row r="3782" spans="5:24" x14ac:dyDescent="0.3">
      <c r="E3782" s="173"/>
      <c r="F3782" s="173"/>
      <c r="I3782"/>
      <c r="J3782"/>
      <c r="K3782"/>
      <c r="L3782"/>
      <c r="M3782"/>
      <c r="N3782"/>
      <c r="O3782"/>
      <c r="P3782" s="225"/>
      <c r="Q3782" s="225"/>
      <c r="R3782"/>
      <c r="S3782"/>
      <c r="T3782"/>
      <c r="U3782"/>
      <c r="V3782"/>
      <c r="W3782"/>
      <c r="X3782"/>
    </row>
    <row r="3783" spans="5:24" x14ac:dyDescent="0.3">
      <c r="E3783" s="173"/>
      <c r="F3783" s="173"/>
      <c r="I3783"/>
      <c r="J3783"/>
      <c r="K3783"/>
      <c r="L3783"/>
      <c r="M3783"/>
      <c r="N3783"/>
      <c r="O3783"/>
      <c r="P3783" s="225"/>
      <c r="Q3783" s="225"/>
      <c r="R3783"/>
      <c r="S3783"/>
      <c r="T3783"/>
      <c r="U3783"/>
      <c r="V3783"/>
      <c r="W3783"/>
      <c r="X3783"/>
    </row>
    <row r="3784" spans="5:24" x14ac:dyDescent="0.3">
      <c r="E3784" s="173"/>
      <c r="F3784" s="173"/>
      <c r="I3784"/>
      <c r="J3784"/>
      <c r="K3784"/>
      <c r="L3784"/>
      <c r="M3784"/>
      <c r="N3784"/>
      <c r="O3784"/>
      <c r="P3784" s="225"/>
      <c r="Q3784" s="225"/>
      <c r="R3784"/>
      <c r="S3784"/>
      <c r="T3784"/>
      <c r="U3784"/>
      <c r="V3784"/>
      <c r="W3784"/>
      <c r="X3784"/>
    </row>
    <row r="3785" spans="5:24" x14ac:dyDescent="0.3">
      <c r="E3785" s="173"/>
      <c r="F3785" s="173"/>
      <c r="I3785"/>
      <c r="J3785"/>
      <c r="K3785"/>
      <c r="L3785"/>
      <c r="M3785"/>
      <c r="N3785"/>
      <c r="O3785"/>
      <c r="P3785" s="225"/>
      <c r="Q3785" s="225"/>
      <c r="R3785"/>
      <c r="S3785"/>
      <c r="T3785"/>
      <c r="U3785"/>
      <c r="V3785"/>
      <c r="W3785"/>
      <c r="X3785"/>
    </row>
    <row r="3786" spans="5:24" x14ac:dyDescent="0.3">
      <c r="E3786" s="173"/>
      <c r="F3786" s="173"/>
      <c r="I3786"/>
      <c r="J3786"/>
      <c r="K3786"/>
      <c r="L3786"/>
      <c r="M3786"/>
      <c r="N3786"/>
      <c r="O3786"/>
      <c r="P3786" s="225"/>
      <c r="Q3786" s="225"/>
      <c r="R3786"/>
      <c r="S3786"/>
      <c r="T3786"/>
      <c r="U3786"/>
      <c r="V3786"/>
      <c r="W3786"/>
      <c r="X3786"/>
    </row>
    <row r="3787" spans="5:24" x14ac:dyDescent="0.3">
      <c r="E3787" s="173"/>
      <c r="F3787" s="173"/>
      <c r="I3787"/>
      <c r="J3787"/>
      <c r="K3787"/>
      <c r="L3787"/>
      <c r="M3787"/>
      <c r="N3787"/>
      <c r="O3787"/>
      <c r="P3787" s="225"/>
      <c r="Q3787" s="225"/>
      <c r="R3787"/>
      <c r="S3787"/>
      <c r="T3787"/>
      <c r="U3787"/>
      <c r="V3787"/>
      <c r="W3787"/>
      <c r="X3787"/>
    </row>
    <row r="3788" spans="5:24" x14ac:dyDescent="0.3">
      <c r="E3788" s="173"/>
      <c r="F3788" s="173"/>
      <c r="I3788"/>
      <c r="J3788"/>
      <c r="K3788"/>
      <c r="L3788"/>
      <c r="M3788"/>
      <c r="N3788"/>
      <c r="O3788"/>
      <c r="P3788" s="225"/>
      <c r="Q3788" s="225"/>
      <c r="R3788"/>
      <c r="S3788"/>
      <c r="T3788"/>
      <c r="U3788"/>
      <c r="V3788"/>
      <c r="W3788"/>
      <c r="X3788"/>
    </row>
    <row r="3789" spans="5:24" x14ac:dyDescent="0.3">
      <c r="E3789" s="173"/>
      <c r="F3789" s="173"/>
      <c r="I3789"/>
      <c r="J3789"/>
      <c r="K3789"/>
      <c r="L3789"/>
      <c r="M3789"/>
      <c r="N3789"/>
      <c r="O3789"/>
      <c r="P3789" s="225"/>
      <c r="Q3789" s="225"/>
      <c r="R3789"/>
      <c r="S3789"/>
      <c r="T3789"/>
      <c r="U3789"/>
      <c r="V3789"/>
      <c r="W3789"/>
      <c r="X3789"/>
    </row>
    <row r="3790" spans="5:24" x14ac:dyDescent="0.3">
      <c r="E3790" s="173"/>
      <c r="F3790" s="173"/>
      <c r="I3790"/>
      <c r="J3790"/>
      <c r="K3790"/>
      <c r="L3790"/>
      <c r="M3790"/>
      <c r="N3790"/>
      <c r="O3790"/>
      <c r="P3790" s="225"/>
      <c r="Q3790" s="225"/>
      <c r="R3790"/>
      <c r="S3790"/>
      <c r="T3790"/>
      <c r="U3790"/>
      <c r="V3790"/>
      <c r="W3790"/>
      <c r="X3790"/>
    </row>
    <row r="3791" spans="5:24" x14ac:dyDescent="0.3">
      <c r="E3791" s="173"/>
      <c r="F3791" s="173"/>
      <c r="I3791"/>
      <c r="J3791"/>
      <c r="K3791"/>
      <c r="L3791"/>
      <c r="M3791"/>
      <c r="N3791"/>
      <c r="O3791"/>
      <c r="P3791" s="225"/>
      <c r="Q3791" s="225"/>
      <c r="R3791"/>
      <c r="S3791"/>
      <c r="T3791"/>
      <c r="U3791"/>
      <c r="V3791"/>
      <c r="W3791"/>
      <c r="X3791"/>
    </row>
    <row r="3792" spans="5:24" x14ac:dyDescent="0.3">
      <c r="E3792" s="173"/>
      <c r="F3792" s="173"/>
      <c r="I3792"/>
      <c r="J3792"/>
      <c r="K3792"/>
      <c r="L3792"/>
      <c r="M3792"/>
      <c r="N3792"/>
      <c r="O3792"/>
      <c r="P3792" s="225"/>
      <c r="Q3792" s="225"/>
      <c r="R3792"/>
      <c r="S3792"/>
      <c r="T3792"/>
      <c r="U3792"/>
      <c r="V3792"/>
      <c r="W3792"/>
      <c r="X3792"/>
    </row>
    <row r="3793" spans="5:24" x14ac:dyDescent="0.3">
      <c r="E3793" s="173"/>
      <c r="F3793" s="173"/>
      <c r="I3793"/>
      <c r="J3793"/>
      <c r="K3793"/>
      <c r="L3793"/>
      <c r="M3793"/>
      <c r="N3793"/>
      <c r="O3793"/>
      <c r="P3793" s="225"/>
      <c r="Q3793" s="225"/>
      <c r="R3793"/>
      <c r="S3793"/>
      <c r="T3793"/>
      <c r="U3793"/>
      <c r="V3793"/>
      <c r="W3793"/>
      <c r="X3793"/>
    </row>
    <row r="3794" spans="5:24" x14ac:dyDescent="0.3">
      <c r="E3794" s="173"/>
      <c r="F3794" s="173"/>
      <c r="I3794"/>
      <c r="J3794"/>
      <c r="K3794"/>
      <c r="L3794"/>
      <c r="M3794"/>
      <c r="N3794"/>
      <c r="O3794"/>
      <c r="P3794" s="225"/>
      <c r="Q3794" s="225"/>
      <c r="R3794"/>
      <c r="S3794"/>
      <c r="T3794"/>
      <c r="U3794"/>
      <c r="V3794"/>
      <c r="W3794"/>
      <c r="X3794"/>
    </row>
    <row r="3795" spans="5:24" x14ac:dyDescent="0.3">
      <c r="E3795" s="173"/>
      <c r="F3795" s="173"/>
      <c r="I3795"/>
      <c r="J3795"/>
      <c r="K3795"/>
      <c r="L3795"/>
      <c r="M3795"/>
      <c r="N3795"/>
      <c r="O3795"/>
      <c r="P3795" s="225"/>
      <c r="Q3795" s="225"/>
      <c r="R3795"/>
      <c r="S3795"/>
      <c r="T3795"/>
      <c r="U3795"/>
      <c r="V3795"/>
      <c r="W3795"/>
      <c r="X3795"/>
    </row>
    <row r="3796" spans="5:24" x14ac:dyDescent="0.3">
      <c r="E3796" s="173"/>
      <c r="F3796" s="173"/>
      <c r="I3796"/>
      <c r="J3796"/>
      <c r="K3796"/>
      <c r="L3796"/>
      <c r="M3796"/>
      <c r="N3796"/>
      <c r="O3796"/>
      <c r="P3796" s="225"/>
      <c r="Q3796" s="225"/>
      <c r="R3796"/>
      <c r="S3796"/>
      <c r="T3796"/>
      <c r="U3796"/>
      <c r="V3796"/>
      <c r="W3796"/>
      <c r="X3796"/>
    </row>
    <row r="3797" spans="5:24" x14ac:dyDescent="0.3">
      <c r="E3797" s="173"/>
      <c r="F3797" s="173"/>
      <c r="I3797"/>
      <c r="J3797"/>
      <c r="K3797"/>
      <c r="L3797"/>
      <c r="M3797"/>
      <c r="N3797"/>
      <c r="O3797"/>
      <c r="P3797" s="225"/>
      <c r="Q3797" s="225"/>
      <c r="R3797"/>
      <c r="S3797"/>
      <c r="T3797"/>
      <c r="U3797"/>
      <c r="V3797"/>
      <c r="W3797"/>
      <c r="X3797"/>
    </row>
    <row r="3798" spans="5:24" x14ac:dyDescent="0.3">
      <c r="E3798" s="173"/>
      <c r="F3798" s="173"/>
      <c r="I3798"/>
      <c r="J3798"/>
      <c r="K3798"/>
      <c r="L3798"/>
      <c r="M3798"/>
      <c r="N3798"/>
      <c r="O3798"/>
      <c r="P3798" s="225"/>
      <c r="Q3798" s="225"/>
      <c r="R3798"/>
      <c r="S3798"/>
      <c r="T3798"/>
      <c r="U3798"/>
      <c r="V3798"/>
      <c r="W3798"/>
      <c r="X3798"/>
    </row>
    <row r="3799" spans="5:24" x14ac:dyDescent="0.3">
      <c r="E3799" s="173"/>
      <c r="F3799" s="173"/>
      <c r="I3799"/>
      <c r="J3799"/>
      <c r="K3799"/>
      <c r="L3799"/>
      <c r="M3799"/>
      <c r="N3799"/>
      <c r="O3799"/>
      <c r="P3799" s="225"/>
      <c r="Q3799" s="225"/>
      <c r="R3799"/>
      <c r="S3799"/>
      <c r="T3799"/>
      <c r="U3799"/>
      <c r="V3799"/>
      <c r="W3799"/>
      <c r="X3799"/>
    </row>
    <row r="3800" spans="5:24" x14ac:dyDescent="0.3">
      <c r="E3800" s="173"/>
      <c r="F3800" s="173"/>
      <c r="I3800"/>
      <c r="J3800"/>
      <c r="K3800"/>
      <c r="L3800"/>
      <c r="M3800"/>
      <c r="N3800"/>
      <c r="O3800"/>
      <c r="P3800" s="225"/>
      <c r="Q3800" s="225"/>
      <c r="R3800"/>
      <c r="S3800"/>
      <c r="T3800"/>
      <c r="U3800"/>
      <c r="V3800"/>
      <c r="W3800"/>
      <c r="X3800"/>
    </row>
    <row r="3801" spans="5:24" x14ac:dyDescent="0.3">
      <c r="E3801" s="173"/>
      <c r="F3801" s="173"/>
      <c r="I3801"/>
      <c r="J3801"/>
      <c r="K3801"/>
      <c r="L3801"/>
      <c r="M3801"/>
      <c r="N3801"/>
      <c r="O3801"/>
      <c r="P3801" s="225"/>
      <c r="Q3801" s="225"/>
      <c r="R3801"/>
      <c r="S3801"/>
      <c r="T3801"/>
      <c r="U3801"/>
      <c r="V3801"/>
      <c r="W3801"/>
      <c r="X3801"/>
    </row>
    <row r="3802" spans="5:24" x14ac:dyDescent="0.3">
      <c r="E3802" s="173"/>
      <c r="F3802" s="173"/>
      <c r="I3802"/>
      <c r="J3802"/>
      <c r="K3802"/>
      <c r="L3802"/>
      <c r="M3802"/>
      <c r="N3802"/>
      <c r="O3802"/>
      <c r="P3802" s="225"/>
      <c r="Q3802" s="225"/>
      <c r="R3802"/>
      <c r="S3802"/>
      <c r="T3802"/>
      <c r="U3802"/>
      <c r="V3802"/>
      <c r="W3802"/>
      <c r="X3802"/>
    </row>
    <row r="3803" spans="5:24" x14ac:dyDescent="0.3">
      <c r="E3803" s="173"/>
      <c r="F3803" s="173"/>
      <c r="I3803"/>
      <c r="J3803"/>
      <c r="K3803"/>
      <c r="L3803"/>
      <c r="M3803"/>
      <c r="N3803"/>
      <c r="O3803"/>
      <c r="P3803" s="225"/>
      <c r="Q3803" s="225"/>
      <c r="R3803"/>
      <c r="S3803"/>
      <c r="T3803"/>
      <c r="U3803"/>
      <c r="V3803"/>
      <c r="W3803"/>
      <c r="X3803"/>
    </row>
    <row r="3804" spans="5:24" x14ac:dyDescent="0.3">
      <c r="E3804" s="173"/>
      <c r="F3804" s="173"/>
      <c r="I3804"/>
      <c r="J3804"/>
      <c r="K3804"/>
      <c r="L3804"/>
      <c r="M3804"/>
      <c r="N3804"/>
      <c r="O3804"/>
      <c r="P3804" s="225"/>
      <c r="Q3804" s="225"/>
      <c r="R3804"/>
      <c r="S3804"/>
      <c r="T3804"/>
      <c r="U3804"/>
      <c r="V3804"/>
      <c r="W3804"/>
      <c r="X3804"/>
    </row>
    <row r="3805" spans="5:24" x14ac:dyDescent="0.3">
      <c r="E3805" s="173"/>
      <c r="F3805" s="173"/>
      <c r="I3805"/>
      <c r="J3805"/>
      <c r="K3805"/>
      <c r="L3805"/>
      <c r="M3805"/>
      <c r="N3805"/>
      <c r="O3805"/>
      <c r="P3805" s="225"/>
      <c r="Q3805" s="225"/>
      <c r="R3805"/>
      <c r="S3805"/>
      <c r="T3805"/>
      <c r="U3805"/>
      <c r="V3805"/>
      <c r="W3805"/>
      <c r="X3805"/>
    </row>
    <row r="3806" spans="5:24" x14ac:dyDescent="0.3">
      <c r="E3806" s="173"/>
      <c r="F3806" s="173"/>
      <c r="I3806"/>
      <c r="J3806"/>
      <c r="K3806"/>
      <c r="L3806"/>
      <c r="M3806"/>
      <c r="N3806"/>
      <c r="O3806"/>
      <c r="P3806" s="225"/>
      <c r="Q3806" s="225"/>
      <c r="R3806"/>
      <c r="S3806"/>
      <c r="T3806"/>
      <c r="U3806"/>
      <c r="V3806"/>
      <c r="W3806"/>
      <c r="X3806"/>
    </row>
    <row r="3807" spans="5:24" x14ac:dyDescent="0.3">
      <c r="E3807" s="173"/>
      <c r="F3807" s="173"/>
      <c r="I3807"/>
      <c r="J3807"/>
      <c r="K3807"/>
      <c r="L3807"/>
      <c r="M3807"/>
      <c r="N3807"/>
      <c r="O3807"/>
      <c r="P3807" s="225"/>
      <c r="Q3807" s="225"/>
      <c r="R3807"/>
      <c r="S3807"/>
      <c r="T3807"/>
      <c r="U3807"/>
      <c r="V3807"/>
      <c r="W3807"/>
      <c r="X3807"/>
    </row>
    <row r="3808" spans="5:24" x14ac:dyDescent="0.3">
      <c r="E3808" s="173"/>
      <c r="F3808" s="173"/>
      <c r="I3808"/>
      <c r="J3808"/>
      <c r="K3808"/>
      <c r="L3808"/>
      <c r="M3808"/>
      <c r="N3808"/>
      <c r="O3808"/>
      <c r="P3808" s="225"/>
      <c r="Q3808" s="225"/>
      <c r="R3808"/>
      <c r="S3808"/>
      <c r="T3808"/>
      <c r="U3808"/>
      <c r="V3808"/>
      <c r="W3808"/>
      <c r="X3808"/>
    </row>
    <row r="3809" spans="5:24" x14ac:dyDescent="0.3">
      <c r="E3809" s="173"/>
      <c r="F3809" s="173"/>
      <c r="I3809"/>
      <c r="J3809"/>
      <c r="K3809"/>
      <c r="L3809"/>
      <c r="M3809"/>
      <c r="N3809"/>
      <c r="O3809"/>
      <c r="P3809" s="225"/>
      <c r="Q3809" s="225"/>
      <c r="R3809"/>
      <c r="S3809"/>
      <c r="T3809"/>
      <c r="U3809"/>
      <c r="V3809"/>
      <c r="W3809"/>
      <c r="X3809"/>
    </row>
    <row r="3810" spans="5:24" x14ac:dyDescent="0.3">
      <c r="E3810" s="173"/>
      <c r="F3810" s="173"/>
      <c r="I3810"/>
      <c r="J3810"/>
      <c r="K3810"/>
      <c r="L3810"/>
      <c r="M3810"/>
      <c r="N3810"/>
      <c r="O3810"/>
      <c r="P3810" s="225"/>
      <c r="Q3810" s="225"/>
      <c r="R3810"/>
      <c r="S3810"/>
      <c r="T3810"/>
      <c r="U3810"/>
      <c r="V3810"/>
      <c r="W3810"/>
      <c r="X3810"/>
    </row>
    <row r="3811" spans="5:24" x14ac:dyDescent="0.3">
      <c r="E3811" s="173"/>
      <c r="F3811" s="173"/>
      <c r="I3811"/>
      <c r="J3811"/>
      <c r="K3811"/>
      <c r="L3811"/>
      <c r="M3811"/>
      <c r="N3811"/>
      <c r="O3811"/>
      <c r="P3811" s="225"/>
      <c r="Q3811" s="225"/>
      <c r="R3811"/>
      <c r="S3811"/>
      <c r="T3811"/>
      <c r="U3811"/>
      <c r="V3811"/>
      <c r="W3811"/>
      <c r="X3811"/>
    </row>
    <row r="3812" spans="5:24" x14ac:dyDescent="0.3">
      <c r="E3812" s="173"/>
      <c r="F3812" s="173"/>
      <c r="I3812"/>
      <c r="J3812"/>
      <c r="K3812"/>
      <c r="L3812"/>
      <c r="M3812"/>
      <c r="N3812"/>
      <c r="O3812"/>
      <c r="P3812" s="225"/>
      <c r="Q3812" s="225"/>
      <c r="R3812"/>
      <c r="S3812"/>
      <c r="T3812"/>
      <c r="U3812"/>
      <c r="V3812"/>
      <c r="W3812"/>
      <c r="X3812"/>
    </row>
    <row r="3813" spans="5:24" x14ac:dyDescent="0.3">
      <c r="E3813" s="173"/>
      <c r="F3813" s="173"/>
      <c r="I3813"/>
      <c r="J3813"/>
      <c r="K3813"/>
      <c r="L3813"/>
      <c r="M3813"/>
      <c r="N3813"/>
      <c r="O3813"/>
      <c r="P3813" s="225"/>
      <c r="Q3813" s="225"/>
      <c r="R3813"/>
      <c r="S3813"/>
      <c r="T3813"/>
      <c r="U3813"/>
      <c r="V3813"/>
      <c r="W3813"/>
      <c r="X3813"/>
    </row>
    <row r="3814" spans="5:24" x14ac:dyDescent="0.3">
      <c r="E3814" s="173"/>
      <c r="F3814" s="173"/>
      <c r="I3814"/>
      <c r="J3814"/>
      <c r="K3814"/>
      <c r="L3814"/>
      <c r="M3814"/>
      <c r="N3814"/>
      <c r="O3814"/>
      <c r="P3814" s="225"/>
      <c r="Q3814" s="225"/>
      <c r="R3814"/>
      <c r="S3814"/>
      <c r="T3814"/>
      <c r="U3814"/>
      <c r="V3814"/>
      <c r="W3814"/>
      <c r="X3814"/>
    </row>
    <row r="3815" spans="5:24" x14ac:dyDescent="0.3">
      <c r="E3815" s="173"/>
      <c r="F3815" s="173"/>
      <c r="I3815"/>
      <c r="J3815"/>
      <c r="K3815"/>
      <c r="L3815"/>
      <c r="M3815"/>
      <c r="N3815"/>
      <c r="O3815"/>
      <c r="P3815" s="225"/>
      <c r="Q3815" s="225"/>
      <c r="R3815"/>
      <c r="S3815"/>
      <c r="T3815"/>
      <c r="U3815"/>
      <c r="V3815"/>
      <c r="W3815"/>
      <c r="X3815"/>
    </row>
    <row r="3816" spans="5:24" x14ac:dyDescent="0.3">
      <c r="E3816" s="173"/>
      <c r="F3816" s="173"/>
      <c r="I3816"/>
      <c r="J3816"/>
      <c r="K3816"/>
      <c r="L3816"/>
      <c r="M3816"/>
      <c r="N3816"/>
      <c r="O3816"/>
      <c r="P3816" s="225"/>
      <c r="Q3816" s="225"/>
      <c r="R3816"/>
      <c r="S3816"/>
      <c r="T3816"/>
      <c r="U3816"/>
      <c r="V3816"/>
      <c r="W3816"/>
      <c r="X3816"/>
    </row>
    <row r="3817" spans="5:24" x14ac:dyDescent="0.3">
      <c r="E3817" s="173"/>
      <c r="F3817" s="173"/>
      <c r="I3817"/>
      <c r="J3817"/>
      <c r="K3817"/>
      <c r="L3817"/>
      <c r="M3817"/>
      <c r="N3817"/>
      <c r="O3817"/>
      <c r="P3817" s="225"/>
      <c r="Q3817" s="225"/>
      <c r="R3817"/>
      <c r="S3817"/>
      <c r="T3817"/>
      <c r="U3817"/>
      <c r="V3817"/>
      <c r="W3817"/>
      <c r="X3817"/>
    </row>
    <row r="3818" spans="5:24" x14ac:dyDescent="0.3">
      <c r="E3818" s="173"/>
      <c r="F3818" s="173"/>
      <c r="I3818"/>
      <c r="J3818"/>
      <c r="K3818"/>
      <c r="L3818"/>
      <c r="M3818"/>
      <c r="N3818"/>
      <c r="O3818"/>
      <c r="P3818" s="225"/>
      <c r="Q3818" s="225"/>
      <c r="R3818"/>
      <c r="S3818"/>
      <c r="T3818"/>
      <c r="U3818"/>
      <c r="V3818"/>
      <c r="W3818"/>
      <c r="X3818"/>
    </row>
    <row r="3819" spans="5:24" x14ac:dyDescent="0.3">
      <c r="E3819" s="173"/>
      <c r="F3819" s="173"/>
      <c r="I3819"/>
      <c r="J3819"/>
      <c r="K3819"/>
      <c r="L3819"/>
      <c r="M3819"/>
      <c r="N3819"/>
      <c r="O3819"/>
      <c r="P3819" s="225"/>
      <c r="Q3819" s="225"/>
      <c r="R3819"/>
      <c r="S3819"/>
      <c r="T3819"/>
      <c r="U3819"/>
      <c r="V3819"/>
      <c r="W3819"/>
      <c r="X3819"/>
    </row>
    <row r="3820" spans="5:24" x14ac:dyDescent="0.3">
      <c r="E3820" s="173"/>
      <c r="F3820" s="173"/>
      <c r="I3820"/>
      <c r="J3820"/>
      <c r="K3820"/>
      <c r="L3820"/>
      <c r="M3820"/>
      <c r="N3820"/>
      <c r="O3820"/>
      <c r="P3820" s="225"/>
      <c r="Q3820" s="225"/>
      <c r="R3820"/>
      <c r="S3820"/>
      <c r="T3820"/>
      <c r="U3820"/>
      <c r="V3820"/>
      <c r="W3820"/>
      <c r="X3820"/>
    </row>
    <row r="3821" spans="5:24" x14ac:dyDescent="0.3">
      <c r="E3821" s="173"/>
      <c r="F3821" s="173"/>
      <c r="I3821"/>
      <c r="J3821"/>
      <c r="K3821"/>
      <c r="L3821"/>
      <c r="M3821"/>
      <c r="N3821"/>
      <c r="O3821"/>
      <c r="P3821" s="225"/>
      <c r="Q3821" s="225"/>
      <c r="R3821"/>
      <c r="S3821"/>
      <c r="T3821"/>
      <c r="U3821"/>
      <c r="V3821"/>
      <c r="W3821"/>
      <c r="X3821"/>
    </row>
    <row r="3822" spans="5:24" x14ac:dyDescent="0.3">
      <c r="E3822" s="173"/>
      <c r="F3822" s="173"/>
      <c r="I3822"/>
      <c r="J3822"/>
      <c r="K3822"/>
      <c r="L3822"/>
      <c r="M3822"/>
      <c r="N3822"/>
      <c r="O3822"/>
      <c r="P3822" s="225"/>
      <c r="Q3822" s="225"/>
      <c r="R3822"/>
      <c r="S3822"/>
      <c r="T3822"/>
      <c r="U3822"/>
      <c r="V3822"/>
      <c r="W3822"/>
      <c r="X3822"/>
    </row>
    <row r="3823" spans="5:24" x14ac:dyDescent="0.3">
      <c r="E3823" s="173"/>
      <c r="F3823" s="173"/>
      <c r="I3823"/>
      <c r="J3823"/>
      <c r="K3823"/>
      <c r="L3823"/>
      <c r="M3823"/>
      <c r="N3823"/>
      <c r="O3823"/>
      <c r="P3823" s="225"/>
      <c r="Q3823" s="225"/>
      <c r="R3823"/>
      <c r="S3823"/>
      <c r="T3823"/>
      <c r="U3823"/>
      <c r="V3823"/>
      <c r="W3823"/>
      <c r="X3823"/>
    </row>
    <row r="3824" spans="5:24" x14ac:dyDescent="0.3">
      <c r="E3824" s="173"/>
      <c r="F3824" s="173"/>
      <c r="I3824"/>
      <c r="J3824"/>
      <c r="K3824"/>
      <c r="L3824"/>
      <c r="M3824"/>
      <c r="N3824"/>
      <c r="O3824"/>
      <c r="P3824" s="225"/>
      <c r="Q3824" s="225"/>
      <c r="R3824"/>
      <c r="S3824"/>
      <c r="T3824"/>
      <c r="U3824"/>
      <c r="V3824"/>
      <c r="W3824"/>
      <c r="X3824"/>
    </row>
    <row r="3825" spans="5:24" x14ac:dyDescent="0.3">
      <c r="E3825" s="173"/>
      <c r="F3825" s="173"/>
      <c r="I3825"/>
      <c r="J3825"/>
      <c r="K3825"/>
      <c r="L3825"/>
      <c r="M3825"/>
      <c r="N3825"/>
      <c r="O3825"/>
      <c r="P3825" s="225"/>
      <c r="Q3825" s="225"/>
      <c r="R3825"/>
      <c r="S3825"/>
      <c r="T3825"/>
      <c r="U3825"/>
      <c r="V3825"/>
      <c r="W3825"/>
      <c r="X3825"/>
    </row>
    <row r="3826" spans="5:24" x14ac:dyDescent="0.3">
      <c r="E3826" s="173"/>
      <c r="F3826" s="173"/>
      <c r="I3826"/>
      <c r="J3826"/>
      <c r="K3826"/>
      <c r="L3826"/>
      <c r="M3826"/>
      <c r="N3826"/>
      <c r="O3826"/>
      <c r="P3826" s="225"/>
      <c r="Q3826" s="225"/>
      <c r="R3826"/>
      <c r="S3826"/>
      <c r="T3826"/>
      <c r="U3826"/>
      <c r="V3826"/>
      <c r="W3826"/>
      <c r="X3826"/>
    </row>
    <row r="3827" spans="5:24" x14ac:dyDescent="0.3">
      <c r="E3827" s="173"/>
      <c r="F3827" s="173"/>
      <c r="I3827"/>
      <c r="J3827"/>
      <c r="K3827"/>
      <c r="L3827"/>
      <c r="M3827"/>
      <c r="N3827"/>
      <c r="O3827"/>
      <c r="P3827" s="225"/>
      <c r="Q3827" s="225"/>
      <c r="R3827"/>
      <c r="S3827"/>
      <c r="T3827"/>
      <c r="U3827"/>
      <c r="V3827"/>
      <c r="W3827"/>
      <c r="X3827"/>
    </row>
    <row r="3828" spans="5:24" x14ac:dyDescent="0.3">
      <c r="E3828" s="173"/>
      <c r="F3828" s="173"/>
      <c r="I3828"/>
      <c r="J3828"/>
      <c r="K3828"/>
      <c r="L3828"/>
      <c r="M3828"/>
      <c r="N3828"/>
      <c r="O3828"/>
      <c r="P3828" s="225"/>
      <c r="Q3828" s="225"/>
      <c r="R3828"/>
      <c r="S3828"/>
      <c r="T3828"/>
      <c r="U3828"/>
      <c r="V3828"/>
      <c r="W3828"/>
      <c r="X3828"/>
    </row>
    <row r="3829" spans="5:24" x14ac:dyDescent="0.3">
      <c r="E3829" s="173"/>
      <c r="F3829" s="173"/>
      <c r="I3829"/>
      <c r="J3829"/>
      <c r="K3829"/>
      <c r="L3829"/>
      <c r="M3829"/>
      <c r="N3829"/>
      <c r="O3829"/>
      <c r="P3829" s="225"/>
      <c r="Q3829" s="225"/>
      <c r="R3829"/>
      <c r="S3829"/>
      <c r="T3829"/>
      <c r="U3829"/>
      <c r="V3829"/>
      <c r="W3829"/>
      <c r="X3829"/>
    </row>
    <row r="3830" spans="5:24" x14ac:dyDescent="0.3">
      <c r="E3830" s="173"/>
      <c r="F3830" s="173"/>
      <c r="I3830"/>
      <c r="J3830"/>
      <c r="K3830"/>
      <c r="L3830"/>
      <c r="M3830"/>
      <c r="N3830"/>
      <c r="O3830"/>
      <c r="P3830" s="225"/>
      <c r="Q3830" s="225"/>
      <c r="R3830"/>
      <c r="S3830"/>
      <c r="T3830"/>
      <c r="U3830"/>
      <c r="V3830"/>
      <c r="W3830"/>
      <c r="X3830"/>
    </row>
    <row r="3831" spans="5:24" x14ac:dyDescent="0.3">
      <c r="E3831" s="173"/>
      <c r="F3831" s="173"/>
      <c r="I3831"/>
      <c r="J3831"/>
      <c r="K3831"/>
      <c r="L3831"/>
      <c r="M3831"/>
      <c r="N3831"/>
      <c r="O3831"/>
      <c r="P3831" s="225"/>
      <c r="Q3831" s="225"/>
      <c r="R3831"/>
      <c r="S3831"/>
      <c r="T3831"/>
      <c r="U3831"/>
      <c r="V3831"/>
      <c r="W3831"/>
      <c r="X3831"/>
    </row>
    <row r="3832" spans="5:24" x14ac:dyDescent="0.3">
      <c r="E3832" s="173"/>
      <c r="F3832" s="173"/>
      <c r="I3832"/>
      <c r="J3832"/>
      <c r="K3832"/>
      <c r="L3832"/>
      <c r="M3832"/>
      <c r="N3832"/>
      <c r="O3832"/>
      <c r="P3832" s="225"/>
      <c r="Q3832" s="225"/>
      <c r="R3832"/>
      <c r="S3832"/>
      <c r="T3832"/>
      <c r="U3832"/>
      <c r="V3832"/>
      <c r="W3832"/>
      <c r="X3832"/>
    </row>
    <row r="3833" spans="5:24" x14ac:dyDescent="0.3">
      <c r="E3833" s="173"/>
      <c r="F3833" s="173"/>
      <c r="I3833"/>
      <c r="J3833"/>
      <c r="K3833"/>
      <c r="L3833"/>
      <c r="M3833"/>
      <c r="N3833"/>
      <c r="O3833"/>
      <c r="P3833" s="225"/>
      <c r="Q3833" s="225"/>
      <c r="R3833"/>
      <c r="S3833"/>
      <c r="T3833"/>
      <c r="U3833"/>
      <c r="V3833"/>
      <c r="W3833"/>
      <c r="X3833"/>
    </row>
    <row r="3834" spans="5:24" x14ac:dyDescent="0.3">
      <c r="E3834" s="173"/>
      <c r="F3834" s="173"/>
      <c r="I3834"/>
      <c r="J3834"/>
      <c r="K3834"/>
      <c r="L3834"/>
      <c r="M3834"/>
      <c r="N3834"/>
      <c r="O3834"/>
      <c r="P3834" s="225"/>
      <c r="Q3834" s="225"/>
      <c r="R3834"/>
      <c r="S3834"/>
      <c r="T3834"/>
      <c r="U3834"/>
      <c r="V3834"/>
      <c r="W3834"/>
      <c r="X3834"/>
    </row>
    <row r="3835" spans="5:24" x14ac:dyDescent="0.3">
      <c r="E3835" s="173"/>
      <c r="F3835" s="173"/>
      <c r="I3835"/>
      <c r="J3835"/>
      <c r="K3835"/>
      <c r="L3835"/>
      <c r="M3835"/>
      <c r="N3835"/>
      <c r="O3835"/>
      <c r="P3835" s="225"/>
      <c r="Q3835" s="225"/>
      <c r="R3835"/>
      <c r="S3835"/>
      <c r="T3835"/>
      <c r="U3835"/>
      <c r="V3835"/>
      <c r="W3835"/>
      <c r="X3835"/>
    </row>
    <row r="3836" spans="5:24" x14ac:dyDescent="0.3">
      <c r="E3836" s="173"/>
      <c r="F3836" s="173"/>
      <c r="I3836"/>
      <c r="J3836"/>
      <c r="K3836"/>
      <c r="L3836"/>
      <c r="M3836"/>
      <c r="N3836"/>
      <c r="O3836"/>
      <c r="P3836" s="225"/>
      <c r="Q3836" s="225"/>
      <c r="R3836"/>
      <c r="S3836"/>
      <c r="T3836"/>
      <c r="U3836"/>
      <c r="V3836"/>
      <c r="W3836"/>
      <c r="X3836"/>
    </row>
    <row r="3837" spans="5:24" x14ac:dyDescent="0.3">
      <c r="E3837" s="173"/>
      <c r="F3837" s="173"/>
      <c r="I3837"/>
      <c r="J3837"/>
      <c r="K3837"/>
      <c r="L3837"/>
      <c r="M3837"/>
      <c r="N3837"/>
      <c r="O3837"/>
      <c r="P3837" s="225"/>
      <c r="Q3837" s="225"/>
      <c r="R3837"/>
      <c r="S3837"/>
      <c r="T3837"/>
      <c r="U3837"/>
      <c r="V3837"/>
      <c r="W3837"/>
      <c r="X3837"/>
    </row>
    <row r="3838" spans="5:24" x14ac:dyDescent="0.3">
      <c r="E3838" s="173"/>
      <c r="F3838" s="173"/>
      <c r="I3838"/>
      <c r="J3838"/>
      <c r="K3838"/>
      <c r="L3838"/>
      <c r="M3838"/>
      <c r="N3838"/>
      <c r="O3838"/>
      <c r="P3838" s="225"/>
      <c r="Q3838" s="225"/>
      <c r="R3838"/>
      <c r="S3838"/>
      <c r="T3838"/>
      <c r="U3838"/>
      <c r="V3838"/>
      <c r="W3838"/>
      <c r="X3838"/>
    </row>
    <row r="3839" spans="5:24" x14ac:dyDescent="0.3">
      <c r="E3839" s="173"/>
      <c r="F3839" s="173"/>
      <c r="I3839"/>
      <c r="J3839"/>
      <c r="K3839"/>
      <c r="L3839"/>
      <c r="M3839"/>
      <c r="N3839"/>
      <c r="O3839"/>
      <c r="P3839" s="225"/>
      <c r="Q3839" s="225"/>
      <c r="R3839"/>
      <c r="S3839"/>
      <c r="T3839"/>
      <c r="U3839"/>
      <c r="V3839"/>
      <c r="W3839"/>
      <c r="X3839"/>
    </row>
    <row r="3840" spans="5:24" x14ac:dyDescent="0.3">
      <c r="E3840" s="173"/>
      <c r="F3840" s="173"/>
      <c r="I3840"/>
      <c r="J3840"/>
      <c r="K3840"/>
      <c r="L3840"/>
      <c r="M3840"/>
      <c r="N3840"/>
      <c r="O3840"/>
      <c r="P3840" s="225"/>
      <c r="Q3840" s="225"/>
      <c r="R3840"/>
      <c r="S3840"/>
      <c r="T3840"/>
      <c r="U3840"/>
      <c r="V3840"/>
      <c r="W3840"/>
      <c r="X3840"/>
    </row>
    <row r="3841" spans="5:24" x14ac:dyDescent="0.3">
      <c r="E3841" s="173"/>
      <c r="F3841" s="173"/>
      <c r="I3841"/>
      <c r="J3841"/>
      <c r="K3841"/>
      <c r="L3841"/>
      <c r="M3841"/>
      <c r="N3841"/>
      <c r="O3841"/>
      <c r="P3841" s="225"/>
      <c r="Q3841" s="225"/>
      <c r="R3841"/>
      <c r="S3841"/>
      <c r="T3841"/>
      <c r="U3841"/>
      <c r="V3841"/>
      <c r="W3841"/>
      <c r="X3841"/>
    </row>
    <row r="3842" spans="5:24" x14ac:dyDescent="0.3">
      <c r="E3842" s="173"/>
      <c r="F3842" s="173"/>
      <c r="I3842"/>
      <c r="J3842"/>
      <c r="K3842"/>
      <c r="L3842"/>
      <c r="M3842"/>
      <c r="N3842"/>
      <c r="O3842"/>
      <c r="P3842" s="225"/>
      <c r="Q3842" s="225"/>
      <c r="R3842"/>
      <c r="S3842"/>
      <c r="T3842"/>
      <c r="U3842"/>
      <c r="V3842"/>
      <c r="W3842"/>
      <c r="X3842"/>
    </row>
    <row r="3843" spans="5:24" x14ac:dyDescent="0.3">
      <c r="E3843" s="173"/>
      <c r="F3843" s="173"/>
      <c r="I3843"/>
      <c r="J3843"/>
      <c r="K3843"/>
      <c r="L3843"/>
      <c r="M3843"/>
      <c r="N3843"/>
      <c r="O3843"/>
      <c r="P3843" s="225"/>
      <c r="Q3843" s="225"/>
      <c r="R3843"/>
      <c r="S3843"/>
      <c r="T3843"/>
      <c r="U3843"/>
      <c r="V3843"/>
      <c r="W3843"/>
      <c r="X3843"/>
    </row>
    <row r="3844" spans="5:24" x14ac:dyDescent="0.3">
      <c r="E3844" s="173"/>
      <c r="F3844" s="173"/>
      <c r="I3844"/>
      <c r="J3844"/>
      <c r="K3844"/>
      <c r="L3844"/>
      <c r="M3844"/>
      <c r="N3844"/>
      <c r="O3844"/>
      <c r="P3844" s="225"/>
      <c r="Q3844" s="225"/>
      <c r="R3844"/>
      <c r="S3844"/>
      <c r="T3844"/>
      <c r="U3844"/>
      <c r="V3844"/>
      <c r="W3844"/>
      <c r="X3844"/>
    </row>
    <row r="3845" spans="5:24" x14ac:dyDescent="0.3">
      <c r="E3845" s="173"/>
      <c r="F3845" s="173"/>
      <c r="I3845"/>
      <c r="J3845"/>
      <c r="K3845"/>
      <c r="L3845"/>
      <c r="M3845"/>
      <c r="N3845"/>
      <c r="O3845"/>
      <c r="P3845" s="225"/>
      <c r="Q3845" s="225"/>
      <c r="R3845"/>
      <c r="S3845"/>
      <c r="T3845"/>
      <c r="U3845"/>
      <c r="V3845"/>
      <c r="W3845"/>
      <c r="X3845"/>
    </row>
    <row r="3846" spans="5:24" x14ac:dyDescent="0.3">
      <c r="E3846" s="173"/>
      <c r="F3846" s="173"/>
      <c r="I3846"/>
      <c r="J3846"/>
      <c r="K3846"/>
      <c r="L3846"/>
      <c r="M3846"/>
      <c r="N3846"/>
      <c r="O3846"/>
      <c r="P3846" s="225"/>
      <c r="Q3846" s="225"/>
      <c r="R3846"/>
      <c r="S3846"/>
      <c r="T3846"/>
      <c r="U3846"/>
      <c r="V3846"/>
      <c r="W3846"/>
      <c r="X3846"/>
    </row>
    <row r="3847" spans="5:24" x14ac:dyDescent="0.3">
      <c r="E3847" s="173"/>
      <c r="F3847" s="173"/>
      <c r="I3847"/>
      <c r="J3847"/>
      <c r="K3847"/>
      <c r="L3847"/>
      <c r="M3847"/>
      <c r="N3847"/>
      <c r="O3847"/>
      <c r="P3847" s="225"/>
      <c r="Q3847" s="225"/>
      <c r="R3847"/>
      <c r="S3847"/>
      <c r="T3847"/>
      <c r="U3847"/>
      <c r="V3847"/>
      <c r="W3847"/>
      <c r="X3847"/>
    </row>
    <row r="3848" spans="5:24" x14ac:dyDescent="0.3">
      <c r="E3848" s="173"/>
      <c r="F3848" s="173"/>
      <c r="I3848"/>
      <c r="J3848"/>
      <c r="K3848"/>
      <c r="L3848"/>
      <c r="M3848"/>
      <c r="N3848"/>
      <c r="O3848"/>
      <c r="P3848" s="225"/>
      <c r="Q3848" s="225"/>
      <c r="R3848"/>
      <c r="S3848"/>
      <c r="T3848"/>
      <c r="U3848"/>
      <c r="V3848"/>
      <c r="W3848"/>
      <c r="X3848"/>
    </row>
    <row r="3849" spans="5:24" x14ac:dyDescent="0.3">
      <c r="E3849" s="173"/>
      <c r="F3849" s="173"/>
      <c r="I3849"/>
      <c r="J3849"/>
      <c r="K3849"/>
      <c r="L3849"/>
      <c r="M3849"/>
      <c r="N3849"/>
      <c r="O3849"/>
      <c r="P3849" s="225"/>
      <c r="Q3849" s="225"/>
      <c r="R3849"/>
      <c r="S3849"/>
      <c r="T3849"/>
      <c r="U3849"/>
      <c r="V3849"/>
      <c r="W3849"/>
      <c r="X3849"/>
    </row>
    <row r="3850" spans="5:24" x14ac:dyDescent="0.3">
      <c r="E3850" s="173"/>
      <c r="F3850" s="173"/>
      <c r="I3850"/>
      <c r="J3850"/>
      <c r="K3850"/>
      <c r="L3850"/>
      <c r="M3850"/>
      <c r="N3850"/>
      <c r="O3850"/>
      <c r="P3850" s="225"/>
      <c r="Q3850" s="225"/>
      <c r="R3850"/>
      <c r="S3850"/>
      <c r="T3850"/>
      <c r="U3850"/>
      <c r="V3850"/>
      <c r="W3850"/>
      <c r="X3850"/>
    </row>
    <row r="3851" spans="5:24" x14ac:dyDescent="0.3">
      <c r="E3851" s="173"/>
      <c r="F3851" s="173"/>
      <c r="I3851"/>
      <c r="J3851"/>
      <c r="K3851"/>
      <c r="L3851"/>
      <c r="M3851"/>
      <c r="N3851"/>
      <c r="O3851"/>
      <c r="P3851" s="225"/>
      <c r="Q3851" s="225"/>
      <c r="R3851"/>
      <c r="S3851"/>
      <c r="T3851"/>
      <c r="U3851"/>
      <c r="V3851"/>
      <c r="W3851"/>
      <c r="X3851"/>
    </row>
    <row r="3852" spans="5:24" x14ac:dyDescent="0.3">
      <c r="E3852" s="173"/>
      <c r="F3852" s="173"/>
      <c r="I3852"/>
      <c r="J3852"/>
      <c r="K3852"/>
      <c r="L3852"/>
      <c r="M3852"/>
      <c r="N3852"/>
      <c r="O3852"/>
      <c r="P3852" s="225"/>
      <c r="Q3852" s="225"/>
      <c r="R3852"/>
      <c r="S3852"/>
      <c r="T3852"/>
      <c r="U3852"/>
      <c r="V3852"/>
      <c r="W3852"/>
      <c r="X3852"/>
    </row>
    <row r="3853" spans="5:24" x14ac:dyDescent="0.3">
      <c r="E3853" s="173"/>
      <c r="F3853" s="173"/>
      <c r="I3853"/>
      <c r="J3853"/>
      <c r="K3853"/>
      <c r="L3853"/>
      <c r="M3853"/>
      <c r="N3853"/>
      <c r="O3853"/>
      <c r="P3853" s="225"/>
      <c r="Q3853" s="225"/>
      <c r="R3853"/>
      <c r="S3853"/>
      <c r="T3853"/>
      <c r="U3853"/>
      <c r="V3853"/>
      <c r="W3853"/>
      <c r="X3853"/>
    </row>
    <row r="3854" spans="5:24" x14ac:dyDescent="0.3">
      <c r="E3854" s="173"/>
      <c r="F3854" s="173"/>
      <c r="I3854"/>
      <c r="J3854"/>
      <c r="K3854"/>
      <c r="L3854"/>
      <c r="M3854"/>
      <c r="N3854"/>
      <c r="O3854"/>
      <c r="P3854" s="225"/>
      <c r="Q3854" s="225"/>
      <c r="R3854"/>
      <c r="S3854"/>
      <c r="T3854"/>
      <c r="U3854"/>
      <c r="V3854"/>
      <c r="W3854"/>
      <c r="X3854"/>
    </row>
    <row r="3855" spans="5:24" x14ac:dyDescent="0.3">
      <c r="E3855" s="173"/>
      <c r="F3855" s="173"/>
      <c r="I3855"/>
      <c r="J3855"/>
      <c r="K3855"/>
      <c r="L3855"/>
      <c r="M3855"/>
      <c r="N3855"/>
      <c r="O3855"/>
      <c r="P3855" s="225"/>
      <c r="Q3855" s="225"/>
      <c r="R3855"/>
      <c r="S3855"/>
      <c r="T3855"/>
      <c r="U3855"/>
      <c r="V3855"/>
      <c r="W3855"/>
      <c r="X3855"/>
    </row>
    <row r="3856" spans="5:24" x14ac:dyDescent="0.3">
      <c r="E3856" s="173"/>
      <c r="F3856" s="173"/>
      <c r="I3856"/>
      <c r="J3856"/>
      <c r="K3856"/>
      <c r="L3856"/>
      <c r="M3856"/>
      <c r="N3856"/>
      <c r="O3856"/>
      <c r="P3856" s="225"/>
      <c r="Q3856" s="225"/>
      <c r="R3856"/>
      <c r="S3856"/>
      <c r="T3856"/>
      <c r="U3856"/>
      <c r="V3856"/>
      <c r="W3856"/>
      <c r="X3856"/>
    </row>
    <row r="3857" spans="5:24" x14ac:dyDescent="0.3">
      <c r="E3857" s="173"/>
      <c r="F3857" s="173"/>
      <c r="I3857"/>
      <c r="J3857"/>
      <c r="K3857"/>
      <c r="L3857"/>
      <c r="M3857"/>
      <c r="N3857"/>
      <c r="O3857"/>
      <c r="P3857" s="225"/>
      <c r="Q3857" s="225"/>
      <c r="R3857"/>
      <c r="S3857"/>
      <c r="T3857"/>
      <c r="U3857"/>
      <c r="V3857"/>
      <c r="W3857"/>
      <c r="X3857"/>
    </row>
    <row r="3858" spans="5:24" x14ac:dyDescent="0.3">
      <c r="E3858" s="173"/>
      <c r="F3858" s="173"/>
      <c r="I3858"/>
      <c r="J3858"/>
      <c r="K3858"/>
      <c r="L3858"/>
      <c r="M3858"/>
      <c r="N3858"/>
      <c r="O3858"/>
      <c r="P3858" s="225"/>
      <c r="Q3858" s="225"/>
      <c r="R3858"/>
      <c r="S3858"/>
      <c r="T3858"/>
      <c r="U3858"/>
      <c r="V3858"/>
      <c r="W3858"/>
      <c r="X3858"/>
    </row>
    <row r="3859" spans="5:24" x14ac:dyDescent="0.3">
      <c r="E3859" s="173"/>
      <c r="F3859" s="173"/>
      <c r="I3859"/>
      <c r="J3859"/>
      <c r="K3859"/>
      <c r="L3859"/>
      <c r="M3859"/>
      <c r="N3859"/>
      <c r="O3859"/>
      <c r="P3859" s="225"/>
      <c r="Q3859" s="225"/>
      <c r="R3859"/>
      <c r="S3859"/>
      <c r="T3859"/>
      <c r="U3859"/>
      <c r="V3859"/>
      <c r="W3859"/>
      <c r="X3859"/>
    </row>
    <row r="3860" spans="5:24" x14ac:dyDescent="0.3">
      <c r="E3860" s="173"/>
      <c r="F3860" s="173"/>
      <c r="I3860"/>
      <c r="J3860"/>
      <c r="K3860"/>
      <c r="L3860"/>
      <c r="M3860"/>
      <c r="N3860"/>
      <c r="O3860"/>
      <c r="P3860" s="225"/>
      <c r="Q3860" s="225"/>
      <c r="R3860"/>
      <c r="S3860"/>
      <c r="T3860"/>
      <c r="U3860"/>
      <c r="V3860"/>
      <c r="W3860"/>
      <c r="X3860"/>
    </row>
    <row r="3861" spans="5:24" x14ac:dyDescent="0.3">
      <c r="E3861" s="173"/>
      <c r="F3861" s="173"/>
      <c r="I3861"/>
      <c r="J3861"/>
      <c r="K3861"/>
      <c r="L3861"/>
      <c r="M3861"/>
      <c r="N3861"/>
      <c r="O3861"/>
      <c r="P3861" s="225"/>
      <c r="Q3861" s="225"/>
      <c r="R3861"/>
      <c r="S3861"/>
      <c r="T3861"/>
      <c r="U3861"/>
      <c r="V3861"/>
      <c r="W3861"/>
      <c r="X3861"/>
    </row>
    <row r="3862" spans="5:24" x14ac:dyDescent="0.3">
      <c r="E3862" s="173"/>
      <c r="F3862" s="173"/>
      <c r="I3862"/>
      <c r="J3862"/>
      <c r="K3862"/>
      <c r="L3862"/>
      <c r="M3862"/>
      <c r="N3862"/>
      <c r="O3862"/>
      <c r="P3862" s="225"/>
      <c r="Q3862" s="225"/>
      <c r="R3862"/>
      <c r="S3862"/>
      <c r="T3862"/>
      <c r="U3862"/>
      <c r="V3862"/>
      <c r="W3862"/>
      <c r="X3862"/>
    </row>
    <row r="3863" spans="5:24" x14ac:dyDescent="0.3">
      <c r="E3863" s="173"/>
      <c r="F3863" s="173"/>
      <c r="I3863"/>
      <c r="J3863"/>
      <c r="K3863"/>
      <c r="L3863"/>
      <c r="M3863"/>
      <c r="N3863"/>
      <c r="O3863"/>
      <c r="P3863" s="225"/>
      <c r="Q3863" s="225"/>
      <c r="R3863"/>
      <c r="S3863"/>
      <c r="T3863"/>
      <c r="U3863"/>
      <c r="V3863"/>
      <c r="W3863"/>
      <c r="X3863"/>
    </row>
    <row r="3864" spans="5:24" x14ac:dyDescent="0.3">
      <c r="E3864" s="173"/>
      <c r="F3864" s="173"/>
      <c r="I3864"/>
      <c r="J3864"/>
      <c r="K3864"/>
      <c r="L3864"/>
      <c r="M3864"/>
      <c r="N3864"/>
      <c r="O3864"/>
      <c r="P3864" s="225"/>
      <c r="Q3864" s="225"/>
      <c r="R3864"/>
      <c r="S3864"/>
      <c r="T3864"/>
      <c r="U3864"/>
      <c r="V3864"/>
      <c r="W3864"/>
      <c r="X3864"/>
    </row>
    <row r="3865" spans="5:24" x14ac:dyDescent="0.3">
      <c r="E3865" s="173"/>
      <c r="F3865" s="173"/>
      <c r="I3865"/>
      <c r="J3865"/>
      <c r="K3865"/>
      <c r="L3865"/>
      <c r="M3865"/>
      <c r="N3865"/>
      <c r="O3865"/>
      <c r="P3865" s="225"/>
      <c r="Q3865" s="225"/>
      <c r="R3865"/>
      <c r="S3865"/>
      <c r="T3865"/>
      <c r="U3865"/>
      <c r="V3865"/>
      <c r="W3865"/>
      <c r="X3865"/>
    </row>
    <row r="3866" spans="5:24" x14ac:dyDescent="0.3">
      <c r="E3866" s="173"/>
      <c r="F3866" s="173"/>
      <c r="I3866"/>
      <c r="J3866"/>
      <c r="K3866"/>
      <c r="L3866"/>
      <c r="M3866"/>
      <c r="N3866"/>
      <c r="O3866"/>
      <c r="P3866" s="225"/>
      <c r="Q3866" s="225"/>
      <c r="R3866"/>
      <c r="S3866"/>
      <c r="T3866"/>
      <c r="U3866"/>
      <c r="V3866"/>
      <c r="W3866"/>
      <c r="X3866"/>
    </row>
    <row r="3867" spans="5:24" x14ac:dyDescent="0.3">
      <c r="E3867" s="173"/>
      <c r="F3867" s="173"/>
      <c r="I3867"/>
      <c r="J3867"/>
      <c r="K3867"/>
      <c r="L3867"/>
      <c r="M3867"/>
      <c r="N3867"/>
      <c r="O3867"/>
      <c r="P3867" s="225"/>
      <c r="Q3867" s="225"/>
      <c r="R3867"/>
      <c r="S3867"/>
      <c r="T3867"/>
      <c r="U3867"/>
      <c r="V3867"/>
      <c r="W3867"/>
      <c r="X3867"/>
    </row>
    <row r="3868" spans="5:24" x14ac:dyDescent="0.3">
      <c r="E3868" s="173"/>
      <c r="F3868" s="173"/>
      <c r="I3868"/>
      <c r="J3868"/>
      <c r="K3868"/>
      <c r="L3868"/>
      <c r="M3868"/>
      <c r="N3868"/>
      <c r="O3868"/>
      <c r="P3868" s="225"/>
      <c r="Q3868" s="225"/>
      <c r="R3868"/>
      <c r="S3868"/>
      <c r="T3868"/>
      <c r="U3868"/>
      <c r="V3868"/>
      <c r="W3868"/>
      <c r="X3868"/>
    </row>
    <row r="3869" spans="5:24" x14ac:dyDescent="0.3">
      <c r="E3869" s="173"/>
      <c r="F3869" s="173"/>
      <c r="I3869"/>
      <c r="J3869"/>
      <c r="K3869"/>
      <c r="L3869"/>
      <c r="M3869"/>
      <c r="N3869"/>
      <c r="O3869"/>
      <c r="P3869" s="225"/>
      <c r="Q3869" s="225"/>
      <c r="R3869"/>
      <c r="S3869"/>
      <c r="T3869"/>
      <c r="U3869"/>
      <c r="V3869"/>
      <c r="W3869"/>
      <c r="X3869"/>
    </row>
    <row r="3870" spans="5:24" x14ac:dyDescent="0.3">
      <c r="E3870" s="173"/>
      <c r="F3870" s="173"/>
      <c r="I3870"/>
      <c r="J3870"/>
      <c r="K3870"/>
      <c r="L3870"/>
      <c r="M3870"/>
      <c r="N3870"/>
      <c r="O3870"/>
      <c r="P3870" s="225"/>
      <c r="Q3870" s="225"/>
      <c r="R3870"/>
      <c r="S3870"/>
      <c r="T3870"/>
      <c r="U3870"/>
      <c r="V3870"/>
      <c r="W3870"/>
      <c r="X3870"/>
    </row>
    <row r="3871" spans="5:24" x14ac:dyDescent="0.3">
      <c r="E3871" s="173"/>
      <c r="F3871" s="173"/>
      <c r="I3871"/>
      <c r="J3871"/>
      <c r="K3871"/>
      <c r="L3871"/>
      <c r="M3871"/>
      <c r="N3871"/>
      <c r="O3871"/>
      <c r="P3871" s="225"/>
      <c r="Q3871" s="225"/>
      <c r="R3871"/>
      <c r="S3871"/>
      <c r="T3871"/>
      <c r="U3871"/>
      <c r="V3871"/>
      <c r="W3871"/>
      <c r="X3871"/>
    </row>
    <row r="3872" spans="5:24" x14ac:dyDescent="0.3">
      <c r="E3872" s="173"/>
      <c r="F3872" s="173"/>
      <c r="I3872"/>
      <c r="J3872"/>
      <c r="K3872"/>
      <c r="L3872"/>
      <c r="M3872"/>
      <c r="N3872"/>
      <c r="O3872"/>
      <c r="P3872" s="225"/>
      <c r="Q3872" s="225"/>
      <c r="R3872"/>
      <c r="S3872"/>
      <c r="T3872"/>
      <c r="U3872"/>
      <c r="V3872"/>
      <c r="W3872"/>
      <c r="X3872"/>
    </row>
    <row r="3873" spans="5:24" x14ac:dyDescent="0.3">
      <c r="E3873" s="173"/>
      <c r="F3873" s="173"/>
      <c r="I3873"/>
      <c r="J3873"/>
      <c r="K3873"/>
      <c r="L3873"/>
      <c r="M3873"/>
      <c r="N3873"/>
      <c r="O3873"/>
      <c r="P3873" s="225"/>
      <c r="Q3873" s="225"/>
      <c r="R3873"/>
      <c r="S3873"/>
      <c r="T3873"/>
      <c r="U3873"/>
      <c r="V3873"/>
      <c r="W3873"/>
      <c r="X3873"/>
    </row>
    <row r="3874" spans="5:24" x14ac:dyDescent="0.3">
      <c r="E3874" s="173"/>
      <c r="F3874" s="173"/>
      <c r="I3874"/>
      <c r="J3874"/>
      <c r="K3874"/>
      <c r="L3874"/>
      <c r="M3874"/>
      <c r="N3874"/>
      <c r="O3874"/>
      <c r="P3874" s="225"/>
      <c r="Q3874" s="225"/>
      <c r="R3874"/>
      <c r="S3874"/>
      <c r="T3874"/>
      <c r="U3874"/>
      <c r="V3874"/>
      <c r="W3874"/>
      <c r="X3874"/>
    </row>
    <row r="3875" spans="5:24" x14ac:dyDescent="0.3">
      <c r="E3875" s="173"/>
      <c r="F3875" s="173"/>
      <c r="I3875"/>
      <c r="J3875"/>
      <c r="K3875"/>
      <c r="L3875"/>
      <c r="M3875"/>
      <c r="N3875"/>
      <c r="O3875"/>
      <c r="P3875" s="225"/>
      <c r="Q3875" s="225"/>
      <c r="R3875"/>
      <c r="S3875"/>
      <c r="T3875"/>
      <c r="U3875"/>
      <c r="V3875"/>
      <c r="W3875"/>
      <c r="X3875"/>
    </row>
    <row r="3876" spans="5:24" x14ac:dyDescent="0.3">
      <c r="E3876" s="173"/>
      <c r="F3876" s="173"/>
      <c r="I3876"/>
      <c r="J3876"/>
      <c r="K3876"/>
      <c r="L3876"/>
      <c r="M3876"/>
      <c r="N3876"/>
      <c r="O3876"/>
      <c r="P3876" s="225"/>
      <c r="Q3876" s="225"/>
      <c r="R3876"/>
      <c r="S3876"/>
      <c r="T3876"/>
      <c r="U3876"/>
      <c r="V3876"/>
      <c r="W3876"/>
      <c r="X3876"/>
    </row>
    <row r="3877" spans="5:24" x14ac:dyDescent="0.3">
      <c r="E3877" s="173"/>
      <c r="F3877" s="173"/>
      <c r="I3877"/>
      <c r="J3877"/>
      <c r="K3877"/>
      <c r="L3877"/>
      <c r="M3877"/>
      <c r="N3877"/>
      <c r="O3877"/>
      <c r="P3877" s="225"/>
      <c r="Q3877" s="225"/>
      <c r="R3877"/>
      <c r="S3877"/>
      <c r="T3877"/>
      <c r="U3877"/>
      <c r="V3877"/>
      <c r="W3877"/>
      <c r="X3877"/>
    </row>
    <row r="3878" spans="5:24" x14ac:dyDescent="0.3">
      <c r="E3878" s="173"/>
      <c r="F3878" s="173"/>
      <c r="I3878"/>
      <c r="J3878"/>
      <c r="K3878"/>
      <c r="L3878"/>
      <c r="M3878"/>
      <c r="N3878"/>
      <c r="O3878"/>
      <c r="P3878" s="225"/>
      <c r="Q3878" s="225"/>
      <c r="R3878"/>
      <c r="S3878"/>
      <c r="T3878"/>
      <c r="U3878"/>
      <c r="V3878"/>
      <c r="W3878"/>
      <c r="X3878"/>
    </row>
    <row r="3879" spans="5:24" x14ac:dyDescent="0.3">
      <c r="E3879" s="173"/>
      <c r="F3879" s="173"/>
      <c r="I3879"/>
      <c r="J3879"/>
      <c r="K3879"/>
      <c r="L3879"/>
      <c r="M3879"/>
      <c r="N3879"/>
      <c r="O3879"/>
      <c r="P3879" s="225"/>
      <c r="Q3879" s="225"/>
      <c r="R3879"/>
      <c r="S3879"/>
      <c r="T3879"/>
      <c r="U3879"/>
      <c r="V3879"/>
      <c r="W3879"/>
      <c r="X3879"/>
    </row>
    <row r="3880" spans="5:24" x14ac:dyDescent="0.3">
      <c r="E3880" s="173"/>
      <c r="F3880" s="173"/>
      <c r="I3880"/>
      <c r="J3880"/>
      <c r="K3880"/>
      <c r="L3880"/>
      <c r="M3880"/>
      <c r="N3880"/>
      <c r="O3880"/>
      <c r="P3880" s="225"/>
      <c r="Q3880" s="225"/>
      <c r="R3880"/>
      <c r="S3880"/>
      <c r="T3880"/>
      <c r="U3880"/>
      <c r="V3880"/>
      <c r="W3880"/>
      <c r="X3880"/>
    </row>
    <row r="3881" spans="5:24" x14ac:dyDescent="0.3">
      <c r="E3881" s="173"/>
      <c r="F3881" s="173"/>
      <c r="I3881"/>
      <c r="J3881"/>
      <c r="K3881"/>
      <c r="L3881"/>
      <c r="M3881"/>
      <c r="N3881"/>
      <c r="O3881"/>
      <c r="P3881" s="225"/>
      <c r="Q3881" s="225"/>
      <c r="R3881"/>
      <c r="S3881"/>
      <c r="T3881"/>
      <c r="U3881"/>
      <c r="V3881"/>
      <c r="W3881"/>
      <c r="X3881"/>
    </row>
    <row r="3882" spans="5:24" x14ac:dyDescent="0.3">
      <c r="E3882" s="173"/>
      <c r="F3882" s="173"/>
      <c r="I3882"/>
      <c r="J3882"/>
      <c r="K3882"/>
      <c r="L3882"/>
      <c r="M3882"/>
      <c r="N3882"/>
      <c r="O3882"/>
      <c r="P3882" s="225"/>
      <c r="Q3882" s="225"/>
      <c r="R3882"/>
      <c r="S3882"/>
      <c r="T3882"/>
      <c r="U3882"/>
      <c r="V3882"/>
      <c r="W3882"/>
      <c r="X3882"/>
    </row>
    <row r="3883" spans="5:24" x14ac:dyDescent="0.3">
      <c r="E3883" s="173"/>
      <c r="F3883" s="173"/>
      <c r="I3883"/>
      <c r="J3883"/>
      <c r="K3883"/>
      <c r="L3883"/>
      <c r="M3883"/>
      <c r="N3883"/>
      <c r="O3883"/>
      <c r="P3883" s="225"/>
      <c r="Q3883" s="225"/>
      <c r="R3883"/>
      <c r="S3883"/>
      <c r="T3883"/>
      <c r="U3883"/>
      <c r="V3883"/>
      <c r="W3883"/>
      <c r="X3883"/>
    </row>
    <row r="3884" spans="5:24" x14ac:dyDescent="0.3">
      <c r="E3884" s="173"/>
      <c r="F3884" s="173"/>
      <c r="I3884"/>
      <c r="J3884"/>
      <c r="K3884"/>
      <c r="L3884"/>
      <c r="M3884"/>
      <c r="N3884"/>
      <c r="O3884"/>
      <c r="P3884" s="225"/>
      <c r="Q3884" s="225"/>
      <c r="R3884"/>
      <c r="S3884"/>
      <c r="T3884"/>
      <c r="U3884"/>
      <c r="V3884"/>
      <c r="W3884"/>
      <c r="X3884"/>
    </row>
    <row r="3885" spans="5:24" x14ac:dyDescent="0.3">
      <c r="E3885" s="173"/>
      <c r="F3885" s="173"/>
      <c r="I3885"/>
      <c r="J3885"/>
      <c r="K3885"/>
      <c r="L3885"/>
      <c r="M3885"/>
      <c r="N3885"/>
      <c r="O3885"/>
      <c r="P3885" s="225"/>
      <c r="Q3885" s="225"/>
      <c r="R3885"/>
      <c r="S3885"/>
      <c r="T3885"/>
      <c r="U3885"/>
      <c r="V3885"/>
      <c r="W3885"/>
      <c r="X3885"/>
    </row>
    <row r="3886" spans="5:24" x14ac:dyDescent="0.3">
      <c r="E3886" s="173"/>
      <c r="F3886" s="173"/>
      <c r="I3886"/>
      <c r="J3886"/>
      <c r="K3886"/>
      <c r="L3886"/>
      <c r="M3886"/>
      <c r="N3886"/>
      <c r="O3886"/>
      <c r="P3886" s="225"/>
      <c r="Q3886" s="225"/>
      <c r="R3886"/>
      <c r="S3886"/>
      <c r="T3886"/>
      <c r="U3886"/>
      <c r="V3886"/>
      <c r="W3886"/>
      <c r="X3886"/>
    </row>
    <row r="3887" spans="5:24" x14ac:dyDescent="0.3">
      <c r="E3887" s="173"/>
      <c r="F3887" s="173"/>
      <c r="I3887"/>
      <c r="J3887"/>
      <c r="K3887"/>
      <c r="L3887"/>
      <c r="M3887"/>
      <c r="N3887"/>
      <c r="O3887"/>
      <c r="P3887" s="225"/>
      <c r="Q3887" s="225"/>
      <c r="R3887"/>
      <c r="S3887"/>
      <c r="T3887"/>
      <c r="U3887"/>
      <c r="V3887"/>
      <c r="W3887"/>
      <c r="X3887"/>
    </row>
    <row r="3888" spans="5:24" x14ac:dyDescent="0.3">
      <c r="E3888" s="173"/>
      <c r="F3888" s="173"/>
      <c r="I3888"/>
      <c r="J3888"/>
      <c r="K3888"/>
      <c r="L3888"/>
      <c r="M3888"/>
      <c r="N3888"/>
      <c r="O3888"/>
      <c r="P3888" s="225"/>
      <c r="Q3888" s="225"/>
      <c r="R3888"/>
      <c r="S3888"/>
      <c r="T3888"/>
      <c r="U3888"/>
      <c r="V3888"/>
      <c r="W3888"/>
      <c r="X3888"/>
    </row>
    <row r="3889" spans="5:24" x14ac:dyDescent="0.3">
      <c r="E3889" s="173"/>
      <c r="F3889" s="173"/>
      <c r="I3889"/>
      <c r="J3889"/>
      <c r="K3889"/>
      <c r="L3889"/>
      <c r="M3889"/>
      <c r="N3889"/>
      <c r="O3889"/>
      <c r="P3889" s="225"/>
      <c r="Q3889" s="225"/>
      <c r="R3889"/>
      <c r="S3889"/>
      <c r="T3889"/>
      <c r="U3889"/>
      <c r="V3889"/>
      <c r="W3889"/>
      <c r="X3889"/>
    </row>
    <row r="3890" spans="5:24" x14ac:dyDescent="0.3">
      <c r="E3890" s="173"/>
      <c r="F3890" s="173"/>
      <c r="I3890"/>
      <c r="J3890"/>
      <c r="K3890"/>
      <c r="L3890"/>
      <c r="M3890"/>
      <c r="N3890"/>
      <c r="O3890"/>
      <c r="P3890" s="225"/>
      <c r="Q3890" s="225"/>
      <c r="R3890"/>
      <c r="S3890"/>
      <c r="T3890"/>
      <c r="U3890"/>
      <c r="V3890"/>
      <c r="W3890"/>
      <c r="X3890"/>
    </row>
    <row r="3891" spans="5:24" x14ac:dyDescent="0.3">
      <c r="E3891" s="173"/>
      <c r="F3891" s="173"/>
      <c r="I3891"/>
      <c r="J3891"/>
      <c r="K3891"/>
      <c r="L3891"/>
      <c r="M3891"/>
      <c r="N3891"/>
      <c r="O3891"/>
      <c r="P3891" s="225"/>
      <c r="Q3891" s="225"/>
      <c r="R3891"/>
      <c r="S3891"/>
      <c r="T3891"/>
      <c r="U3891"/>
      <c r="V3891"/>
      <c r="W3891"/>
      <c r="X3891"/>
    </row>
    <row r="3892" spans="5:24" x14ac:dyDescent="0.3">
      <c r="E3892" s="173"/>
      <c r="F3892" s="173"/>
      <c r="I3892"/>
      <c r="J3892"/>
      <c r="K3892"/>
      <c r="L3892"/>
      <c r="M3892"/>
      <c r="N3892"/>
      <c r="O3892"/>
      <c r="P3892" s="225"/>
      <c r="Q3892" s="225"/>
      <c r="R3892"/>
      <c r="S3892"/>
      <c r="T3892"/>
      <c r="U3892"/>
      <c r="V3892"/>
      <c r="W3892"/>
      <c r="X3892"/>
    </row>
    <row r="3893" spans="5:24" x14ac:dyDescent="0.3">
      <c r="E3893" s="173"/>
      <c r="F3893" s="173"/>
      <c r="I3893"/>
      <c r="J3893"/>
      <c r="K3893"/>
      <c r="L3893"/>
      <c r="M3893"/>
      <c r="N3893"/>
      <c r="O3893"/>
      <c r="P3893" s="225"/>
      <c r="Q3893" s="225"/>
      <c r="R3893"/>
      <c r="S3893"/>
      <c r="T3893"/>
      <c r="U3893"/>
      <c r="V3893"/>
      <c r="W3893"/>
      <c r="X3893"/>
    </row>
    <row r="3894" spans="5:24" x14ac:dyDescent="0.3">
      <c r="E3894" s="173"/>
      <c r="F3894" s="173"/>
      <c r="I3894"/>
      <c r="J3894"/>
      <c r="K3894"/>
      <c r="L3894"/>
      <c r="M3894"/>
      <c r="N3894"/>
      <c r="O3894"/>
      <c r="P3894" s="225"/>
      <c r="Q3894" s="225"/>
      <c r="R3894"/>
      <c r="S3894"/>
      <c r="T3894"/>
      <c r="U3894"/>
      <c r="V3894"/>
      <c r="W3894"/>
      <c r="X3894"/>
    </row>
    <row r="3895" spans="5:24" x14ac:dyDescent="0.3">
      <c r="E3895" s="173"/>
      <c r="F3895" s="173"/>
      <c r="I3895"/>
      <c r="J3895"/>
      <c r="K3895"/>
      <c r="L3895"/>
      <c r="M3895"/>
      <c r="N3895"/>
      <c r="O3895"/>
      <c r="P3895" s="225"/>
      <c r="Q3895" s="225"/>
      <c r="R3895"/>
      <c r="S3895"/>
      <c r="T3895"/>
      <c r="U3895"/>
      <c r="V3895"/>
      <c r="W3895"/>
      <c r="X3895"/>
    </row>
    <row r="3896" spans="5:24" x14ac:dyDescent="0.3">
      <c r="E3896" s="173"/>
      <c r="F3896" s="173"/>
      <c r="I3896"/>
      <c r="J3896"/>
      <c r="K3896"/>
      <c r="L3896"/>
      <c r="M3896"/>
      <c r="N3896"/>
      <c r="O3896"/>
      <c r="P3896" s="225"/>
      <c r="Q3896" s="225"/>
      <c r="R3896"/>
      <c r="S3896"/>
      <c r="T3896"/>
      <c r="U3896"/>
      <c r="V3896"/>
      <c r="W3896"/>
      <c r="X3896"/>
    </row>
    <row r="3897" spans="5:24" x14ac:dyDescent="0.3">
      <c r="E3897" s="173"/>
      <c r="F3897" s="173"/>
      <c r="I3897"/>
      <c r="J3897"/>
      <c r="K3897"/>
      <c r="L3897"/>
      <c r="M3897"/>
      <c r="N3897"/>
      <c r="O3897"/>
      <c r="P3897" s="225"/>
      <c r="Q3897" s="225"/>
      <c r="R3897"/>
      <c r="S3897"/>
      <c r="T3897"/>
      <c r="U3897"/>
      <c r="V3897"/>
      <c r="W3897"/>
      <c r="X3897"/>
    </row>
    <row r="3898" spans="5:24" x14ac:dyDescent="0.3">
      <c r="E3898" s="173"/>
      <c r="F3898" s="173"/>
      <c r="I3898"/>
      <c r="J3898"/>
      <c r="K3898"/>
      <c r="L3898"/>
      <c r="M3898"/>
      <c r="N3898"/>
      <c r="O3898"/>
      <c r="P3898" s="225"/>
      <c r="Q3898" s="225"/>
      <c r="R3898"/>
      <c r="S3898"/>
      <c r="T3898"/>
      <c r="U3898"/>
      <c r="V3898"/>
      <c r="W3898"/>
      <c r="X3898"/>
    </row>
    <row r="3899" spans="5:24" x14ac:dyDescent="0.3">
      <c r="E3899" s="173"/>
      <c r="F3899" s="173"/>
      <c r="I3899"/>
      <c r="J3899"/>
      <c r="K3899"/>
      <c r="L3899"/>
      <c r="M3899"/>
      <c r="N3899"/>
      <c r="O3899"/>
      <c r="P3899" s="225"/>
      <c r="Q3899" s="225"/>
      <c r="R3899"/>
      <c r="S3899"/>
      <c r="T3899"/>
      <c r="U3899"/>
      <c r="V3899"/>
      <c r="W3899"/>
      <c r="X3899"/>
    </row>
    <row r="3900" spans="5:24" x14ac:dyDescent="0.3">
      <c r="E3900" s="173"/>
      <c r="F3900" s="173"/>
      <c r="I3900"/>
      <c r="J3900"/>
      <c r="K3900"/>
      <c r="L3900"/>
      <c r="M3900"/>
      <c r="N3900"/>
      <c r="O3900"/>
      <c r="P3900" s="225"/>
      <c r="Q3900" s="225"/>
      <c r="R3900"/>
      <c r="S3900"/>
      <c r="T3900"/>
      <c r="U3900"/>
      <c r="V3900"/>
      <c r="W3900"/>
      <c r="X3900"/>
    </row>
    <row r="3901" spans="5:24" x14ac:dyDescent="0.3">
      <c r="E3901" s="173"/>
      <c r="F3901" s="173"/>
      <c r="I3901"/>
      <c r="J3901"/>
      <c r="K3901"/>
      <c r="L3901"/>
      <c r="M3901"/>
      <c r="N3901"/>
      <c r="O3901"/>
      <c r="P3901" s="225"/>
      <c r="Q3901" s="225"/>
      <c r="R3901"/>
      <c r="S3901"/>
      <c r="T3901"/>
      <c r="U3901"/>
      <c r="V3901"/>
      <c r="W3901"/>
      <c r="X3901"/>
    </row>
    <row r="3902" spans="5:24" x14ac:dyDescent="0.3">
      <c r="E3902" s="173"/>
      <c r="F3902" s="173"/>
      <c r="I3902"/>
      <c r="J3902"/>
      <c r="K3902"/>
      <c r="L3902"/>
      <c r="M3902"/>
      <c r="N3902"/>
      <c r="O3902"/>
      <c r="P3902" s="225"/>
      <c r="Q3902" s="225"/>
      <c r="R3902"/>
      <c r="S3902"/>
      <c r="T3902"/>
      <c r="U3902"/>
      <c r="V3902"/>
      <c r="W3902"/>
      <c r="X3902"/>
    </row>
    <row r="3903" spans="5:24" x14ac:dyDescent="0.3">
      <c r="E3903" s="173"/>
      <c r="F3903" s="173"/>
      <c r="I3903"/>
      <c r="J3903"/>
      <c r="K3903"/>
      <c r="L3903"/>
      <c r="M3903"/>
      <c r="N3903"/>
      <c r="O3903"/>
      <c r="P3903" s="225"/>
      <c r="Q3903" s="225"/>
      <c r="R3903"/>
      <c r="S3903"/>
      <c r="T3903"/>
      <c r="U3903"/>
      <c r="V3903"/>
      <c r="W3903"/>
      <c r="X3903"/>
    </row>
    <row r="3904" spans="5:24" x14ac:dyDescent="0.3">
      <c r="E3904" s="173"/>
      <c r="F3904" s="173"/>
      <c r="I3904"/>
      <c r="J3904"/>
      <c r="K3904"/>
      <c r="L3904"/>
      <c r="M3904"/>
      <c r="N3904"/>
      <c r="O3904"/>
      <c r="P3904" s="225"/>
      <c r="Q3904" s="225"/>
      <c r="R3904"/>
      <c r="S3904"/>
      <c r="T3904"/>
      <c r="U3904"/>
      <c r="V3904"/>
      <c r="W3904"/>
      <c r="X3904"/>
    </row>
    <row r="3905" spans="5:24" x14ac:dyDescent="0.3">
      <c r="E3905" s="173"/>
      <c r="F3905" s="173"/>
      <c r="I3905"/>
      <c r="J3905"/>
      <c r="K3905"/>
      <c r="L3905"/>
      <c r="M3905"/>
      <c r="N3905"/>
      <c r="O3905"/>
      <c r="P3905" s="225"/>
      <c r="Q3905" s="225"/>
      <c r="R3905"/>
      <c r="S3905"/>
      <c r="T3905"/>
      <c r="U3905"/>
      <c r="V3905"/>
      <c r="W3905"/>
      <c r="X3905"/>
    </row>
    <row r="3906" spans="5:24" x14ac:dyDescent="0.3">
      <c r="E3906" s="173"/>
      <c r="F3906" s="173"/>
      <c r="I3906"/>
      <c r="J3906"/>
      <c r="K3906"/>
      <c r="L3906"/>
      <c r="M3906"/>
      <c r="N3906"/>
      <c r="O3906"/>
      <c r="P3906" s="225"/>
      <c r="Q3906" s="225"/>
      <c r="R3906"/>
      <c r="S3906"/>
      <c r="T3906"/>
      <c r="U3906"/>
      <c r="V3906"/>
      <c r="W3906"/>
      <c r="X3906"/>
    </row>
    <row r="3907" spans="5:24" x14ac:dyDescent="0.3">
      <c r="E3907" s="173"/>
      <c r="F3907" s="173"/>
      <c r="I3907"/>
      <c r="J3907"/>
      <c r="K3907"/>
      <c r="L3907"/>
      <c r="M3907"/>
      <c r="N3907"/>
      <c r="O3907"/>
      <c r="P3907" s="225"/>
      <c r="Q3907" s="225"/>
      <c r="R3907"/>
      <c r="S3907"/>
      <c r="T3907"/>
      <c r="U3907"/>
      <c r="V3907"/>
      <c r="W3907"/>
      <c r="X3907"/>
    </row>
    <row r="3908" spans="5:24" x14ac:dyDescent="0.3">
      <c r="E3908" s="173"/>
      <c r="F3908" s="173"/>
      <c r="I3908"/>
      <c r="J3908"/>
      <c r="K3908"/>
      <c r="L3908"/>
      <c r="M3908"/>
      <c r="N3908"/>
      <c r="O3908"/>
      <c r="P3908" s="225"/>
      <c r="Q3908" s="225"/>
      <c r="R3908"/>
      <c r="S3908"/>
      <c r="T3908"/>
      <c r="U3908"/>
      <c r="V3908"/>
      <c r="W3908"/>
      <c r="X3908"/>
    </row>
    <row r="3909" spans="5:24" x14ac:dyDescent="0.3">
      <c r="E3909" s="173"/>
      <c r="F3909" s="173"/>
      <c r="I3909"/>
      <c r="J3909"/>
      <c r="K3909"/>
      <c r="L3909"/>
      <c r="M3909"/>
      <c r="N3909"/>
      <c r="O3909"/>
      <c r="P3909" s="225"/>
      <c r="Q3909" s="225"/>
      <c r="R3909"/>
      <c r="S3909"/>
      <c r="T3909"/>
      <c r="U3909"/>
      <c r="V3909"/>
      <c r="W3909"/>
      <c r="X3909"/>
    </row>
    <row r="3910" spans="5:24" x14ac:dyDescent="0.3">
      <c r="E3910" s="173"/>
      <c r="F3910" s="173"/>
      <c r="I3910"/>
      <c r="J3910"/>
      <c r="K3910"/>
      <c r="L3910"/>
      <c r="M3910"/>
      <c r="N3910"/>
      <c r="O3910"/>
      <c r="P3910" s="225"/>
      <c r="Q3910" s="225"/>
      <c r="R3910"/>
      <c r="S3910"/>
      <c r="T3910"/>
      <c r="U3910"/>
      <c r="V3910"/>
      <c r="W3910"/>
      <c r="X3910"/>
    </row>
    <row r="3911" spans="5:24" x14ac:dyDescent="0.3">
      <c r="E3911" s="173"/>
      <c r="F3911" s="173"/>
      <c r="I3911"/>
      <c r="J3911"/>
      <c r="K3911"/>
      <c r="L3911"/>
      <c r="M3911"/>
      <c r="N3911"/>
      <c r="O3911"/>
      <c r="P3911" s="225"/>
      <c r="Q3911" s="225"/>
      <c r="R3911"/>
      <c r="S3911"/>
      <c r="T3911"/>
      <c r="U3911"/>
      <c r="V3911"/>
      <c r="W3911"/>
      <c r="X3911"/>
    </row>
    <row r="3912" spans="5:24" x14ac:dyDescent="0.3">
      <c r="E3912" s="173"/>
      <c r="F3912" s="173"/>
      <c r="I3912"/>
      <c r="J3912"/>
      <c r="K3912"/>
      <c r="L3912"/>
      <c r="M3912"/>
      <c r="N3912"/>
      <c r="O3912"/>
      <c r="P3912" s="225"/>
      <c r="Q3912" s="225"/>
      <c r="R3912"/>
      <c r="S3912"/>
      <c r="T3912"/>
      <c r="U3912"/>
      <c r="V3912"/>
      <c r="W3912"/>
      <c r="X3912"/>
    </row>
    <row r="3913" spans="5:24" x14ac:dyDescent="0.3">
      <c r="E3913" s="173"/>
      <c r="F3913" s="173"/>
      <c r="I3913"/>
      <c r="J3913"/>
      <c r="K3913"/>
      <c r="L3913"/>
      <c r="M3913"/>
      <c r="N3913"/>
      <c r="O3913"/>
      <c r="P3913" s="225"/>
      <c r="Q3913" s="225"/>
      <c r="R3913"/>
      <c r="S3913"/>
      <c r="T3913"/>
      <c r="U3913"/>
      <c r="V3913"/>
      <c r="W3913"/>
      <c r="X3913"/>
    </row>
    <row r="3914" spans="5:24" x14ac:dyDescent="0.3">
      <c r="E3914" s="173"/>
      <c r="F3914" s="173"/>
      <c r="I3914"/>
      <c r="J3914"/>
      <c r="K3914"/>
      <c r="L3914"/>
      <c r="M3914"/>
      <c r="N3914"/>
      <c r="O3914"/>
      <c r="P3914" s="225"/>
      <c r="Q3914" s="225"/>
      <c r="R3914"/>
      <c r="S3914"/>
      <c r="T3914"/>
      <c r="U3914"/>
      <c r="V3914"/>
      <c r="W3914"/>
      <c r="X3914"/>
    </row>
    <row r="3915" spans="5:24" x14ac:dyDescent="0.3">
      <c r="E3915" s="173"/>
      <c r="F3915" s="173"/>
      <c r="I3915"/>
      <c r="J3915"/>
      <c r="K3915"/>
      <c r="L3915"/>
      <c r="M3915"/>
      <c r="N3915"/>
      <c r="O3915"/>
      <c r="P3915" s="225"/>
      <c r="Q3915" s="225"/>
      <c r="R3915"/>
      <c r="S3915"/>
      <c r="T3915"/>
      <c r="U3915"/>
      <c r="V3915"/>
      <c r="W3915"/>
      <c r="X3915"/>
    </row>
    <row r="3916" spans="5:24" x14ac:dyDescent="0.3">
      <c r="E3916" s="173"/>
      <c r="F3916" s="173"/>
      <c r="I3916"/>
      <c r="J3916"/>
      <c r="K3916"/>
      <c r="L3916"/>
      <c r="M3916"/>
      <c r="N3916"/>
      <c r="O3916"/>
      <c r="P3916" s="225"/>
      <c r="Q3916" s="225"/>
      <c r="R3916"/>
      <c r="S3916"/>
      <c r="T3916"/>
      <c r="U3916"/>
      <c r="V3916"/>
      <c r="W3916"/>
      <c r="X3916"/>
    </row>
    <row r="3917" spans="5:24" x14ac:dyDescent="0.3">
      <c r="E3917" s="173"/>
      <c r="F3917" s="173"/>
      <c r="I3917"/>
      <c r="J3917"/>
      <c r="K3917"/>
      <c r="L3917"/>
      <c r="M3917"/>
      <c r="N3917"/>
      <c r="O3917"/>
      <c r="P3917" s="225"/>
      <c r="Q3917" s="225"/>
      <c r="R3917"/>
      <c r="S3917"/>
      <c r="T3917"/>
      <c r="U3917"/>
      <c r="V3917"/>
      <c r="W3917"/>
      <c r="X3917"/>
    </row>
    <row r="3918" spans="5:24" x14ac:dyDescent="0.3">
      <c r="E3918" s="173"/>
      <c r="F3918" s="173"/>
      <c r="I3918"/>
      <c r="J3918"/>
      <c r="K3918"/>
      <c r="L3918"/>
      <c r="M3918"/>
      <c r="N3918"/>
      <c r="O3918"/>
      <c r="P3918" s="225"/>
      <c r="Q3918" s="225"/>
      <c r="R3918"/>
      <c r="S3918"/>
      <c r="T3918"/>
      <c r="U3918"/>
      <c r="V3918"/>
      <c r="W3918"/>
      <c r="X3918"/>
    </row>
    <row r="3919" spans="5:24" x14ac:dyDescent="0.3">
      <c r="E3919" s="173"/>
      <c r="F3919" s="173"/>
      <c r="I3919"/>
      <c r="J3919"/>
      <c r="K3919"/>
      <c r="L3919"/>
      <c r="M3919"/>
      <c r="N3919"/>
      <c r="O3919"/>
      <c r="P3919" s="225"/>
      <c r="Q3919" s="225"/>
      <c r="R3919"/>
      <c r="S3919"/>
      <c r="T3919"/>
      <c r="U3919"/>
      <c r="V3919"/>
      <c r="W3919"/>
      <c r="X3919"/>
    </row>
    <row r="3920" spans="5:24" x14ac:dyDescent="0.3">
      <c r="E3920" s="173"/>
      <c r="F3920" s="173"/>
      <c r="I3920"/>
      <c r="J3920"/>
      <c r="K3920"/>
      <c r="L3920"/>
      <c r="M3920"/>
      <c r="N3920"/>
      <c r="O3920"/>
      <c r="P3920" s="225"/>
      <c r="Q3920" s="225"/>
      <c r="R3920"/>
      <c r="S3920"/>
      <c r="T3920"/>
      <c r="U3920"/>
      <c r="V3920"/>
      <c r="W3920"/>
      <c r="X3920"/>
    </row>
    <row r="3921" spans="5:24" x14ac:dyDescent="0.3">
      <c r="E3921" s="173"/>
      <c r="F3921" s="173"/>
      <c r="I3921"/>
      <c r="J3921"/>
      <c r="K3921"/>
      <c r="L3921"/>
      <c r="M3921"/>
      <c r="N3921"/>
      <c r="O3921"/>
      <c r="P3921" s="225"/>
      <c r="Q3921" s="225"/>
      <c r="R3921"/>
      <c r="S3921"/>
      <c r="T3921"/>
      <c r="U3921"/>
      <c r="V3921"/>
      <c r="W3921"/>
      <c r="X3921"/>
    </row>
    <row r="3922" spans="5:24" x14ac:dyDescent="0.3">
      <c r="E3922" s="173"/>
      <c r="F3922" s="173"/>
      <c r="I3922"/>
      <c r="J3922"/>
      <c r="K3922"/>
      <c r="L3922"/>
      <c r="M3922"/>
      <c r="N3922"/>
      <c r="O3922"/>
      <c r="P3922" s="225"/>
      <c r="Q3922" s="225"/>
      <c r="R3922"/>
      <c r="S3922"/>
      <c r="T3922"/>
      <c r="U3922"/>
      <c r="V3922"/>
      <c r="W3922"/>
      <c r="X3922"/>
    </row>
    <row r="3923" spans="5:24" x14ac:dyDescent="0.3">
      <c r="E3923" s="173"/>
      <c r="F3923" s="173"/>
      <c r="I3923"/>
      <c r="J3923"/>
      <c r="K3923"/>
      <c r="L3923"/>
      <c r="M3923"/>
      <c r="N3923"/>
      <c r="O3923"/>
      <c r="P3923" s="225"/>
      <c r="Q3923" s="225"/>
      <c r="R3923"/>
      <c r="S3923"/>
      <c r="T3923"/>
      <c r="U3923"/>
      <c r="V3923"/>
      <c r="W3923"/>
      <c r="X3923"/>
    </row>
    <row r="3924" spans="5:24" x14ac:dyDescent="0.3">
      <c r="E3924" s="173"/>
      <c r="F3924" s="173"/>
      <c r="I3924"/>
      <c r="J3924"/>
      <c r="K3924"/>
      <c r="L3924"/>
      <c r="M3924"/>
      <c r="N3924"/>
      <c r="O3924"/>
      <c r="P3924" s="225"/>
      <c r="Q3924" s="225"/>
      <c r="R3924"/>
      <c r="S3924"/>
      <c r="T3924"/>
      <c r="U3924"/>
      <c r="V3924"/>
      <c r="W3924"/>
      <c r="X3924"/>
    </row>
    <row r="3925" spans="5:24" x14ac:dyDescent="0.3">
      <c r="E3925" s="173"/>
      <c r="F3925" s="173"/>
      <c r="I3925"/>
      <c r="J3925"/>
      <c r="K3925"/>
      <c r="L3925"/>
      <c r="M3925"/>
      <c r="N3925"/>
      <c r="O3925"/>
      <c r="P3925" s="225"/>
      <c r="Q3925" s="225"/>
      <c r="R3925"/>
      <c r="S3925"/>
      <c r="T3925"/>
      <c r="U3925"/>
      <c r="V3925"/>
      <c r="W3925"/>
      <c r="X3925"/>
    </row>
    <row r="3926" spans="5:24" x14ac:dyDescent="0.3">
      <c r="E3926" s="173"/>
      <c r="F3926" s="173"/>
      <c r="I3926"/>
      <c r="J3926"/>
      <c r="K3926"/>
      <c r="L3926"/>
      <c r="M3926"/>
      <c r="N3926"/>
      <c r="O3926"/>
      <c r="P3926" s="225"/>
      <c r="Q3926" s="225"/>
      <c r="R3926"/>
      <c r="S3926"/>
      <c r="T3926"/>
      <c r="U3926"/>
      <c r="V3926"/>
      <c r="W3926"/>
      <c r="X3926"/>
    </row>
    <row r="3927" spans="5:24" x14ac:dyDescent="0.3">
      <c r="E3927" s="173"/>
      <c r="F3927" s="173"/>
      <c r="I3927"/>
      <c r="J3927"/>
      <c r="K3927"/>
      <c r="L3927"/>
      <c r="M3927"/>
      <c r="N3927"/>
      <c r="O3927"/>
      <c r="P3927" s="225"/>
      <c r="Q3927" s="225"/>
      <c r="R3927"/>
      <c r="S3927"/>
      <c r="T3927"/>
      <c r="U3927"/>
      <c r="V3927"/>
      <c r="W3927"/>
      <c r="X3927"/>
    </row>
    <row r="3928" spans="5:24" x14ac:dyDescent="0.3">
      <c r="E3928" s="173"/>
      <c r="F3928" s="173"/>
      <c r="I3928"/>
      <c r="J3928"/>
      <c r="K3928"/>
      <c r="L3928"/>
      <c r="M3928"/>
      <c r="N3928"/>
      <c r="O3928"/>
      <c r="P3928" s="225"/>
      <c r="Q3928" s="225"/>
      <c r="R3928"/>
      <c r="S3928"/>
      <c r="T3928"/>
      <c r="U3928"/>
      <c r="V3928"/>
      <c r="W3928"/>
      <c r="X3928"/>
    </row>
    <row r="3929" spans="5:24" x14ac:dyDescent="0.3">
      <c r="E3929" s="173"/>
      <c r="F3929" s="173"/>
      <c r="I3929"/>
      <c r="J3929"/>
      <c r="K3929"/>
      <c r="L3929"/>
      <c r="M3929"/>
      <c r="N3929"/>
      <c r="O3929"/>
      <c r="P3929" s="225"/>
      <c r="Q3929" s="225"/>
      <c r="R3929"/>
      <c r="S3929"/>
      <c r="T3929"/>
      <c r="U3929"/>
      <c r="V3929"/>
      <c r="W3929"/>
      <c r="X3929"/>
    </row>
    <row r="3930" spans="5:24" x14ac:dyDescent="0.3">
      <c r="E3930" s="173"/>
      <c r="F3930" s="173"/>
      <c r="I3930"/>
      <c r="J3930"/>
      <c r="K3930"/>
      <c r="L3930"/>
      <c r="M3930"/>
      <c r="N3930"/>
      <c r="O3930"/>
      <c r="P3930" s="225"/>
      <c r="Q3930" s="225"/>
      <c r="R3930"/>
      <c r="S3930"/>
      <c r="T3930"/>
      <c r="U3930"/>
      <c r="V3930"/>
      <c r="W3930"/>
      <c r="X3930"/>
    </row>
    <row r="3931" spans="5:24" x14ac:dyDescent="0.3">
      <c r="E3931" s="173"/>
      <c r="F3931" s="173"/>
      <c r="I3931"/>
      <c r="J3931"/>
      <c r="K3931"/>
      <c r="L3931"/>
      <c r="M3931"/>
      <c r="N3931"/>
      <c r="O3931"/>
      <c r="P3931" s="225"/>
      <c r="Q3931" s="225"/>
      <c r="R3931"/>
      <c r="S3931"/>
      <c r="T3931"/>
      <c r="U3931"/>
      <c r="V3931"/>
      <c r="W3931"/>
      <c r="X3931"/>
    </row>
    <row r="3932" spans="5:24" x14ac:dyDescent="0.3">
      <c r="E3932" s="173"/>
      <c r="F3932" s="173"/>
      <c r="I3932"/>
      <c r="J3932"/>
      <c r="K3932"/>
      <c r="L3932"/>
      <c r="M3932"/>
      <c r="N3932"/>
      <c r="O3932"/>
      <c r="P3932" s="225"/>
      <c r="Q3932" s="225"/>
      <c r="R3932"/>
      <c r="S3932"/>
      <c r="T3932"/>
      <c r="U3932"/>
      <c r="V3932"/>
      <c r="W3932"/>
      <c r="X3932"/>
    </row>
    <row r="3933" spans="5:24" x14ac:dyDescent="0.3">
      <c r="E3933" s="173"/>
      <c r="F3933" s="173"/>
      <c r="I3933"/>
      <c r="J3933"/>
      <c r="K3933"/>
      <c r="L3933"/>
      <c r="M3933"/>
      <c r="N3933"/>
      <c r="O3933"/>
      <c r="P3933" s="225"/>
      <c r="Q3933" s="225"/>
      <c r="R3933"/>
      <c r="S3933"/>
      <c r="T3933"/>
      <c r="U3933"/>
      <c r="V3933"/>
      <c r="W3933"/>
      <c r="X3933"/>
    </row>
    <row r="3934" spans="5:24" x14ac:dyDescent="0.3">
      <c r="E3934" s="173"/>
      <c r="F3934" s="173"/>
      <c r="I3934"/>
      <c r="J3934"/>
      <c r="K3934"/>
      <c r="L3934"/>
      <c r="M3934"/>
      <c r="N3934"/>
      <c r="O3934"/>
      <c r="P3934" s="225"/>
      <c r="Q3934" s="225"/>
      <c r="R3934"/>
      <c r="S3934"/>
      <c r="T3934"/>
      <c r="U3934"/>
      <c r="V3934"/>
      <c r="W3934"/>
      <c r="X3934"/>
    </row>
    <row r="3935" spans="5:24" x14ac:dyDescent="0.3">
      <c r="E3935" s="173"/>
      <c r="F3935" s="173"/>
      <c r="I3935"/>
      <c r="J3935"/>
      <c r="K3935"/>
      <c r="L3935"/>
      <c r="M3935"/>
      <c r="N3935"/>
      <c r="O3935"/>
      <c r="P3935" s="225"/>
      <c r="Q3935" s="225"/>
      <c r="R3935"/>
      <c r="S3935"/>
      <c r="T3935"/>
      <c r="U3935"/>
      <c r="V3935"/>
      <c r="W3935"/>
      <c r="X3935"/>
    </row>
    <row r="3936" spans="5:24" x14ac:dyDescent="0.3">
      <c r="E3936" s="173"/>
      <c r="F3936" s="173"/>
      <c r="I3936"/>
      <c r="J3936"/>
      <c r="K3936"/>
      <c r="L3936"/>
      <c r="M3936"/>
      <c r="N3936"/>
      <c r="O3936"/>
      <c r="P3936" s="225"/>
      <c r="Q3936" s="225"/>
      <c r="R3936"/>
      <c r="S3936"/>
      <c r="T3936"/>
      <c r="U3936"/>
      <c r="V3936"/>
      <c r="W3936"/>
      <c r="X3936"/>
    </row>
    <row r="3937" spans="5:24" x14ac:dyDescent="0.3">
      <c r="E3937" s="173"/>
      <c r="F3937" s="173"/>
      <c r="I3937"/>
      <c r="J3937"/>
      <c r="K3937"/>
      <c r="L3937"/>
      <c r="M3937"/>
      <c r="N3937"/>
      <c r="O3937"/>
      <c r="P3937" s="225"/>
      <c r="Q3937" s="225"/>
      <c r="R3937"/>
      <c r="S3937"/>
      <c r="T3937"/>
      <c r="U3937"/>
      <c r="V3937"/>
      <c r="W3937"/>
      <c r="X3937"/>
    </row>
    <row r="3938" spans="5:24" x14ac:dyDescent="0.3">
      <c r="E3938" s="173"/>
      <c r="F3938" s="173"/>
      <c r="I3938"/>
      <c r="J3938"/>
      <c r="K3938"/>
      <c r="L3938"/>
      <c r="M3938"/>
      <c r="N3938"/>
      <c r="O3938"/>
      <c r="P3938" s="225"/>
      <c r="Q3938" s="225"/>
      <c r="R3938"/>
      <c r="S3938"/>
      <c r="T3938"/>
      <c r="U3938"/>
      <c r="V3938"/>
      <c r="W3938"/>
      <c r="X3938"/>
    </row>
    <row r="3939" spans="5:24" x14ac:dyDescent="0.3">
      <c r="E3939" s="173"/>
      <c r="F3939" s="173"/>
      <c r="I3939"/>
      <c r="J3939"/>
      <c r="K3939"/>
      <c r="L3939"/>
      <c r="M3939"/>
      <c r="N3939"/>
      <c r="O3939"/>
      <c r="P3939" s="225"/>
      <c r="Q3939" s="225"/>
      <c r="R3939"/>
      <c r="S3939"/>
      <c r="T3939"/>
      <c r="U3939"/>
      <c r="V3939"/>
      <c r="W3939"/>
      <c r="X3939"/>
    </row>
    <row r="3940" spans="5:24" x14ac:dyDescent="0.3">
      <c r="E3940" s="173"/>
      <c r="F3940" s="173"/>
      <c r="I3940"/>
      <c r="J3940"/>
      <c r="K3940"/>
      <c r="L3940"/>
      <c r="M3940"/>
      <c r="N3940"/>
      <c r="O3940"/>
      <c r="P3940" s="225"/>
      <c r="Q3940" s="225"/>
      <c r="R3940"/>
      <c r="S3940"/>
      <c r="T3940"/>
      <c r="U3940"/>
      <c r="V3940"/>
      <c r="W3940"/>
      <c r="X3940"/>
    </row>
    <row r="3941" spans="5:24" x14ac:dyDescent="0.3">
      <c r="E3941" s="173"/>
      <c r="F3941" s="173"/>
      <c r="I3941"/>
      <c r="J3941"/>
      <c r="K3941"/>
      <c r="L3941"/>
      <c r="M3941"/>
      <c r="N3941"/>
      <c r="O3941"/>
      <c r="P3941" s="225"/>
      <c r="Q3941" s="225"/>
      <c r="R3941"/>
      <c r="S3941"/>
      <c r="T3941"/>
      <c r="U3941"/>
      <c r="V3941"/>
      <c r="W3941"/>
      <c r="X3941"/>
    </row>
    <row r="3942" spans="5:24" x14ac:dyDescent="0.3">
      <c r="E3942" s="173"/>
      <c r="F3942" s="173"/>
      <c r="I3942"/>
      <c r="J3942"/>
      <c r="K3942"/>
      <c r="L3942"/>
      <c r="M3942"/>
      <c r="N3942"/>
      <c r="O3942"/>
      <c r="P3942" s="225"/>
      <c r="Q3942" s="225"/>
      <c r="R3942"/>
      <c r="S3942"/>
      <c r="T3942"/>
      <c r="U3942"/>
      <c r="V3942"/>
      <c r="W3942"/>
      <c r="X3942"/>
    </row>
    <row r="3943" spans="5:24" x14ac:dyDescent="0.3">
      <c r="E3943" s="173"/>
      <c r="F3943" s="173"/>
      <c r="I3943"/>
      <c r="J3943"/>
      <c r="K3943"/>
      <c r="L3943"/>
      <c r="M3943"/>
      <c r="N3943"/>
      <c r="O3943"/>
      <c r="P3943" s="225"/>
      <c r="Q3943" s="225"/>
      <c r="R3943"/>
      <c r="S3943"/>
      <c r="T3943"/>
      <c r="U3943"/>
      <c r="V3943"/>
      <c r="W3943"/>
      <c r="X3943"/>
    </row>
    <row r="3944" spans="5:24" x14ac:dyDescent="0.3">
      <c r="E3944" s="173"/>
      <c r="F3944" s="173"/>
      <c r="I3944"/>
      <c r="J3944"/>
      <c r="K3944"/>
      <c r="L3944"/>
      <c r="M3944"/>
      <c r="N3944"/>
      <c r="O3944"/>
      <c r="P3944" s="225"/>
      <c r="Q3944" s="225"/>
      <c r="R3944"/>
      <c r="S3944"/>
      <c r="T3944"/>
      <c r="U3944"/>
      <c r="V3944"/>
      <c r="W3944"/>
      <c r="X3944"/>
    </row>
    <row r="3945" spans="5:24" x14ac:dyDescent="0.3">
      <c r="E3945" s="173"/>
      <c r="F3945" s="173"/>
      <c r="I3945"/>
      <c r="J3945"/>
      <c r="K3945"/>
      <c r="L3945"/>
      <c r="M3945"/>
      <c r="N3945"/>
      <c r="O3945"/>
      <c r="P3945" s="225"/>
      <c r="Q3945" s="225"/>
      <c r="R3945"/>
      <c r="S3945"/>
      <c r="T3945"/>
      <c r="U3945"/>
      <c r="V3945"/>
      <c r="W3945"/>
      <c r="X3945"/>
    </row>
    <row r="3946" spans="5:24" x14ac:dyDescent="0.3">
      <c r="E3946" s="173"/>
      <c r="F3946" s="173"/>
      <c r="I3946"/>
      <c r="J3946"/>
      <c r="K3946"/>
      <c r="L3946"/>
      <c r="M3946"/>
      <c r="N3946"/>
      <c r="O3946"/>
      <c r="P3946" s="225"/>
      <c r="Q3946" s="225"/>
      <c r="R3946"/>
      <c r="S3946"/>
      <c r="T3946"/>
      <c r="U3946"/>
      <c r="V3946"/>
      <c r="W3946"/>
      <c r="X3946"/>
    </row>
    <row r="3947" spans="5:24" x14ac:dyDescent="0.3">
      <c r="E3947" s="173"/>
      <c r="F3947" s="173"/>
      <c r="I3947"/>
      <c r="J3947"/>
      <c r="K3947"/>
      <c r="L3947"/>
      <c r="M3947"/>
      <c r="N3947"/>
      <c r="O3947"/>
      <c r="P3947" s="225"/>
      <c r="Q3947" s="225"/>
      <c r="R3947"/>
      <c r="S3947"/>
      <c r="T3947"/>
      <c r="U3947"/>
      <c r="V3947"/>
      <c r="W3947"/>
      <c r="X3947"/>
    </row>
    <row r="3948" spans="5:24" x14ac:dyDescent="0.3">
      <c r="E3948" s="173"/>
      <c r="F3948" s="173"/>
      <c r="I3948"/>
      <c r="J3948"/>
      <c r="K3948"/>
      <c r="L3948"/>
      <c r="M3948"/>
      <c r="N3948"/>
      <c r="O3948"/>
      <c r="P3948" s="225"/>
      <c r="Q3948" s="225"/>
      <c r="R3948"/>
      <c r="S3948"/>
      <c r="T3948"/>
      <c r="U3948"/>
      <c r="V3948"/>
      <c r="W3948"/>
      <c r="X3948"/>
    </row>
    <row r="3949" spans="5:24" x14ac:dyDescent="0.3">
      <c r="E3949" s="173"/>
      <c r="F3949" s="173"/>
      <c r="I3949"/>
      <c r="J3949"/>
      <c r="K3949"/>
      <c r="L3949"/>
      <c r="M3949"/>
      <c r="N3949"/>
      <c r="O3949"/>
      <c r="P3949" s="225"/>
      <c r="Q3949" s="225"/>
      <c r="R3949"/>
      <c r="S3949"/>
      <c r="T3949"/>
      <c r="U3949"/>
      <c r="V3949"/>
      <c r="W3949"/>
      <c r="X3949"/>
    </row>
    <row r="3950" spans="5:24" x14ac:dyDescent="0.3">
      <c r="E3950" s="173"/>
      <c r="F3950" s="173"/>
      <c r="I3950"/>
      <c r="J3950"/>
      <c r="K3950"/>
      <c r="L3950"/>
      <c r="M3950"/>
      <c r="N3950"/>
      <c r="O3950"/>
      <c r="P3950" s="225"/>
      <c r="Q3950" s="225"/>
      <c r="R3950"/>
      <c r="S3950"/>
      <c r="T3950"/>
      <c r="U3950"/>
      <c r="V3950"/>
      <c r="W3950"/>
      <c r="X3950"/>
    </row>
    <row r="3951" spans="5:24" x14ac:dyDescent="0.3">
      <c r="E3951" s="173"/>
      <c r="F3951" s="173"/>
      <c r="I3951"/>
      <c r="J3951"/>
      <c r="K3951"/>
      <c r="L3951"/>
      <c r="M3951"/>
      <c r="N3951"/>
      <c r="O3951"/>
      <c r="P3951" s="225"/>
      <c r="Q3951" s="225"/>
      <c r="R3951"/>
      <c r="S3951"/>
      <c r="T3951"/>
      <c r="U3951"/>
      <c r="V3951"/>
      <c r="W3951"/>
      <c r="X3951"/>
    </row>
    <row r="3952" spans="5:24" x14ac:dyDescent="0.3">
      <c r="E3952" s="173"/>
      <c r="F3952" s="173"/>
      <c r="I3952"/>
      <c r="J3952"/>
      <c r="K3952"/>
      <c r="L3952"/>
      <c r="M3952"/>
      <c r="N3952"/>
      <c r="O3952"/>
      <c r="P3952" s="225"/>
      <c r="Q3952" s="225"/>
      <c r="R3952"/>
      <c r="S3952"/>
      <c r="T3952"/>
      <c r="U3952"/>
      <c r="V3952"/>
      <c r="W3952"/>
      <c r="X3952"/>
    </row>
    <row r="3953" spans="5:24" x14ac:dyDescent="0.3">
      <c r="E3953" s="173"/>
      <c r="F3953" s="173"/>
      <c r="I3953"/>
      <c r="J3953"/>
      <c r="K3953"/>
      <c r="L3953"/>
      <c r="M3953"/>
      <c r="N3953"/>
      <c r="O3953"/>
      <c r="P3953" s="225"/>
      <c r="Q3953" s="225"/>
      <c r="R3953"/>
      <c r="S3953"/>
      <c r="T3953"/>
      <c r="U3953"/>
      <c r="V3953"/>
      <c r="W3953"/>
      <c r="X3953"/>
    </row>
    <row r="3954" spans="5:24" x14ac:dyDescent="0.3">
      <c r="E3954" s="173"/>
      <c r="F3954" s="173"/>
      <c r="I3954"/>
      <c r="J3954"/>
      <c r="K3954"/>
      <c r="L3954"/>
      <c r="M3954"/>
      <c r="N3954"/>
      <c r="O3954"/>
      <c r="P3954" s="225"/>
      <c r="Q3954" s="225"/>
      <c r="R3954"/>
      <c r="S3954"/>
      <c r="T3954"/>
      <c r="U3954"/>
      <c r="V3954"/>
      <c r="W3954"/>
      <c r="X3954"/>
    </row>
    <row r="3955" spans="5:24" x14ac:dyDescent="0.3">
      <c r="E3955" s="173"/>
      <c r="F3955" s="173"/>
      <c r="I3955"/>
      <c r="J3955"/>
      <c r="K3955"/>
      <c r="L3955"/>
      <c r="M3955"/>
      <c r="N3955"/>
      <c r="O3955"/>
      <c r="P3955" s="225"/>
      <c r="Q3955" s="225"/>
      <c r="R3955"/>
      <c r="S3955"/>
      <c r="T3955"/>
      <c r="U3955"/>
      <c r="V3955"/>
      <c r="W3955"/>
      <c r="X3955"/>
    </row>
    <row r="3956" spans="5:24" x14ac:dyDescent="0.3">
      <c r="E3956" s="173"/>
      <c r="F3956" s="173"/>
      <c r="I3956"/>
      <c r="J3956"/>
      <c r="K3956"/>
      <c r="L3956"/>
      <c r="M3956"/>
      <c r="N3956"/>
      <c r="O3956"/>
      <c r="P3956" s="225"/>
      <c r="Q3956" s="225"/>
      <c r="R3956"/>
      <c r="S3956"/>
      <c r="T3956"/>
      <c r="U3956"/>
      <c r="V3956"/>
      <c r="W3956"/>
      <c r="X3956"/>
    </row>
    <row r="3957" spans="5:24" x14ac:dyDescent="0.3">
      <c r="E3957" s="173"/>
      <c r="F3957" s="173"/>
      <c r="I3957"/>
      <c r="J3957"/>
      <c r="K3957"/>
      <c r="L3957"/>
      <c r="M3957"/>
      <c r="N3957"/>
      <c r="O3957"/>
      <c r="P3957" s="225"/>
      <c r="Q3957" s="225"/>
      <c r="R3957"/>
      <c r="S3957"/>
      <c r="T3957"/>
      <c r="U3957"/>
      <c r="V3957"/>
      <c r="W3957"/>
      <c r="X3957"/>
    </row>
    <row r="3958" spans="5:24" x14ac:dyDescent="0.3">
      <c r="E3958" s="173"/>
      <c r="F3958" s="173"/>
      <c r="I3958"/>
      <c r="J3958"/>
      <c r="K3958"/>
      <c r="L3958"/>
      <c r="M3958"/>
      <c r="N3958"/>
      <c r="O3958"/>
      <c r="P3958" s="225"/>
      <c r="Q3958" s="225"/>
      <c r="R3958"/>
      <c r="S3958"/>
      <c r="T3958"/>
      <c r="U3958"/>
      <c r="V3958"/>
      <c r="W3958"/>
      <c r="X3958"/>
    </row>
    <row r="3959" spans="5:24" x14ac:dyDescent="0.3">
      <c r="E3959" s="173"/>
      <c r="F3959" s="173"/>
      <c r="I3959"/>
      <c r="J3959"/>
      <c r="K3959"/>
      <c r="L3959"/>
      <c r="M3959"/>
      <c r="N3959"/>
      <c r="O3959"/>
      <c r="P3959" s="225"/>
      <c r="Q3959" s="225"/>
      <c r="R3959"/>
      <c r="S3959"/>
      <c r="T3959"/>
      <c r="U3959"/>
      <c r="V3959"/>
      <c r="W3959"/>
      <c r="X3959"/>
    </row>
    <row r="3960" spans="5:24" x14ac:dyDescent="0.3">
      <c r="E3960" s="173"/>
      <c r="F3960" s="173"/>
      <c r="I3960"/>
      <c r="J3960"/>
      <c r="K3960"/>
      <c r="L3960"/>
      <c r="M3960"/>
      <c r="N3960"/>
      <c r="O3960"/>
      <c r="P3960" s="225"/>
      <c r="Q3960" s="225"/>
      <c r="R3960"/>
      <c r="S3960"/>
      <c r="T3960"/>
      <c r="U3960"/>
      <c r="V3960"/>
      <c r="W3960"/>
      <c r="X3960"/>
    </row>
    <row r="3961" spans="5:24" x14ac:dyDescent="0.3">
      <c r="E3961" s="173"/>
      <c r="F3961" s="173"/>
      <c r="I3961"/>
      <c r="J3961"/>
      <c r="K3961"/>
      <c r="L3961"/>
      <c r="M3961"/>
      <c r="N3961"/>
      <c r="O3961"/>
      <c r="P3961" s="225"/>
      <c r="Q3961" s="225"/>
      <c r="R3961"/>
      <c r="S3961"/>
      <c r="T3961"/>
      <c r="U3961"/>
      <c r="V3961"/>
      <c r="W3961"/>
      <c r="X3961"/>
    </row>
    <row r="3962" spans="5:24" x14ac:dyDescent="0.3">
      <c r="E3962" s="173"/>
      <c r="F3962" s="173"/>
      <c r="I3962"/>
      <c r="J3962"/>
      <c r="K3962"/>
      <c r="L3962"/>
      <c r="M3962"/>
      <c r="N3962"/>
      <c r="O3962"/>
      <c r="P3962" s="225"/>
      <c r="Q3962" s="225"/>
      <c r="R3962"/>
      <c r="S3962"/>
      <c r="T3962"/>
      <c r="U3962"/>
      <c r="V3962"/>
      <c r="W3962"/>
      <c r="X3962"/>
    </row>
    <row r="3963" spans="5:24" x14ac:dyDescent="0.3">
      <c r="E3963" s="173"/>
      <c r="F3963" s="173"/>
      <c r="I3963"/>
      <c r="J3963"/>
      <c r="K3963"/>
      <c r="L3963"/>
      <c r="M3963"/>
      <c r="N3963"/>
      <c r="O3963"/>
      <c r="P3963" s="225"/>
      <c r="Q3963" s="225"/>
      <c r="R3963"/>
      <c r="S3963"/>
      <c r="T3963"/>
      <c r="U3963"/>
      <c r="V3963"/>
      <c r="W3963"/>
      <c r="X3963"/>
    </row>
    <row r="3964" spans="5:24" x14ac:dyDescent="0.3">
      <c r="E3964" s="173"/>
      <c r="F3964" s="173"/>
      <c r="I3964"/>
      <c r="J3964"/>
      <c r="K3964"/>
      <c r="L3964"/>
      <c r="M3964"/>
      <c r="N3964"/>
      <c r="O3964"/>
      <c r="P3964" s="225"/>
      <c r="Q3964" s="225"/>
      <c r="R3964"/>
      <c r="S3964"/>
      <c r="T3964"/>
      <c r="U3964"/>
      <c r="V3964"/>
      <c r="W3964"/>
      <c r="X3964"/>
    </row>
    <row r="3965" spans="5:24" x14ac:dyDescent="0.3">
      <c r="E3965" s="173"/>
      <c r="F3965" s="173"/>
      <c r="I3965"/>
      <c r="J3965"/>
      <c r="K3965"/>
      <c r="L3965"/>
      <c r="M3965"/>
      <c r="N3965"/>
      <c r="O3965"/>
      <c r="P3965" s="225"/>
      <c r="Q3965" s="225"/>
      <c r="R3965"/>
      <c r="S3965"/>
      <c r="T3965"/>
      <c r="U3965"/>
      <c r="V3965"/>
      <c r="W3965"/>
      <c r="X3965"/>
    </row>
    <row r="3966" spans="5:24" x14ac:dyDescent="0.3">
      <c r="E3966" s="173"/>
      <c r="F3966" s="173"/>
      <c r="I3966"/>
      <c r="J3966"/>
      <c r="K3966"/>
      <c r="L3966"/>
      <c r="M3966"/>
      <c r="N3966"/>
      <c r="O3966"/>
      <c r="P3966" s="225"/>
      <c r="Q3966" s="225"/>
      <c r="R3966"/>
      <c r="S3966"/>
      <c r="T3966"/>
      <c r="U3966"/>
      <c r="V3966"/>
      <c r="W3966"/>
      <c r="X3966"/>
    </row>
    <row r="3967" spans="5:24" x14ac:dyDescent="0.3">
      <c r="E3967" s="173"/>
      <c r="F3967" s="173"/>
      <c r="I3967"/>
      <c r="J3967"/>
      <c r="K3967"/>
      <c r="L3967"/>
      <c r="M3967"/>
      <c r="N3967"/>
      <c r="O3967"/>
      <c r="P3967" s="225"/>
      <c r="Q3967" s="225"/>
      <c r="R3967"/>
      <c r="S3967"/>
      <c r="T3967"/>
      <c r="U3967"/>
      <c r="V3967"/>
      <c r="W3967"/>
      <c r="X3967"/>
    </row>
    <row r="3968" spans="5:24" x14ac:dyDescent="0.3">
      <c r="E3968" s="173"/>
      <c r="F3968" s="173"/>
      <c r="I3968"/>
      <c r="J3968"/>
      <c r="K3968"/>
      <c r="L3968"/>
      <c r="M3968"/>
      <c r="N3968"/>
      <c r="O3968"/>
      <c r="P3968" s="225"/>
      <c r="Q3968" s="225"/>
      <c r="R3968"/>
      <c r="S3968"/>
      <c r="T3968"/>
      <c r="U3968"/>
      <c r="V3968"/>
      <c r="W3968"/>
      <c r="X3968"/>
    </row>
    <row r="3969" spans="5:24" x14ac:dyDescent="0.3">
      <c r="E3969" s="173"/>
      <c r="F3969" s="173"/>
      <c r="I3969"/>
      <c r="J3969"/>
      <c r="K3969"/>
      <c r="L3969"/>
      <c r="M3969"/>
      <c r="N3969"/>
      <c r="O3969"/>
      <c r="P3969" s="225"/>
      <c r="Q3969" s="225"/>
      <c r="R3969"/>
      <c r="S3969"/>
      <c r="T3969"/>
      <c r="U3969"/>
      <c r="V3969"/>
      <c r="W3969"/>
      <c r="X3969"/>
    </row>
    <row r="3970" spans="5:24" x14ac:dyDescent="0.3">
      <c r="E3970" s="173"/>
      <c r="F3970" s="173"/>
      <c r="I3970"/>
      <c r="J3970"/>
      <c r="K3970"/>
      <c r="L3970"/>
      <c r="M3970"/>
      <c r="N3970"/>
      <c r="O3970"/>
      <c r="P3970" s="225"/>
      <c r="Q3970" s="225"/>
      <c r="R3970"/>
      <c r="S3970"/>
      <c r="T3970"/>
      <c r="U3970"/>
      <c r="V3970"/>
      <c r="W3970"/>
      <c r="X3970"/>
    </row>
    <row r="3971" spans="5:24" x14ac:dyDescent="0.3">
      <c r="E3971" s="173"/>
      <c r="F3971" s="173"/>
      <c r="I3971"/>
      <c r="J3971"/>
      <c r="K3971"/>
      <c r="L3971"/>
      <c r="M3971"/>
      <c r="N3971"/>
      <c r="O3971"/>
      <c r="P3971" s="225"/>
      <c r="Q3971" s="225"/>
      <c r="R3971"/>
      <c r="S3971"/>
      <c r="T3971"/>
      <c r="U3971"/>
      <c r="V3971"/>
      <c r="W3971"/>
      <c r="X3971"/>
    </row>
    <row r="3972" spans="5:24" x14ac:dyDescent="0.3">
      <c r="E3972" s="173"/>
      <c r="F3972" s="173"/>
      <c r="I3972"/>
      <c r="J3972"/>
      <c r="K3972"/>
      <c r="L3972"/>
      <c r="M3972"/>
      <c r="N3972"/>
      <c r="O3972"/>
      <c r="P3972" s="225"/>
      <c r="Q3972" s="225"/>
      <c r="R3972"/>
      <c r="S3972"/>
      <c r="T3972"/>
      <c r="U3972"/>
      <c r="V3972"/>
      <c r="W3972"/>
      <c r="X3972"/>
    </row>
    <row r="3973" spans="5:24" x14ac:dyDescent="0.3">
      <c r="E3973" s="173"/>
      <c r="F3973" s="173"/>
      <c r="I3973"/>
      <c r="J3973"/>
      <c r="K3973"/>
      <c r="L3973"/>
      <c r="M3973"/>
      <c r="N3973"/>
      <c r="O3973"/>
      <c r="P3973" s="225"/>
      <c r="Q3973" s="225"/>
      <c r="R3973"/>
      <c r="S3973"/>
      <c r="T3973"/>
      <c r="U3973"/>
      <c r="V3973"/>
      <c r="W3973"/>
      <c r="X3973"/>
    </row>
    <row r="3974" spans="5:24" x14ac:dyDescent="0.3">
      <c r="E3974" s="173"/>
      <c r="F3974" s="173"/>
      <c r="I3974"/>
      <c r="J3974"/>
      <c r="K3974"/>
      <c r="L3974"/>
      <c r="M3974"/>
      <c r="N3974"/>
      <c r="O3974"/>
      <c r="P3974" s="225"/>
      <c r="Q3974" s="225"/>
      <c r="R3974"/>
      <c r="S3974"/>
      <c r="T3974"/>
      <c r="U3974"/>
      <c r="V3974"/>
      <c r="W3974"/>
      <c r="X3974"/>
    </row>
    <row r="3975" spans="5:24" x14ac:dyDescent="0.3">
      <c r="E3975" s="173"/>
      <c r="F3975" s="173"/>
      <c r="I3975"/>
      <c r="J3975"/>
      <c r="K3975"/>
      <c r="L3975"/>
      <c r="M3975"/>
      <c r="N3975"/>
      <c r="O3975"/>
      <c r="P3975" s="225"/>
      <c r="Q3975" s="225"/>
      <c r="R3975"/>
      <c r="S3975"/>
      <c r="T3975"/>
      <c r="U3975"/>
      <c r="V3975"/>
      <c r="W3975"/>
      <c r="X3975"/>
    </row>
    <row r="3976" spans="5:24" x14ac:dyDescent="0.3">
      <c r="E3976" s="173"/>
      <c r="F3976" s="173"/>
      <c r="I3976"/>
      <c r="J3976"/>
      <c r="K3976"/>
      <c r="L3976"/>
      <c r="M3976"/>
      <c r="N3976"/>
      <c r="O3976"/>
      <c r="P3976" s="225"/>
      <c r="Q3976" s="225"/>
      <c r="R3976"/>
      <c r="S3976"/>
      <c r="T3976"/>
      <c r="U3976"/>
      <c r="V3976"/>
      <c r="W3976"/>
      <c r="X3976"/>
    </row>
    <row r="3977" spans="5:24" x14ac:dyDescent="0.3">
      <c r="E3977" s="173"/>
      <c r="F3977" s="173"/>
      <c r="I3977"/>
      <c r="J3977"/>
      <c r="K3977"/>
      <c r="L3977"/>
      <c r="M3977"/>
      <c r="N3977"/>
      <c r="O3977"/>
      <c r="P3977" s="225"/>
      <c r="Q3977" s="225"/>
      <c r="R3977"/>
      <c r="S3977"/>
      <c r="T3977"/>
      <c r="U3977"/>
      <c r="V3977"/>
      <c r="W3977"/>
      <c r="X3977"/>
    </row>
    <row r="3978" spans="5:24" x14ac:dyDescent="0.3">
      <c r="E3978" s="173"/>
      <c r="F3978" s="173"/>
      <c r="I3978"/>
      <c r="J3978"/>
      <c r="K3978"/>
      <c r="L3978"/>
      <c r="M3978"/>
      <c r="N3978"/>
      <c r="O3978"/>
      <c r="P3978" s="225"/>
      <c r="Q3978" s="225"/>
      <c r="R3978"/>
      <c r="S3978"/>
      <c r="T3978"/>
      <c r="U3978"/>
      <c r="V3978"/>
      <c r="W3978"/>
      <c r="X3978"/>
    </row>
    <row r="3979" spans="5:24" x14ac:dyDescent="0.3">
      <c r="E3979" s="173"/>
      <c r="F3979" s="173"/>
      <c r="I3979"/>
      <c r="J3979"/>
      <c r="K3979"/>
      <c r="L3979"/>
      <c r="M3979"/>
      <c r="N3979"/>
      <c r="O3979"/>
      <c r="P3979" s="225"/>
      <c r="Q3979" s="225"/>
      <c r="R3979"/>
      <c r="S3979"/>
      <c r="T3979"/>
      <c r="U3979"/>
      <c r="V3979"/>
      <c r="W3979"/>
      <c r="X3979"/>
    </row>
    <row r="3980" spans="5:24" x14ac:dyDescent="0.3">
      <c r="E3980" s="173"/>
      <c r="F3980" s="173"/>
      <c r="I3980"/>
      <c r="J3980"/>
      <c r="K3980"/>
      <c r="L3980"/>
      <c r="M3980"/>
      <c r="N3980"/>
      <c r="O3980"/>
      <c r="P3980" s="225"/>
      <c r="Q3980" s="225"/>
      <c r="R3980"/>
      <c r="S3980"/>
      <c r="T3980"/>
      <c r="U3980"/>
      <c r="V3980"/>
      <c r="W3980"/>
      <c r="X3980"/>
    </row>
    <row r="3981" spans="5:24" x14ac:dyDescent="0.3">
      <c r="E3981" s="173"/>
      <c r="F3981" s="173"/>
      <c r="I3981"/>
      <c r="J3981"/>
      <c r="K3981"/>
      <c r="L3981"/>
      <c r="M3981"/>
      <c r="N3981"/>
      <c r="O3981"/>
      <c r="P3981" s="225"/>
      <c r="Q3981" s="225"/>
      <c r="R3981"/>
      <c r="S3981"/>
      <c r="T3981"/>
      <c r="U3981"/>
      <c r="V3981"/>
      <c r="W3981"/>
      <c r="X3981"/>
    </row>
    <row r="3982" spans="5:24" x14ac:dyDescent="0.3">
      <c r="E3982" s="173"/>
      <c r="F3982" s="173"/>
      <c r="I3982"/>
      <c r="J3982"/>
      <c r="K3982"/>
      <c r="L3982"/>
      <c r="M3982"/>
      <c r="N3982"/>
      <c r="O3982"/>
      <c r="P3982" s="225"/>
      <c r="Q3982" s="225"/>
      <c r="R3982"/>
      <c r="S3982"/>
      <c r="T3982"/>
      <c r="U3982"/>
      <c r="V3982"/>
      <c r="W3982"/>
      <c r="X3982"/>
    </row>
    <row r="3983" spans="5:24" x14ac:dyDescent="0.3">
      <c r="E3983" s="173"/>
      <c r="F3983" s="173"/>
      <c r="I3983"/>
      <c r="J3983"/>
      <c r="K3983"/>
      <c r="L3983"/>
      <c r="M3983"/>
      <c r="N3983"/>
      <c r="O3983"/>
      <c r="P3983" s="225"/>
      <c r="Q3983" s="225"/>
      <c r="R3983"/>
      <c r="S3983"/>
      <c r="T3983"/>
      <c r="U3983"/>
      <c r="V3983"/>
      <c r="W3983"/>
      <c r="X3983"/>
    </row>
    <row r="3984" spans="5:24" x14ac:dyDescent="0.3">
      <c r="E3984" s="173"/>
      <c r="F3984" s="173"/>
      <c r="I3984"/>
      <c r="J3984"/>
      <c r="K3984"/>
      <c r="L3984"/>
      <c r="M3984"/>
      <c r="N3984"/>
      <c r="O3984"/>
      <c r="P3984" s="225"/>
      <c r="Q3984" s="225"/>
      <c r="R3984"/>
      <c r="S3984"/>
      <c r="T3984"/>
      <c r="U3984"/>
      <c r="V3984"/>
      <c r="W3984"/>
      <c r="X3984"/>
    </row>
    <row r="3985" spans="5:24" x14ac:dyDescent="0.3">
      <c r="E3985" s="173"/>
      <c r="F3985" s="173"/>
      <c r="I3985"/>
      <c r="J3985"/>
      <c r="K3985"/>
      <c r="L3985"/>
      <c r="M3985"/>
      <c r="N3985"/>
      <c r="O3985"/>
      <c r="P3985" s="225"/>
      <c r="Q3985" s="225"/>
      <c r="R3985"/>
      <c r="S3985"/>
      <c r="T3985"/>
      <c r="U3985"/>
      <c r="V3985"/>
      <c r="W3985"/>
      <c r="X3985"/>
    </row>
    <row r="3986" spans="5:24" x14ac:dyDescent="0.3">
      <c r="E3986" s="173"/>
      <c r="F3986" s="173"/>
      <c r="I3986"/>
      <c r="J3986"/>
      <c r="K3986"/>
      <c r="L3986"/>
      <c r="M3986"/>
      <c r="N3986"/>
      <c r="O3986"/>
      <c r="P3986" s="225"/>
      <c r="Q3986" s="225"/>
      <c r="R3986"/>
      <c r="S3986"/>
      <c r="T3986"/>
      <c r="U3986"/>
      <c r="V3986"/>
      <c r="W3986"/>
      <c r="X3986"/>
    </row>
    <row r="3987" spans="5:24" x14ac:dyDescent="0.3">
      <c r="E3987" s="173"/>
      <c r="F3987" s="173"/>
      <c r="I3987"/>
      <c r="J3987"/>
      <c r="K3987"/>
      <c r="L3987"/>
      <c r="M3987"/>
      <c r="N3987"/>
      <c r="O3987"/>
      <c r="P3987" s="225"/>
      <c r="Q3987" s="225"/>
      <c r="R3987"/>
      <c r="S3987"/>
      <c r="T3987"/>
      <c r="U3987"/>
      <c r="V3987"/>
      <c r="W3987"/>
      <c r="X3987"/>
    </row>
    <row r="3988" spans="5:24" x14ac:dyDescent="0.3">
      <c r="E3988" s="173"/>
      <c r="F3988" s="173"/>
      <c r="I3988"/>
      <c r="J3988"/>
      <c r="K3988"/>
      <c r="L3988"/>
      <c r="M3988"/>
      <c r="N3988"/>
      <c r="O3988"/>
      <c r="P3988" s="225"/>
      <c r="Q3988" s="225"/>
      <c r="R3988"/>
      <c r="S3988"/>
      <c r="T3988"/>
      <c r="U3988"/>
      <c r="V3988"/>
      <c r="W3988"/>
      <c r="X3988"/>
    </row>
    <row r="3989" spans="5:24" x14ac:dyDescent="0.3">
      <c r="E3989" s="173"/>
      <c r="F3989" s="173"/>
      <c r="I3989"/>
      <c r="J3989"/>
      <c r="K3989"/>
      <c r="L3989"/>
      <c r="M3989"/>
      <c r="N3989"/>
      <c r="O3989"/>
      <c r="P3989" s="225"/>
      <c r="Q3989" s="225"/>
      <c r="R3989"/>
      <c r="S3989"/>
      <c r="T3989"/>
      <c r="U3989"/>
      <c r="V3989"/>
      <c r="W3989"/>
      <c r="X3989"/>
    </row>
    <row r="3990" spans="5:24" x14ac:dyDescent="0.3">
      <c r="E3990" s="173"/>
      <c r="F3990" s="173"/>
      <c r="I3990"/>
      <c r="J3990"/>
      <c r="K3990"/>
      <c r="L3990"/>
      <c r="M3990"/>
      <c r="N3990"/>
      <c r="O3990"/>
      <c r="P3990" s="225"/>
      <c r="Q3990" s="225"/>
      <c r="R3990"/>
      <c r="S3990"/>
      <c r="T3990"/>
      <c r="U3990"/>
      <c r="V3990"/>
      <c r="W3990"/>
      <c r="X3990"/>
    </row>
    <row r="3991" spans="5:24" x14ac:dyDescent="0.3">
      <c r="E3991" s="173"/>
      <c r="F3991" s="173"/>
      <c r="I3991"/>
      <c r="J3991"/>
      <c r="K3991"/>
      <c r="L3991"/>
      <c r="M3991"/>
      <c r="N3991"/>
      <c r="O3991"/>
      <c r="P3991" s="225"/>
      <c r="Q3991" s="225"/>
      <c r="R3991"/>
      <c r="S3991"/>
      <c r="T3991"/>
      <c r="U3991"/>
      <c r="V3991"/>
      <c r="W3991"/>
      <c r="X3991"/>
    </row>
    <row r="3992" spans="5:24" x14ac:dyDescent="0.3">
      <c r="E3992" s="173"/>
      <c r="F3992" s="173"/>
      <c r="I3992"/>
      <c r="J3992"/>
      <c r="K3992"/>
      <c r="L3992"/>
      <c r="M3992"/>
      <c r="N3992"/>
      <c r="O3992"/>
      <c r="P3992" s="225"/>
      <c r="Q3992" s="225"/>
      <c r="R3992"/>
      <c r="S3992"/>
      <c r="T3992"/>
      <c r="U3992"/>
      <c r="V3992"/>
      <c r="W3992"/>
      <c r="X3992"/>
    </row>
    <row r="3993" spans="5:24" x14ac:dyDescent="0.3">
      <c r="E3993" s="173"/>
      <c r="F3993" s="173"/>
      <c r="I3993"/>
      <c r="J3993"/>
      <c r="K3993"/>
      <c r="L3993"/>
      <c r="M3993"/>
      <c r="N3993"/>
      <c r="O3993"/>
      <c r="P3993" s="225"/>
      <c r="Q3993" s="225"/>
      <c r="R3993"/>
      <c r="S3993"/>
      <c r="T3993"/>
      <c r="U3993"/>
      <c r="V3993"/>
      <c r="W3993"/>
      <c r="X3993"/>
    </row>
    <row r="3994" spans="5:24" x14ac:dyDescent="0.3">
      <c r="E3994" s="173"/>
      <c r="F3994" s="173"/>
      <c r="I3994"/>
      <c r="J3994"/>
      <c r="K3994"/>
      <c r="L3994"/>
      <c r="M3994"/>
      <c r="N3994"/>
      <c r="O3994"/>
      <c r="P3994" s="225"/>
      <c r="Q3994" s="225"/>
      <c r="R3994"/>
      <c r="S3994"/>
      <c r="T3994"/>
      <c r="U3994"/>
      <c r="V3994"/>
      <c r="W3994"/>
      <c r="X3994"/>
    </row>
    <row r="3995" spans="5:24" x14ac:dyDescent="0.3">
      <c r="E3995" s="173"/>
      <c r="F3995" s="173"/>
      <c r="I3995"/>
      <c r="J3995"/>
      <c r="K3995"/>
      <c r="L3995"/>
      <c r="M3995"/>
      <c r="N3995"/>
      <c r="O3995"/>
      <c r="P3995" s="225"/>
      <c r="Q3995" s="225"/>
      <c r="R3995"/>
      <c r="S3995"/>
      <c r="T3995"/>
      <c r="U3995"/>
      <c r="V3995"/>
      <c r="W3995"/>
      <c r="X3995"/>
    </row>
    <row r="3996" spans="5:24" x14ac:dyDescent="0.3">
      <c r="E3996" s="173"/>
      <c r="F3996" s="173"/>
      <c r="I3996"/>
      <c r="J3996"/>
      <c r="K3996"/>
      <c r="L3996"/>
      <c r="M3996"/>
      <c r="N3996"/>
      <c r="O3996"/>
      <c r="P3996" s="225"/>
      <c r="Q3996" s="225"/>
      <c r="R3996"/>
      <c r="S3996"/>
      <c r="T3996"/>
      <c r="U3996"/>
      <c r="V3996"/>
      <c r="W3996"/>
      <c r="X3996"/>
    </row>
    <row r="3997" spans="5:24" x14ac:dyDescent="0.3">
      <c r="E3997" s="173"/>
      <c r="F3997" s="173"/>
      <c r="I3997"/>
      <c r="J3997"/>
      <c r="K3997"/>
      <c r="L3997"/>
      <c r="M3997"/>
      <c r="N3997"/>
      <c r="O3997"/>
      <c r="P3997" s="225"/>
      <c r="Q3997" s="225"/>
      <c r="R3997"/>
      <c r="S3997"/>
      <c r="T3997"/>
      <c r="U3997"/>
      <c r="V3997"/>
      <c r="W3997"/>
      <c r="X3997"/>
    </row>
    <row r="3998" spans="5:24" x14ac:dyDescent="0.3">
      <c r="E3998" s="173"/>
      <c r="F3998" s="173"/>
      <c r="I3998"/>
      <c r="J3998"/>
      <c r="K3998"/>
      <c r="L3998"/>
      <c r="M3998"/>
      <c r="N3998"/>
      <c r="O3998"/>
      <c r="P3998" s="225"/>
      <c r="Q3998" s="225"/>
      <c r="R3998"/>
      <c r="S3998"/>
      <c r="T3998"/>
      <c r="U3998"/>
      <c r="V3998"/>
      <c r="W3998"/>
      <c r="X3998"/>
    </row>
    <row r="3999" spans="5:24" x14ac:dyDescent="0.3">
      <c r="E3999" s="173"/>
      <c r="F3999" s="173"/>
      <c r="I3999"/>
      <c r="J3999"/>
      <c r="K3999"/>
      <c r="L3999"/>
      <c r="M3999"/>
      <c r="N3999"/>
      <c r="O3999"/>
      <c r="P3999" s="225"/>
      <c r="Q3999" s="225"/>
      <c r="R3999"/>
      <c r="S3999"/>
      <c r="T3999"/>
      <c r="U3999"/>
      <c r="V3999"/>
      <c r="W3999"/>
      <c r="X3999"/>
    </row>
    <row r="4000" spans="5:24" x14ac:dyDescent="0.3">
      <c r="E4000" s="173"/>
      <c r="F4000" s="173"/>
      <c r="I4000"/>
      <c r="J4000"/>
      <c r="K4000"/>
      <c r="L4000"/>
      <c r="M4000"/>
      <c r="N4000"/>
      <c r="O4000"/>
      <c r="P4000" s="225"/>
      <c r="Q4000" s="225"/>
      <c r="R4000"/>
      <c r="S4000"/>
      <c r="T4000"/>
      <c r="U4000"/>
      <c r="V4000"/>
      <c r="W4000"/>
      <c r="X4000"/>
    </row>
    <row r="4001" spans="5:24" x14ac:dyDescent="0.3">
      <c r="E4001" s="173"/>
      <c r="F4001" s="173"/>
      <c r="I4001"/>
      <c r="J4001"/>
      <c r="K4001"/>
      <c r="L4001"/>
      <c r="M4001"/>
      <c r="N4001"/>
      <c r="O4001"/>
      <c r="P4001" s="225"/>
      <c r="Q4001" s="225"/>
      <c r="R4001"/>
      <c r="S4001"/>
      <c r="T4001"/>
      <c r="U4001"/>
      <c r="V4001"/>
      <c r="W4001"/>
      <c r="X4001"/>
    </row>
    <row r="4002" spans="5:24" x14ac:dyDescent="0.3">
      <c r="E4002" s="173"/>
      <c r="F4002" s="173"/>
      <c r="I4002"/>
      <c r="J4002"/>
      <c r="K4002"/>
      <c r="L4002"/>
      <c r="M4002"/>
      <c r="N4002"/>
      <c r="O4002"/>
      <c r="P4002" s="225"/>
      <c r="Q4002" s="225"/>
      <c r="R4002"/>
      <c r="S4002"/>
      <c r="T4002"/>
      <c r="U4002"/>
      <c r="V4002"/>
      <c r="W4002"/>
      <c r="X4002"/>
    </row>
    <row r="4003" spans="5:24" x14ac:dyDescent="0.3">
      <c r="E4003" s="173"/>
      <c r="F4003" s="173"/>
      <c r="I4003"/>
      <c r="J4003"/>
      <c r="K4003"/>
      <c r="L4003"/>
      <c r="M4003"/>
      <c r="N4003"/>
      <c r="O4003"/>
      <c r="P4003" s="225"/>
      <c r="Q4003" s="225"/>
      <c r="R4003"/>
      <c r="S4003"/>
      <c r="T4003"/>
      <c r="U4003"/>
      <c r="V4003"/>
      <c r="W4003"/>
      <c r="X4003"/>
    </row>
    <row r="4004" spans="5:24" x14ac:dyDescent="0.3">
      <c r="E4004" s="173"/>
      <c r="F4004" s="173"/>
      <c r="I4004"/>
      <c r="J4004"/>
      <c r="K4004"/>
      <c r="L4004"/>
      <c r="M4004"/>
      <c r="N4004"/>
      <c r="O4004"/>
      <c r="P4004" s="225"/>
      <c r="Q4004" s="225"/>
      <c r="R4004"/>
      <c r="S4004"/>
      <c r="T4004"/>
      <c r="U4004"/>
      <c r="V4004"/>
      <c r="W4004"/>
      <c r="X4004"/>
    </row>
    <row r="4005" spans="5:24" x14ac:dyDescent="0.3">
      <c r="E4005" s="173"/>
      <c r="F4005" s="173"/>
      <c r="I4005"/>
      <c r="J4005"/>
      <c r="K4005"/>
      <c r="L4005"/>
      <c r="M4005"/>
      <c r="N4005"/>
      <c r="O4005"/>
      <c r="P4005" s="225"/>
      <c r="Q4005" s="225"/>
      <c r="R4005"/>
      <c r="S4005"/>
      <c r="T4005"/>
      <c r="U4005"/>
      <c r="V4005"/>
      <c r="W4005"/>
      <c r="X4005"/>
    </row>
    <row r="4006" spans="5:24" x14ac:dyDescent="0.3">
      <c r="E4006" s="173"/>
      <c r="F4006" s="173"/>
      <c r="I4006"/>
      <c r="J4006"/>
      <c r="K4006"/>
      <c r="L4006"/>
      <c r="M4006"/>
      <c r="N4006"/>
      <c r="O4006"/>
      <c r="P4006" s="225"/>
      <c r="Q4006" s="225"/>
      <c r="R4006"/>
      <c r="S4006"/>
      <c r="T4006"/>
      <c r="U4006"/>
      <c r="V4006"/>
      <c r="W4006"/>
      <c r="X4006"/>
    </row>
    <row r="4007" spans="5:24" x14ac:dyDescent="0.3">
      <c r="E4007" s="173"/>
      <c r="F4007" s="173"/>
      <c r="I4007"/>
      <c r="J4007"/>
      <c r="K4007"/>
      <c r="L4007"/>
      <c r="M4007"/>
      <c r="N4007"/>
      <c r="O4007"/>
      <c r="P4007" s="225"/>
      <c r="Q4007" s="225"/>
      <c r="R4007"/>
      <c r="S4007"/>
      <c r="T4007"/>
      <c r="U4007"/>
      <c r="V4007"/>
      <c r="W4007"/>
      <c r="X4007"/>
    </row>
    <row r="4008" spans="5:24" x14ac:dyDescent="0.3">
      <c r="E4008" s="173"/>
      <c r="F4008" s="173"/>
      <c r="I4008"/>
      <c r="J4008"/>
      <c r="K4008"/>
      <c r="L4008"/>
      <c r="M4008"/>
      <c r="N4008"/>
      <c r="O4008"/>
      <c r="P4008" s="225"/>
      <c r="Q4008" s="225"/>
      <c r="R4008"/>
      <c r="S4008"/>
      <c r="T4008"/>
      <c r="U4008"/>
      <c r="V4008"/>
      <c r="W4008"/>
      <c r="X4008"/>
    </row>
    <row r="4009" spans="5:24" x14ac:dyDescent="0.3">
      <c r="E4009" s="173"/>
      <c r="F4009" s="173"/>
      <c r="I4009"/>
      <c r="J4009"/>
      <c r="K4009"/>
      <c r="L4009"/>
      <c r="M4009"/>
      <c r="N4009"/>
      <c r="O4009"/>
      <c r="P4009" s="225"/>
      <c r="Q4009" s="225"/>
      <c r="R4009"/>
      <c r="S4009"/>
      <c r="T4009"/>
      <c r="U4009"/>
      <c r="V4009"/>
      <c r="W4009"/>
      <c r="X4009"/>
    </row>
    <row r="4010" spans="5:24" x14ac:dyDescent="0.3">
      <c r="E4010" s="173"/>
      <c r="F4010" s="173"/>
      <c r="I4010"/>
      <c r="J4010"/>
      <c r="K4010"/>
      <c r="L4010"/>
      <c r="M4010"/>
      <c r="N4010"/>
      <c r="O4010"/>
      <c r="P4010" s="225"/>
      <c r="Q4010" s="225"/>
      <c r="R4010"/>
      <c r="S4010"/>
      <c r="T4010"/>
      <c r="U4010"/>
      <c r="V4010"/>
      <c r="W4010"/>
      <c r="X4010"/>
    </row>
    <row r="4011" spans="5:24" x14ac:dyDescent="0.3">
      <c r="E4011" s="173"/>
      <c r="F4011" s="173"/>
      <c r="I4011"/>
      <c r="J4011"/>
      <c r="K4011"/>
      <c r="L4011"/>
      <c r="M4011"/>
      <c r="N4011"/>
      <c r="O4011"/>
      <c r="P4011" s="225"/>
      <c r="Q4011" s="225"/>
      <c r="R4011"/>
      <c r="S4011"/>
      <c r="T4011"/>
      <c r="U4011"/>
      <c r="V4011"/>
      <c r="W4011"/>
      <c r="X4011"/>
    </row>
    <row r="4012" spans="5:24" x14ac:dyDescent="0.3">
      <c r="E4012" s="173"/>
      <c r="F4012" s="173"/>
      <c r="I4012"/>
      <c r="J4012"/>
      <c r="K4012"/>
      <c r="L4012"/>
      <c r="M4012"/>
      <c r="N4012"/>
      <c r="O4012"/>
      <c r="P4012" s="225"/>
      <c r="Q4012" s="225"/>
      <c r="R4012"/>
      <c r="S4012"/>
      <c r="T4012"/>
      <c r="U4012"/>
      <c r="V4012"/>
      <c r="W4012"/>
      <c r="X4012"/>
    </row>
    <row r="4013" spans="5:24" x14ac:dyDescent="0.3">
      <c r="E4013" s="173"/>
      <c r="F4013" s="173"/>
      <c r="I4013"/>
      <c r="J4013"/>
      <c r="K4013"/>
      <c r="L4013"/>
      <c r="M4013"/>
      <c r="N4013"/>
      <c r="O4013"/>
      <c r="P4013" s="225"/>
      <c r="Q4013" s="225"/>
      <c r="R4013"/>
      <c r="S4013"/>
      <c r="T4013"/>
      <c r="U4013"/>
      <c r="V4013"/>
      <c r="W4013"/>
      <c r="X4013"/>
    </row>
    <row r="4014" spans="5:24" x14ac:dyDescent="0.3">
      <c r="E4014" s="173"/>
      <c r="F4014" s="173"/>
      <c r="I4014"/>
      <c r="J4014"/>
      <c r="K4014"/>
      <c r="L4014"/>
      <c r="M4014"/>
      <c r="N4014"/>
      <c r="O4014"/>
      <c r="P4014" s="225"/>
      <c r="Q4014" s="225"/>
      <c r="R4014"/>
      <c r="S4014"/>
      <c r="T4014"/>
      <c r="U4014"/>
      <c r="V4014"/>
      <c r="W4014"/>
      <c r="X4014"/>
    </row>
    <row r="4015" spans="5:24" x14ac:dyDescent="0.3">
      <c r="E4015" s="173"/>
      <c r="F4015" s="173"/>
      <c r="I4015"/>
      <c r="J4015"/>
      <c r="K4015"/>
      <c r="L4015"/>
      <c r="M4015"/>
      <c r="N4015"/>
      <c r="O4015"/>
      <c r="P4015" s="225"/>
      <c r="Q4015" s="225"/>
      <c r="R4015"/>
      <c r="S4015"/>
      <c r="T4015"/>
      <c r="U4015"/>
      <c r="V4015"/>
      <c r="W4015"/>
      <c r="X4015"/>
    </row>
    <row r="4016" spans="5:24" x14ac:dyDescent="0.3">
      <c r="E4016" s="173"/>
      <c r="F4016" s="173"/>
      <c r="I4016"/>
      <c r="J4016"/>
      <c r="K4016"/>
      <c r="L4016"/>
      <c r="M4016"/>
      <c r="N4016"/>
      <c r="O4016"/>
      <c r="P4016" s="225"/>
      <c r="Q4016" s="225"/>
      <c r="R4016"/>
      <c r="S4016"/>
      <c r="T4016"/>
      <c r="U4016"/>
      <c r="V4016"/>
      <c r="W4016"/>
      <c r="X4016"/>
    </row>
    <row r="4017" spans="5:24" x14ac:dyDescent="0.3">
      <c r="E4017" s="173"/>
      <c r="F4017" s="173"/>
      <c r="I4017"/>
      <c r="J4017"/>
      <c r="K4017"/>
      <c r="L4017"/>
      <c r="M4017"/>
      <c r="N4017"/>
      <c r="O4017"/>
      <c r="P4017" s="225"/>
      <c r="Q4017" s="225"/>
      <c r="R4017"/>
      <c r="S4017"/>
      <c r="T4017"/>
      <c r="U4017"/>
      <c r="V4017"/>
      <c r="W4017"/>
      <c r="X4017"/>
    </row>
    <row r="4018" spans="5:24" x14ac:dyDescent="0.3">
      <c r="E4018" s="173"/>
      <c r="F4018" s="173"/>
      <c r="I4018"/>
      <c r="J4018"/>
      <c r="K4018"/>
      <c r="L4018"/>
      <c r="M4018"/>
      <c r="N4018"/>
      <c r="O4018"/>
      <c r="P4018" s="225"/>
      <c r="Q4018" s="225"/>
      <c r="R4018"/>
      <c r="S4018"/>
      <c r="T4018"/>
      <c r="U4018"/>
      <c r="V4018"/>
      <c r="W4018"/>
      <c r="X4018"/>
    </row>
    <row r="4019" spans="5:24" x14ac:dyDescent="0.3">
      <c r="E4019" s="173"/>
      <c r="F4019" s="173"/>
      <c r="I4019"/>
      <c r="J4019"/>
      <c r="K4019"/>
      <c r="L4019"/>
      <c r="M4019"/>
      <c r="N4019"/>
      <c r="O4019"/>
      <c r="P4019" s="225"/>
      <c r="Q4019" s="225"/>
      <c r="R4019"/>
      <c r="S4019"/>
      <c r="T4019"/>
      <c r="U4019"/>
      <c r="V4019"/>
      <c r="W4019"/>
      <c r="X4019"/>
    </row>
    <row r="4020" spans="5:24" x14ac:dyDescent="0.3">
      <c r="E4020" s="173"/>
      <c r="F4020" s="173"/>
      <c r="I4020"/>
      <c r="J4020"/>
      <c r="K4020"/>
      <c r="L4020"/>
      <c r="M4020"/>
      <c r="N4020"/>
      <c r="O4020"/>
      <c r="P4020" s="225"/>
      <c r="Q4020" s="225"/>
      <c r="R4020"/>
      <c r="S4020"/>
      <c r="T4020"/>
      <c r="U4020"/>
      <c r="V4020"/>
      <c r="W4020"/>
      <c r="X4020"/>
    </row>
    <row r="4021" spans="5:24" x14ac:dyDescent="0.3">
      <c r="E4021" s="173"/>
      <c r="F4021" s="173"/>
      <c r="I4021"/>
      <c r="J4021"/>
      <c r="K4021"/>
      <c r="L4021"/>
      <c r="M4021"/>
      <c r="N4021"/>
      <c r="O4021"/>
      <c r="P4021" s="225"/>
      <c r="Q4021" s="225"/>
      <c r="R4021"/>
      <c r="S4021"/>
      <c r="T4021"/>
      <c r="U4021"/>
      <c r="V4021"/>
      <c r="W4021"/>
      <c r="X4021"/>
    </row>
    <row r="4022" spans="5:24" x14ac:dyDescent="0.3">
      <c r="E4022" s="173"/>
      <c r="F4022" s="173"/>
      <c r="I4022"/>
      <c r="J4022"/>
      <c r="K4022"/>
      <c r="L4022"/>
      <c r="M4022"/>
      <c r="N4022"/>
      <c r="O4022"/>
      <c r="P4022" s="225"/>
      <c r="Q4022" s="225"/>
      <c r="R4022"/>
      <c r="S4022"/>
      <c r="T4022"/>
      <c r="U4022"/>
      <c r="V4022"/>
      <c r="W4022"/>
      <c r="X4022"/>
    </row>
    <row r="4023" spans="5:24" x14ac:dyDescent="0.3">
      <c r="E4023" s="173"/>
      <c r="F4023" s="173"/>
      <c r="I4023"/>
      <c r="J4023"/>
      <c r="K4023"/>
      <c r="L4023"/>
      <c r="M4023"/>
      <c r="N4023"/>
      <c r="O4023"/>
      <c r="P4023" s="225"/>
      <c r="Q4023" s="225"/>
      <c r="R4023"/>
      <c r="S4023"/>
      <c r="T4023"/>
      <c r="U4023"/>
      <c r="V4023"/>
      <c r="W4023"/>
      <c r="X4023"/>
    </row>
    <row r="4024" spans="5:24" x14ac:dyDescent="0.3">
      <c r="E4024" s="173"/>
      <c r="F4024" s="173"/>
      <c r="I4024"/>
      <c r="J4024"/>
      <c r="K4024"/>
      <c r="L4024"/>
      <c r="M4024"/>
      <c r="N4024"/>
      <c r="O4024"/>
      <c r="P4024" s="225"/>
      <c r="Q4024" s="225"/>
      <c r="R4024"/>
      <c r="S4024"/>
      <c r="T4024"/>
      <c r="U4024"/>
      <c r="V4024"/>
      <c r="W4024"/>
      <c r="X4024"/>
    </row>
    <row r="4025" spans="5:24" x14ac:dyDescent="0.3">
      <c r="E4025" s="173"/>
      <c r="F4025" s="173"/>
      <c r="I4025"/>
      <c r="J4025"/>
      <c r="K4025"/>
      <c r="L4025"/>
      <c r="M4025"/>
      <c r="N4025"/>
      <c r="O4025"/>
      <c r="P4025" s="225"/>
      <c r="Q4025" s="225"/>
      <c r="R4025"/>
      <c r="S4025"/>
      <c r="T4025"/>
      <c r="U4025"/>
      <c r="V4025"/>
      <c r="W4025"/>
      <c r="X4025"/>
    </row>
    <row r="4026" spans="5:24" x14ac:dyDescent="0.3">
      <c r="E4026" s="173"/>
      <c r="F4026" s="173"/>
      <c r="I4026"/>
      <c r="J4026"/>
      <c r="K4026"/>
      <c r="L4026"/>
      <c r="M4026"/>
      <c r="N4026"/>
      <c r="O4026"/>
      <c r="P4026" s="225"/>
      <c r="Q4026" s="225"/>
      <c r="R4026"/>
      <c r="S4026"/>
      <c r="T4026"/>
      <c r="U4026"/>
      <c r="V4026"/>
      <c r="W4026"/>
      <c r="X4026"/>
    </row>
    <row r="4027" spans="5:24" x14ac:dyDescent="0.3">
      <c r="E4027" s="173"/>
      <c r="F4027" s="173"/>
      <c r="I4027"/>
      <c r="J4027"/>
      <c r="K4027"/>
      <c r="L4027"/>
      <c r="M4027"/>
      <c r="N4027"/>
      <c r="O4027"/>
      <c r="P4027" s="225"/>
      <c r="Q4027" s="225"/>
      <c r="R4027"/>
      <c r="S4027"/>
      <c r="T4027"/>
      <c r="U4027"/>
      <c r="V4027"/>
      <c r="W4027"/>
      <c r="X4027"/>
    </row>
    <row r="4028" spans="5:24" x14ac:dyDescent="0.3">
      <c r="E4028" s="173"/>
      <c r="F4028" s="173"/>
      <c r="I4028"/>
      <c r="J4028"/>
      <c r="K4028"/>
      <c r="L4028"/>
      <c r="M4028"/>
      <c r="N4028"/>
      <c r="O4028"/>
      <c r="P4028" s="225"/>
      <c r="Q4028" s="225"/>
      <c r="R4028"/>
      <c r="S4028"/>
      <c r="T4028"/>
      <c r="U4028"/>
      <c r="V4028"/>
      <c r="W4028"/>
      <c r="X4028"/>
    </row>
    <row r="4029" spans="5:24" x14ac:dyDescent="0.3">
      <c r="E4029" s="173"/>
      <c r="F4029" s="173"/>
      <c r="I4029"/>
      <c r="J4029"/>
      <c r="K4029"/>
      <c r="L4029"/>
      <c r="M4029"/>
      <c r="N4029"/>
      <c r="O4029"/>
      <c r="P4029" s="225"/>
      <c r="Q4029" s="225"/>
      <c r="R4029"/>
      <c r="S4029"/>
      <c r="T4029"/>
      <c r="U4029"/>
      <c r="V4029"/>
      <c r="W4029"/>
      <c r="X4029"/>
    </row>
    <row r="4030" spans="5:24" x14ac:dyDescent="0.3">
      <c r="E4030" s="173"/>
      <c r="F4030" s="173"/>
      <c r="I4030"/>
      <c r="J4030"/>
      <c r="K4030"/>
      <c r="L4030"/>
      <c r="M4030"/>
      <c r="N4030"/>
      <c r="O4030"/>
      <c r="P4030" s="225"/>
      <c r="Q4030" s="225"/>
      <c r="R4030"/>
      <c r="S4030"/>
      <c r="T4030"/>
      <c r="U4030"/>
      <c r="V4030"/>
      <c r="W4030"/>
      <c r="X4030"/>
    </row>
    <row r="4031" spans="5:24" x14ac:dyDescent="0.3">
      <c r="E4031" s="173"/>
      <c r="F4031" s="173"/>
      <c r="I4031"/>
      <c r="J4031"/>
      <c r="K4031"/>
      <c r="L4031"/>
      <c r="M4031"/>
      <c r="N4031"/>
      <c r="O4031"/>
      <c r="P4031" s="225"/>
      <c r="Q4031" s="225"/>
      <c r="R4031"/>
      <c r="S4031"/>
      <c r="T4031"/>
      <c r="U4031"/>
      <c r="V4031"/>
      <c r="W4031"/>
      <c r="X4031"/>
    </row>
    <row r="4032" spans="5:24" x14ac:dyDescent="0.3">
      <c r="E4032" s="173"/>
      <c r="F4032" s="173"/>
      <c r="I4032"/>
      <c r="J4032"/>
      <c r="K4032"/>
      <c r="L4032"/>
      <c r="M4032"/>
      <c r="N4032"/>
      <c r="O4032"/>
      <c r="P4032" s="225"/>
      <c r="Q4032" s="225"/>
      <c r="R4032"/>
      <c r="S4032"/>
      <c r="T4032"/>
      <c r="U4032"/>
      <c r="V4032"/>
      <c r="W4032"/>
      <c r="X4032"/>
    </row>
    <row r="4033" spans="5:24" x14ac:dyDescent="0.3">
      <c r="E4033" s="173"/>
      <c r="F4033" s="173"/>
      <c r="I4033"/>
      <c r="J4033"/>
      <c r="K4033"/>
      <c r="L4033"/>
      <c r="M4033"/>
      <c r="N4033"/>
      <c r="O4033"/>
      <c r="P4033" s="225"/>
      <c r="Q4033" s="225"/>
      <c r="R4033"/>
      <c r="S4033"/>
      <c r="T4033"/>
      <c r="U4033"/>
      <c r="V4033"/>
      <c r="W4033"/>
      <c r="X4033"/>
    </row>
    <row r="4034" spans="5:24" x14ac:dyDescent="0.3">
      <c r="E4034" s="173"/>
      <c r="F4034" s="173"/>
      <c r="I4034"/>
      <c r="J4034"/>
      <c r="K4034"/>
      <c r="L4034"/>
      <c r="M4034"/>
      <c r="N4034"/>
      <c r="O4034"/>
      <c r="P4034" s="225"/>
      <c r="Q4034" s="225"/>
      <c r="R4034"/>
      <c r="S4034"/>
      <c r="T4034"/>
      <c r="U4034"/>
      <c r="V4034"/>
      <c r="W4034"/>
      <c r="X4034"/>
    </row>
    <row r="4035" spans="5:24" x14ac:dyDescent="0.3">
      <c r="E4035" s="173"/>
      <c r="F4035" s="173"/>
      <c r="I4035"/>
      <c r="J4035"/>
      <c r="K4035"/>
      <c r="L4035"/>
      <c r="M4035"/>
      <c r="N4035"/>
      <c r="O4035"/>
      <c r="P4035" s="225"/>
      <c r="Q4035" s="225"/>
      <c r="R4035"/>
      <c r="S4035"/>
      <c r="T4035"/>
      <c r="U4035"/>
      <c r="V4035"/>
      <c r="W4035"/>
      <c r="X4035"/>
    </row>
    <row r="4036" spans="5:24" x14ac:dyDescent="0.3">
      <c r="E4036" s="173"/>
      <c r="F4036" s="173"/>
      <c r="I4036"/>
      <c r="J4036"/>
      <c r="K4036"/>
      <c r="L4036"/>
      <c r="M4036"/>
      <c r="N4036"/>
      <c r="O4036"/>
      <c r="P4036" s="225"/>
      <c r="Q4036" s="225"/>
      <c r="R4036"/>
      <c r="S4036"/>
      <c r="T4036"/>
      <c r="U4036"/>
      <c r="V4036"/>
      <c r="W4036"/>
      <c r="X4036"/>
    </row>
    <row r="4037" spans="5:24" x14ac:dyDescent="0.3">
      <c r="E4037" s="173"/>
      <c r="F4037" s="173"/>
      <c r="I4037"/>
      <c r="J4037"/>
      <c r="K4037"/>
      <c r="L4037"/>
      <c r="M4037"/>
      <c r="N4037"/>
      <c r="O4037"/>
      <c r="P4037" s="225"/>
      <c r="Q4037" s="225"/>
      <c r="R4037"/>
      <c r="S4037"/>
      <c r="T4037"/>
      <c r="U4037"/>
      <c r="V4037"/>
      <c r="W4037"/>
      <c r="X4037"/>
    </row>
    <row r="4038" spans="5:24" x14ac:dyDescent="0.3">
      <c r="E4038" s="173"/>
      <c r="F4038" s="173"/>
      <c r="I4038"/>
      <c r="J4038"/>
      <c r="K4038"/>
      <c r="L4038"/>
      <c r="M4038"/>
      <c r="N4038"/>
      <c r="O4038"/>
      <c r="P4038" s="225"/>
      <c r="Q4038" s="225"/>
      <c r="R4038"/>
      <c r="S4038"/>
      <c r="T4038"/>
      <c r="U4038"/>
      <c r="V4038"/>
      <c r="W4038"/>
      <c r="X4038"/>
    </row>
    <row r="4039" spans="5:24" x14ac:dyDescent="0.3">
      <c r="E4039" s="173"/>
      <c r="F4039" s="173"/>
      <c r="I4039"/>
      <c r="J4039"/>
      <c r="K4039"/>
      <c r="L4039"/>
      <c r="M4039"/>
      <c r="N4039"/>
      <c r="O4039"/>
      <c r="P4039" s="225"/>
      <c r="Q4039" s="225"/>
      <c r="R4039"/>
      <c r="S4039"/>
      <c r="T4039"/>
      <c r="U4039"/>
      <c r="V4039"/>
      <c r="W4039"/>
      <c r="X4039"/>
    </row>
    <row r="4040" spans="5:24" x14ac:dyDescent="0.3">
      <c r="E4040" s="173"/>
      <c r="F4040" s="173"/>
      <c r="I4040"/>
      <c r="J4040"/>
      <c r="K4040"/>
      <c r="L4040"/>
      <c r="M4040"/>
      <c r="N4040"/>
      <c r="O4040"/>
      <c r="P4040" s="225"/>
      <c r="Q4040" s="225"/>
      <c r="R4040"/>
      <c r="S4040"/>
      <c r="T4040"/>
      <c r="U4040"/>
      <c r="V4040"/>
      <c r="W4040"/>
      <c r="X4040"/>
    </row>
    <row r="4041" spans="5:24" x14ac:dyDescent="0.3">
      <c r="E4041" s="173"/>
      <c r="F4041" s="173"/>
      <c r="I4041"/>
      <c r="J4041"/>
      <c r="K4041"/>
      <c r="L4041"/>
      <c r="M4041"/>
      <c r="N4041"/>
      <c r="O4041"/>
      <c r="P4041" s="225"/>
      <c r="Q4041" s="225"/>
      <c r="R4041"/>
      <c r="S4041"/>
      <c r="T4041"/>
      <c r="U4041"/>
      <c r="V4041"/>
      <c r="W4041"/>
      <c r="X4041"/>
    </row>
    <row r="4042" spans="5:24" x14ac:dyDescent="0.3">
      <c r="E4042" s="173"/>
      <c r="F4042" s="173"/>
      <c r="I4042"/>
      <c r="J4042"/>
      <c r="K4042"/>
      <c r="L4042"/>
      <c r="M4042"/>
      <c r="N4042"/>
      <c r="O4042"/>
      <c r="P4042" s="225"/>
      <c r="Q4042" s="225"/>
      <c r="R4042"/>
      <c r="S4042"/>
      <c r="T4042"/>
      <c r="U4042"/>
      <c r="V4042"/>
      <c r="W4042"/>
      <c r="X4042"/>
    </row>
    <row r="4043" spans="5:24" x14ac:dyDescent="0.3">
      <c r="E4043" s="173"/>
      <c r="F4043" s="173"/>
      <c r="I4043"/>
      <c r="J4043"/>
      <c r="K4043"/>
      <c r="L4043"/>
      <c r="M4043"/>
      <c r="N4043"/>
      <c r="O4043"/>
      <c r="P4043" s="225"/>
      <c r="Q4043" s="225"/>
      <c r="R4043"/>
      <c r="S4043"/>
      <c r="T4043"/>
      <c r="U4043"/>
      <c r="V4043"/>
      <c r="W4043"/>
      <c r="X4043"/>
    </row>
    <row r="4044" spans="5:24" x14ac:dyDescent="0.3">
      <c r="E4044" s="173"/>
      <c r="F4044" s="173"/>
      <c r="I4044"/>
      <c r="J4044"/>
      <c r="K4044"/>
      <c r="L4044"/>
      <c r="M4044"/>
      <c r="N4044"/>
      <c r="O4044"/>
      <c r="P4044" s="225"/>
      <c r="Q4044" s="225"/>
      <c r="R4044"/>
      <c r="S4044"/>
      <c r="T4044"/>
      <c r="U4044"/>
      <c r="V4044"/>
      <c r="W4044"/>
      <c r="X4044"/>
    </row>
    <row r="4045" spans="5:24" x14ac:dyDescent="0.3">
      <c r="E4045" s="173"/>
      <c r="F4045" s="173"/>
      <c r="I4045"/>
      <c r="J4045"/>
      <c r="K4045"/>
      <c r="L4045"/>
      <c r="M4045"/>
      <c r="N4045"/>
      <c r="O4045"/>
      <c r="P4045" s="225"/>
      <c r="Q4045" s="225"/>
      <c r="R4045"/>
      <c r="S4045"/>
      <c r="T4045"/>
      <c r="U4045"/>
      <c r="V4045"/>
      <c r="W4045"/>
      <c r="X4045"/>
    </row>
    <row r="4046" spans="5:24" x14ac:dyDescent="0.3">
      <c r="E4046" s="173"/>
      <c r="F4046" s="173"/>
      <c r="I4046"/>
      <c r="J4046"/>
      <c r="K4046"/>
      <c r="L4046"/>
      <c r="M4046"/>
      <c r="N4046"/>
      <c r="O4046"/>
      <c r="P4046" s="225"/>
      <c r="Q4046" s="225"/>
      <c r="R4046"/>
      <c r="S4046"/>
      <c r="T4046"/>
      <c r="U4046"/>
      <c r="V4046"/>
      <c r="W4046"/>
      <c r="X4046"/>
    </row>
    <row r="4047" spans="5:24" x14ac:dyDescent="0.3">
      <c r="E4047" s="173"/>
      <c r="F4047" s="173"/>
      <c r="I4047"/>
      <c r="J4047"/>
      <c r="K4047"/>
      <c r="L4047"/>
      <c r="M4047"/>
      <c r="N4047"/>
      <c r="O4047"/>
      <c r="P4047" s="225"/>
      <c r="Q4047" s="225"/>
      <c r="R4047"/>
      <c r="S4047"/>
      <c r="T4047"/>
      <c r="U4047"/>
      <c r="V4047"/>
      <c r="W4047"/>
      <c r="X4047"/>
    </row>
    <row r="4048" spans="5:24" x14ac:dyDescent="0.3">
      <c r="E4048" s="173"/>
      <c r="F4048" s="173"/>
      <c r="I4048"/>
      <c r="J4048"/>
      <c r="K4048"/>
      <c r="L4048"/>
      <c r="M4048"/>
      <c r="N4048"/>
      <c r="O4048"/>
      <c r="P4048" s="225"/>
      <c r="Q4048" s="225"/>
      <c r="R4048"/>
      <c r="S4048"/>
      <c r="T4048"/>
      <c r="U4048"/>
      <c r="V4048"/>
      <c r="W4048"/>
      <c r="X4048"/>
    </row>
    <row r="4049" spans="5:24" x14ac:dyDescent="0.3">
      <c r="E4049" s="173"/>
      <c r="F4049" s="173"/>
      <c r="I4049"/>
      <c r="J4049"/>
      <c r="K4049"/>
      <c r="L4049"/>
      <c r="M4049"/>
      <c r="N4049"/>
      <c r="O4049"/>
      <c r="P4049" s="225"/>
      <c r="Q4049" s="225"/>
      <c r="R4049"/>
      <c r="S4049"/>
      <c r="T4049"/>
      <c r="U4049"/>
      <c r="V4049"/>
      <c r="W4049"/>
      <c r="X4049"/>
    </row>
    <row r="4050" spans="5:24" x14ac:dyDescent="0.3">
      <c r="E4050" s="173"/>
      <c r="F4050" s="173"/>
      <c r="I4050"/>
      <c r="J4050"/>
      <c r="K4050"/>
      <c r="L4050"/>
      <c r="M4050"/>
      <c r="N4050"/>
      <c r="O4050"/>
      <c r="P4050" s="225"/>
      <c r="Q4050" s="225"/>
      <c r="R4050"/>
      <c r="S4050"/>
      <c r="T4050"/>
      <c r="U4050"/>
      <c r="V4050"/>
      <c r="W4050"/>
      <c r="X4050"/>
    </row>
    <row r="4051" spans="5:24" x14ac:dyDescent="0.3">
      <c r="E4051" s="173"/>
      <c r="F4051" s="173"/>
      <c r="I4051"/>
      <c r="J4051"/>
      <c r="K4051"/>
      <c r="L4051"/>
      <c r="M4051"/>
      <c r="N4051"/>
      <c r="O4051"/>
      <c r="P4051" s="225"/>
      <c r="Q4051" s="225"/>
      <c r="R4051"/>
      <c r="S4051"/>
      <c r="T4051"/>
      <c r="U4051"/>
      <c r="V4051"/>
      <c r="W4051"/>
      <c r="X4051"/>
    </row>
    <row r="4052" spans="5:24" x14ac:dyDescent="0.3">
      <c r="E4052" s="173"/>
      <c r="F4052" s="173"/>
      <c r="I4052"/>
      <c r="J4052"/>
      <c r="K4052"/>
      <c r="L4052"/>
      <c r="M4052"/>
      <c r="N4052"/>
      <c r="O4052"/>
      <c r="P4052" s="225"/>
      <c r="Q4052" s="225"/>
      <c r="R4052"/>
      <c r="S4052"/>
      <c r="T4052"/>
      <c r="U4052"/>
      <c r="V4052"/>
      <c r="W4052"/>
      <c r="X4052"/>
    </row>
    <row r="4053" spans="5:24" x14ac:dyDescent="0.3">
      <c r="E4053" s="173"/>
      <c r="F4053" s="173"/>
      <c r="I4053"/>
      <c r="J4053"/>
      <c r="K4053"/>
      <c r="L4053"/>
      <c r="M4053"/>
      <c r="N4053"/>
      <c r="O4053"/>
      <c r="P4053" s="225"/>
      <c r="Q4053" s="225"/>
      <c r="R4053"/>
      <c r="S4053"/>
      <c r="T4053"/>
      <c r="U4053"/>
      <c r="V4053"/>
      <c r="W4053"/>
      <c r="X4053"/>
    </row>
    <row r="4054" spans="5:24" x14ac:dyDescent="0.3">
      <c r="E4054" s="173"/>
      <c r="F4054" s="173"/>
      <c r="I4054"/>
      <c r="J4054"/>
      <c r="K4054"/>
      <c r="L4054"/>
      <c r="M4054"/>
      <c r="N4054"/>
      <c r="O4054"/>
      <c r="P4054" s="225"/>
      <c r="Q4054" s="225"/>
      <c r="R4054"/>
      <c r="S4054"/>
      <c r="T4054"/>
      <c r="U4054"/>
      <c r="V4054"/>
      <c r="W4054"/>
      <c r="X4054"/>
    </row>
    <row r="4055" spans="5:24" x14ac:dyDescent="0.3">
      <c r="E4055" s="173"/>
      <c r="F4055" s="173"/>
      <c r="I4055"/>
      <c r="J4055"/>
      <c r="K4055"/>
      <c r="L4055"/>
      <c r="M4055"/>
      <c r="N4055"/>
      <c r="O4055"/>
      <c r="P4055" s="225"/>
      <c r="Q4055" s="225"/>
      <c r="R4055"/>
      <c r="S4055"/>
      <c r="T4055"/>
      <c r="U4055"/>
      <c r="V4055"/>
      <c r="W4055"/>
      <c r="X4055"/>
    </row>
    <row r="4056" spans="5:24" x14ac:dyDescent="0.3">
      <c r="E4056" s="173"/>
      <c r="F4056" s="173"/>
      <c r="I4056"/>
      <c r="J4056"/>
      <c r="K4056"/>
      <c r="L4056"/>
      <c r="M4056"/>
      <c r="N4056"/>
      <c r="O4056"/>
      <c r="P4056" s="225"/>
      <c r="Q4056" s="225"/>
      <c r="R4056"/>
      <c r="S4056"/>
      <c r="T4056"/>
      <c r="U4056"/>
      <c r="V4056"/>
      <c r="W4056"/>
      <c r="X4056"/>
    </row>
    <row r="4057" spans="5:24" x14ac:dyDescent="0.3">
      <c r="E4057" s="173"/>
      <c r="F4057" s="173"/>
      <c r="I4057"/>
      <c r="J4057"/>
      <c r="K4057"/>
      <c r="L4057"/>
      <c r="M4057"/>
      <c r="N4057"/>
      <c r="O4057"/>
      <c r="P4057" s="225"/>
      <c r="Q4057" s="225"/>
      <c r="R4057"/>
      <c r="S4057"/>
      <c r="T4057"/>
      <c r="U4057"/>
      <c r="V4057"/>
      <c r="W4057"/>
      <c r="X4057"/>
    </row>
    <row r="4058" spans="5:24" x14ac:dyDescent="0.3">
      <c r="E4058" s="173"/>
      <c r="F4058" s="173"/>
      <c r="I4058"/>
      <c r="J4058"/>
      <c r="K4058"/>
      <c r="L4058"/>
      <c r="M4058"/>
      <c r="N4058"/>
      <c r="O4058"/>
      <c r="P4058" s="225"/>
      <c r="Q4058" s="225"/>
      <c r="R4058"/>
      <c r="S4058"/>
      <c r="T4058"/>
      <c r="U4058"/>
      <c r="V4058"/>
      <c r="W4058"/>
      <c r="X4058"/>
    </row>
    <row r="4059" spans="5:24" x14ac:dyDescent="0.3">
      <c r="E4059" s="173"/>
      <c r="F4059" s="173"/>
      <c r="I4059"/>
      <c r="J4059"/>
      <c r="K4059"/>
      <c r="L4059"/>
      <c r="M4059"/>
      <c r="N4059"/>
      <c r="O4059"/>
      <c r="P4059" s="225"/>
      <c r="Q4059" s="225"/>
      <c r="R4059"/>
      <c r="S4059"/>
      <c r="T4059"/>
      <c r="U4059"/>
      <c r="V4059"/>
      <c r="W4059"/>
      <c r="X4059"/>
    </row>
    <row r="4060" spans="5:24" x14ac:dyDescent="0.3">
      <c r="E4060" s="173"/>
      <c r="F4060" s="173"/>
      <c r="I4060"/>
      <c r="J4060"/>
      <c r="K4060"/>
      <c r="L4060"/>
      <c r="M4060"/>
      <c r="N4060"/>
      <c r="O4060"/>
      <c r="P4060" s="225"/>
      <c r="Q4060" s="225"/>
      <c r="R4060"/>
      <c r="S4060"/>
      <c r="T4060"/>
      <c r="U4060"/>
      <c r="V4060"/>
      <c r="W4060"/>
      <c r="X4060"/>
    </row>
    <row r="4061" spans="5:24" x14ac:dyDescent="0.3">
      <c r="E4061" s="173"/>
      <c r="F4061" s="173"/>
      <c r="I4061"/>
      <c r="J4061"/>
      <c r="K4061"/>
      <c r="L4061"/>
      <c r="M4061"/>
      <c r="N4061"/>
      <c r="O4061"/>
      <c r="P4061" s="225"/>
      <c r="Q4061" s="225"/>
      <c r="R4061"/>
      <c r="S4061"/>
      <c r="T4061"/>
      <c r="U4061"/>
      <c r="V4061"/>
      <c r="W4061"/>
      <c r="X4061"/>
    </row>
    <row r="4062" spans="5:24" x14ac:dyDescent="0.3">
      <c r="E4062" s="173"/>
      <c r="F4062" s="173"/>
      <c r="I4062"/>
      <c r="J4062"/>
      <c r="K4062"/>
      <c r="L4062"/>
      <c r="M4062"/>
      <c r="N4062"/>
      <c r="O4062"/>
      <c r="P4062" s="225"/>
      <c r="Q4062" s="225"/>
      <c r="R4062"/>
      <c r="S4062"/>
      <c r="T4062"/>
      <c r="U4062"/>
      <c r="V4062"/>
      <c r="W4062"/>
      <c r="X4062"/>
    </row>
    <row r="4063" spans="5:24" x14ac:dyDescent="0.3">
      <c r="E4063" s="173"/>
      <c r="F4063" s="173"/>
      <c r="I4063"/>
      <c r="J4063"/>
      <c r="K4063"/>
      <c r="L4063"/>
      <c r="M4063"/>
      <c r="N4063"/>
      <c r="O4063"/>
      <c r="P4063" s="225"/>
      <c r="Q4063" s="225"/>
      <c r="R4063"/>
      <c r="S4063"/>
      <c r="T4063"/>
      <c r="U4063"/>
      <c r="V4063"/>
      <c r="W4063"/>
      <c r="X4063"/>
    </row>
    <row r="4064" spans="5:24" x14ac:dyDescent="0.3">
      <c r="E4064" s="173"/>
      <c r="F4064" s="173"/>
      <c r="I4064"/>
      <c r="J4064"/>
      <c r="K4064"/>
      <c r="L4064"/>
      <c r="M4064"/>
      <c r="N4064"/>
      <c r="O4064"/>
      <c r="P4064" s="225"/>
      <c r="Q4064" s="225"/>
      <c r="R4064"/>
      <c r="S4064"/>
      <c r="T4064"/>
      <c r="U4064"/>
      <c r="V4064"/>
      <c r="W4064"/>
      <c r="X4064"/>
    </row>
    <row r="4065" spans="5:24" x14ac:dyDescent="0.3">
      <c r="E4065" s="173"/>
      <c r="F4065" s="173"/>
      <c r="I4065"/>
      <c r="J4065"/>
      <c r="K4065"/>
      <c r="L4065"/>
      <c r="M4065"/>
      <c r="N4065"/>
      <c r="O4065"/>
      <c r="P4065" s="225"/>
      <c r="Q4065" s="225"/>
      <c r="R4065"/>
      <c r="S4065"/>
      <c r="T4065"/>
      <c r="U4065"/>
      <c r="V4065"/>
      <c r="W4065"/>
      <c r="X4065"/>
    </row>
    <row r="4066" spans="5:24" x14ac:dyDescent="0.3">
      <c r="E4066" s="173"/>
      <c r="F4066" s="173"/>
      <c r="I4066"/>
      <c r="J4066"/>
      <c r="K4066"/>
      <c r="L4066"/>
      <c r="M4066"/>
      <c r="N4066"/>
      <c r="O4066"/>
      <c r="P4066" s="225"/>
      <c r="Q4066" s="225"/>
      <c r="R4066"/>
      <c r="S4066"/>
      <c r="T4066"/>
      <c r="U4066"/>
      <c r="V4066"/>
      <c r="W4066"/>
      <c r="X4066"/>
    </row>
    <row r="4067" spans="5:24" x14ac:dyDescent="0.3">
      <c r="E4067" s="173"/>
      <c r="F4067" s="173"/>
      <c r="I4067"/>
      <c r="J4067"/>
      <c r="K4067"/>
      <c r="L4067"/>
      <c r="M4067"/>
      <c r="N4067"/>
      <c r="O4067"/>
      <c r="P4067" s="225"/>
      <c r="Q4067" s="225"/>
      <c r="R4067"/>
      <c r="S4067"/>
      <c r="T4067"/>
      <c r="U4067"/>
      <c r="V4067"/>
      <c r="W4067"/>
      <c r="X4067"/>
    </row>
    <row r="4068" spans="5:24" x14ac:dyDescent="0.3">
      <c r="E4068" s="173"/>
      <c r="F4068" s="173"/>
      <c r="I4068"/>
      <c r="J4068"/>
      <c r="K4068"/>
      <c r="L4068"/>
      <c r="M4068"/>
      <c r="N4068"/>
      <c r="O4068"/>
      <c r="P4068" s="225"/>
      <c r="Q4068" s="225"/>
      <c r="R4068"/>
      <c r="S4068"/>
      <c r="T4068"/>
      <c r="U4068"/>
      <c r="V4068"/>
      <c r="W4068"/>
      <c r="X4068"/>
    </row>
    <row r="4069" spans="5:24" x14ac:dyDescent="0.3">
      <c r="E4069" s="173"/>
      <c r="F4069" s="173"/>
      <c r="I4069"/>
      <c r="J4069"/>
      <c r="K4069"/>
      <c r="L4069"/>
      <c r="M4069"/>
      <c r="N4069"/>
      <c r="O4069"/>
      <c r="P4069" s="225"/>
      <c r="Q4069" s="225"/>
      <c r="R4069"/>
      <c r="S4069"/>
      <c r="T4069"/>
      <c r="U4069"/>
      <c r="V4069"/>
      <c r="W4069"/>
      <c r="X4069"/>
    </row>
    <row r="4070" spans="5:24" x14ac:dyDescent="0.3">
      <c r="E4070" s="173"/>
      <c r="F4070" s="173"/>
      <c r="I4070"/>
      <c r="J4070"/>
      <c r="K4070"/>
      <c r="L4070"/>
      <c r="M4070"/>
      <c r="N4070"/>
      <c r="O4070"/>
      <c r="P4070" s="225"/>
      <c r="Q4070" s="225"/>
      <c r="R4070"/>
      <c r="S4070"/>
      <c r="T4070"/>
      <c r="U4070"/>
      <c r="V4070"/>
      <c r="W4070"/>
      <c r="X4070"/>
    </row>
    <row r="4071" spans="5:24" x14ac:dyDescent="0.3">
      <c r="E4071" s="173"/>
      <c r="F4071" s="173"/>
      <c r="I4071"/>
      <c r="J4071"/>
      <c r="K4071"/>
      <c r="L4071"/>
      <c r="M4071"/>
      <c r="N4071"/>
      <c r="O4071"/>
      <c r="P4071" s="225"/>
      <c r="Q4071" s="225"/>
      <c r="R4071"/>
      <c r="S4071"/>
      <c r="T4071"/>
      <c r="U4071"/>
      <c r="V4071"/>
      <c r="W4071"/>
      <c r="X4071"/>
    </row>
    <row r="4072" spans="5:24" x14ac:dyDescent="0.3">
      <c r="E4072" s="173"/>
      <c r="F4072" s="173"/>
      <c r="I4072"/>
      <c r="J4072"/>
      <c r="K4072"/>
      <c r="L4072"/>
      <c r="M4072"/>
      <c r="N4072"/>
      <c r="O4072"/>
      <c r="P4072" s="225"/>
      <c r="Q4072" s="225"/>
      <c r="R4072"/>
      <c r="S4072"/>
      <c r="T4072"/>
      <c r="U4072"/>
      <c r="V4072"/>
      <c r="W4072"/>
      <c r="X4072"/>
    </row>
    <row r="4073" spans="5:24" x14ac:dyDescent="0.3">
      <c r="E4073" s="173"/>
      <c r="F4073" s="173"/>
      <c r="I4073"/>
      <c r="J4073"/>
      <c r="K4073"/>
      <c r="L4073"/>
      <c r="M4073"/>
      <c r="N4073"/>
      <c r="O4073"/>
      <c r="P4073" s="225"/>
      <c r="Q4073" s="225"/>
      <c r="R4073"/>
      <c r="S4073"/>
      <c r="T4073"/>
      <c r="U4073"/>
      <c r="V4073"/>
      <c r="W4073"/>
      <c r="X4073"/>
    </row>
    <row r="4074" spans="5:24" x14ac:dyDescent="0.3">
      <c r="E4074" s="173"/>
      <c r="F4074" s="173"/>
      <c r="I4074"/>
      <c r="J4074"/>
      <c r="K4074"/>
      <c r="L4074"/>
      <c r="M4074"/>
      <c r="N4074"/>
      <c r="O4074"/>
      <c r="P4074" s="225"/>
      <c r="Q4074" s="225"/>
      <c r="R4074"/>
      <c r="S4074"/>
      <c r="T4074"/>
      <c r="U4074"/>
      <c r="V4074"/>
      <c r="W4074"/>
      <c r="X4074"/>
    </row>
    <row r="4075" spans="5:24" x14ac:dyDescent="0.3">
      <c r="E4075" s="173"/>
      <c r="F4075" s="173"/>
      <c r="I4075"/>
      <c r="J4075"/>
      <c r="K4075"/>
      <c r="L4075"/>
      <c r="M4075"/>
      <c r="N4075"/>
      <c r="O4075"/>
      <c r="P4075" s="225"/>
      <c r="Q4075" s="225"/>
      <c r="R4075"/>
      <c r="S4075"/>
      <c r="T4075"/>
      <c r="U4075"/>
      <c r="V4075"/>
      <c r="W4075"/>
      <c r="X4075"/>
    </row>
    <row r="4076" spans="5:24" x14ac:dyDescent="0.3">
      <c r="E4076" s="173"/>
      <c r="F4076" s="173"/>
      <c r="I4076"/>
      <c r="J4076"/>
      <c r="K4076"/>
      <c r="L4076"/>
      <c r="M4076"/>
      <c r="N4076"/>
      <c r="O4076"/>
      <c r="P4076" s="225"/>
      <c r="Q4076" s="225"/>
      <c r="R4076"/>
      <c r="S4076"/>
      <c r="T4076"/>
      <c r="U4076"/>
      <c r="V4076"/>
      <c r="W4076"/>
      <c r="X4076"/>
    </row>
    <row r="4077" spans="5:24" x14ac:dyDescent="0.3">
      <c r="E4077" s="173"/>
      <c r="F4077" s="173"/>
      <c r="I4077"/>
      <c r="J4077"/>
      <c r="K4077"/>
      <c r="L4077"/>
      <c r="M4077"/>
      <c r="N4077"/>
      <c r="O4077"/>
      <c r="P4077" s="225"/>
      <c r="Q4077" s="225"/>
      <c r="R4077"/>
      <c r="S4077"/>
      <c r="T4077"/>
      <c r="U4077"/>
      <c r="V4077"/>
      <c r="W4077"/>
      <c r="X4077"/>
    </row>
    <row r="4078" spans="5:24" x14ac:dyDescent="0.3">
      <c r="E4078" s="173"/>
      <c r="F4078" s="173"/>
      <c r="I4078"/>
      <c r="J4078"/>
      <c r="K4078"/>
      <c r="L4078"/>
      <c r="M4078"/>
      <c r="N4078"/>
      <c r="O4078"/>
      <c r="P4078" s="225"/>
      <c r="Q4078" s="225"/>
      <c r="R4078"/>
      <c r="S4078"/>
      <c r="T4078"/>
      <c r="U4078"/>
      <c r="V4078"/>
      <c r="W4078"/>
      <c r="X4078"/>
    </row>
    <row r="4079" spans="5:24" x14ac:dyDescent="0.3">
      <c r="E4079" s="173"/>
      <c r="F4079" s="173"/>
      <c r="I4079"/>
      <c r="J4079"/>
      <c r="K4079"/>
      <c r="L4079"/>
      <c r="M4079"/>
      <c r="N4079"/>
      <c r="O4079"/>
      <c r="P4079" s="225"/>
      <c r="Q4079" s="225"/>
      <c r="R4079"/>
      <c r="S4079"/>
      <c r="T4079"/>
      <c r="U4079"/>
      <c r="V4079"/>
      <c r="W4079"/>
      <c r="X4079"/>
    </row>
    <row r="4080" spans="5:24" x14ac:dyDescent="0.3">
      <c r="E4080" s="173"/>
      <c r="F4080" s="173"/>
      <c r="I4080"/>
      <c r="J4080"/>
      <c r="K4080"/>
      <c r="L4080"/>
      <c r="M4080"/>
      <c r="N4080"/>
      <c r="O4080"/>
      <c r="P4080" s="225"/>
      <c r="Q4080" s="225"/>
      <c r="R4080"/>
      <c r="S4080"/>
      <c r="T4080"/>
      <c r="U4080"/>
      <c r="V4080"/>
      <c r="W4080"/>
      <c r="X4080"/>
    </row>
    <row r="4081" spans="5:24" x14ac:dyDescent="0.3">
      <c r="E4081" s="173"/>
      <c r="F4081" s="173"/>
      <c r="I4081"/>
      <c r="J4081"/>
      <c r="K4081"/>
      <c r="L4081"/>
      <c r="M4081"/>
      <c r="N4081"/>
      <c r="O4081"/>
      <c r="P4081" s="225"/>
      <c r="Q4081" s="225"/>
      <c r="R4081"/>
      <c r="S4081"/>
      <c r="T4081"/>
      <c r="U4081"/>
      <c r="V4081"/>
      <c r="W4081"/>
      <c r="X4081"/>
    </row>
    <row r="4082" spans="5:24" x14ac:dyDescent="0.3">
      <c r="E4082" s="173"/>
      <c r="F4082" s="173"/>
      <c r="I4082"/>
      <c r="J4082"/>
      <c r="K4082"/>
      <c r="L4082"/>
      <c r="M4082"/>
      <c r="N4082"/>
      <c r="O4082"/>
      <c r="P4082" s="225"/>
      <c r="Q4082" s="225"/>
      <c r="R4082"/>
      <c r="S4082"/>
      <c r="T4082"/>
      <c r="U4082"/>
      <c r="V4082"/>
      <c r="W4082"/>
      <c r="X4082"/>
    </row>
    <row r="4083" spans="5:24" x14ac:dyDescent="0.3">
      <c r="E4083" s="173"/>
      <c r="F4083" s="173"/>
      <c r="I4083"/>
      <c r="J4083"/>
      <c r="K4083"/>
      <c r="L4083"/>
      <c r="M4083"/>
      <c r="N4083"/>
      <c r="O4083"/>
      <c r="P4083" s="225"/>
      <c r="Q4083" s="225"/>
      <c r="R4083"/>
      <c r="S4083"/>
      <c r="T4083"/>
      <c r="U4083"/>
      <c r="V4083"/>
      <c r="W4083"/>
      <c r="X4083"/>
    </row>
    <row r="4084" spans="5:24" x14ac:dyDescent="0.3">
      <c r="E4084" s="173"/>
      <c r="F4084" s="173"/>
      <c r="I4084"/>
      <c r="J4084"/>
      <c r="K4084"/>
      <c r="L4084"/>
      <c r="M4084"/>
      <c r="N4084"/>
      <c r="O4084"/>
      <c r="P4084" s="225"/>
      <c r="Q4084" s="225"/>
      <c r="R4084"/>
      <c r="S4084"/>
      <c r="T4084"/>
      <c r="U4084"/>
      <c r="V4084"/>
      <c r="W4084"/>
      <c r="X4084"/>
    </row>
    <row r="4085" spans="5:24" x14ac:dyDescent="0.3">
      <c r="E4085" s="173"/>
      <c r="F4085" s="173"/>
      <c r="I4085"/>
      <c r="J4085"/>
      <c r="K4085"/>
      <c r="L4085"/>
      <c r="M4085"/>
      <c r="N4085"/>
      <c r="O4085"/>
      <c r="P4085" s="225"/>
      <c r="Q4085" s="225"/>
      <c r="R4085"/>
      <c r="S4085"/>
      <c r="T4085"/>
      <c r="U4085"/>
      <c r="V4085"/>
      <c r="W4085"/>
      <c r="X4085"/>
    </row>
    <row r="4086" spans="5:24" x14ac:dyDescent="0.3">
      <c r="E4086" s="173"/>
      <c r="F4086" s="173"/>
      <c r="I4086"/>
      <c r="J4086"/>
      <c r="K4086"/>
      <c r="L4086"/>
      <c r="M4086"/>
      <c r="N4086"/>
      <c r="O4086"/>
      <c r="P4086" s="225"/>
      <c r="Q4086" s="225"/>
      <c r="R4086"/>
      <c r="S4086"/>
      <c r="T4086"/>
      <c r="U4086"/>
      <c r="V4086"/>
      <c r="W4086"/>
      <c r="X4086"/>
    </row>
    <row r="4087" spans="5:24" x14ac:dyDescent="0.3">
      <c r="E4087" s="173"/>
      <c r="F4087" s="173"/>
      <c r="I4087"/>
      <c r="J4087"/>
      <c r="K4087"/>
      <c r="L4087"/>
      <c r="M4087"/>
      <c r="N4087"/>
      <c r="O4087"/>
      <c r="P4087" s="225"/>
      <c r="Q4087" s="225"/>
      <c r="R4087"/>
      <c r="S4087"/>
      <c r="T4087"/>
      <c r="U4087"/>
      <c r="V4087"/>
      <c r="W4087"/>
      <c r="X4087"/>
    </row>
    <row r="4088" spans="5:24" x14ac:dyDescent="0.3">
      <c r="E4088" s="173"/>
      <c r="F4088" s="173"/>
      <c r="I4088"/>
      <c r="J4088"/>
      <c r="K4088"/>
      <c r="L4088"/>
      <c r="M4088"/>
      <c r="N4088"/>
      <c r="O4088"/>
      <c r="P4088" s="225"/>
      <c r="Q4088" s="225"/>
      <c r="R4088"/>
      <c r="S4088"/>
      <c r="T4088"/>
      <c r="U4088"/>
      <c r="V4088"/>
      <c r="W4088"/>
      <c r="X4088"/>
    </row>
    <row r="4089" spans="5:24" x14ac:dyDescent="0.3">
      <c r="E4089" s="173"/>
      <c r="F4089" s="173"/>
      <c r="I4089"/>
      <c r="J4089"/>
      <c r="K4089"/>
      <c r="L4089"/>
      <c r="M4089"/>
      <c r="N4089"/>
      <c r="O4089"/>
      <c r="P4089" s="225"/>
      <c r="Q4089" s="225"/>
      <c r="R4089"/>
      <c r="S4089"/>
      <c r="T4089"/>
      <c r="U4089"/>
      <c r="V4089"/>
      <c r="W4089"/>
      <c r="X4089"/>
    </row>
    <row r="4090" spans="5:24" x14ac:dyDescent="0.3">
      <c r="E4090" s="173"/>
      <c r="F4090" s="173"/>
      <c r="I4090"/>
      <c r="J4090"/>
      <c r="K4090"/>
      <c r="L4090"/>
      <c r="M4090"/>
      <c r="N4090"/>
      <c r="O4090"/>
      <c r="P4090" s="225"/>
      <c r="Q4090" s="225"/>
      <c r="R4090"/>
      <c r="S4090"/>
      <c r="T4090"/>
      <c r="U4090"/>
      <c r="V4090"/>
      <c r="W4090"/>
      <c r="X4090"/>
    </row>
    <row r="4091" spans="5:24" x14ac:dyDescent="0.3">
      <c r="E4091" s="173"/>
      <c r="F4091" s="173"/>
      <c r="I4091"/>
      <c r="J4091"/>
      <c r="K4091"/>
      <c r="L4091"/>
      <c r="M4091"/>
      <c r="N4091"/>
      <c r="O4091"/>
      <c r="P4091" s="225"/>
      <c r="Q4091" s="225"/>
      <c r="R4091"/>
      <c r="S4091"/>
      <c r="T4091"/>
      <c r="U4091"/>
      <c r="V4091"/>
      <c r="W4091"/>
      <c r="X4091"/>
    </row>
    <row r="4092" spans="5:24" x14ac:dyDescent="0.3">
      <c r="E4092" s="173"/>
      <c r="F4092" s="173"/>
      <c r="I4092"/>
      <c r="J4092"/>
      <c r="K4092"/>
      <c r="L4092"/>
      <c r="M4092"/>
      <c r="N4092"/>
      <c r="O4092"/>
      <c r="P4092" s="225"/>
      <c r="Q4092" s="225"/>
      <c r="R4092"/>
      <c r="S4092"/>
      <c r="T4092"/>
      <c r="U4092"/>
      <c r="V4092"/>
      <c r="W4092"/>
      <c r="X4092"/>
    </row>
    <row r="4093" spans="5:24" x14ac:dyDescent="0.3">
      <c r="E4093" s="173"/>
      <c r="F4093" s="173"/>
      <c r="I4093"/>
      <c r="J4093"/>
      <c r="K4093"/>
      <c r="L4093"/>
      <c r="M4093"/>
      <c r="N4093"/>
      <c r="O4093"/>
      <c r="P4093" s="225"/>
      <c r="Q4093" s="225"/>
      <c r="R4093"/>
      <c r="S4093"/>
      <c r="T4093"/>
      <c r="U4093"/>
      <c r="V4093"/>
      <c r="W4093"/>
      <c r="X4093"/>
    </row>
    <row r="4094" spans="5:24" x14ac:dyDescent="0.3">
      <c r="E4094" s="173"/>
      <c r="F4094" s="173"/>
      <c r="I4094"/>
      <c r="J4094"/>
      <c r="K4094"/>
      <c r="L4094"/>
      <c r="M4094"/>
      <c r="N4094"/>
      <c r="O4094"/>
      <c r="P4094" s="225"/>
      <c r="Q4094" s="225"/>
      <c r="R4094"/>
      <c r="S4094"/>
      <c r="T4094"/>
      <c r="U4094"/>
      <c r="V4094"/>
      <c r="W4094"/>
      <c r="X4094"/>
    </row>
    <row r="4095" spans="5:24" x14ac:dyDescent="0.3">
      <c r="E4095" s="173"/>
      <c r="F4095" s="173"/>
      <c r="I4095"/>
      <c r="J4095"/>
      <c r="K4095"/>
      <c r="L4095"/>
      <c r="M4095"/>
      <c r="N4095"/>
      <c r="O4095"/>
      <c r="P4095" s="225"/>
      <c r="Q4095" s="225"/>
      <c r="R4095"/>
      <c r="S4095"/>
      <c r="T4095"/>
      <c r="U4095"/>
      <c r="V4095"/>
      <c r="W4095"/>
      <c r="X4095"/>
    </row>
    <row r="4096" spans="5:24" x14ac:dyDescent="0.3">
      <c r="E4096" s="173"/>
      <c r="F4096" s="173"/>
      <c r="I4096"/>
      <c r="J4096"/>
      <c r="K4096"/>
      <c r="L4096"/>
      <c r="M4096"/>
      <c r="N4096"/>
      <c r="O4096"/>
      <c r="P4096" s="225"/>
      <c r="Q4096" s="225"/>
      <c r="R4096"/>
      <c r="S4096"/>
      <c r="T4096"/>
      <c r="U4096"/>
      <c r="V4096"/>
      <c r="W4096"/>
      <c r="X4096"/>
    </row>
    <row r="4097" spans="5:24" x14ac:dyDescent="0.3">
      <c r="E4097" s="173"/>
      <c r="F4097" s="173"/>
      <c r="I4097"/>
      <c r="J4097"/>
      <c r="K4097"/>
      <c r="L4097"/>
      <c r="M4097"/>
      <c r="N4097"/>
      <c r="O4097"/>
      <c r="P4097" s="225"/>
      <c r="Q4097" s="225"/>
      <c r="R4097"/>
      <c r="S4097"/>
      <c r="T4097"/>
      <c r="U4097"/>
      <c r="V4097"/>
      <c r="W4097"/>
      <c r="X4097"/>
    </row>
    <row r="4098" spans="5:24" x14ac:dyDescent="0.3">
      <c r="E4098" s="173"/>
      <c r="F4098" s="173"/>
      <c r="I4098"/>
      <c r="J4098"/>
      <c r="K4098"/>
      <c r="L4098"/>
      <c r="M4098"/>
      <c r="N4098"/>
      <c r="O4098"/>
      <c r="P4098" s="225"/>
      <c r="Q4098" s="225"/>
      <c r="R4098"/>
      <c r="S4098"/>
      <c r="T4098"/>
      <c r="U4098"/>
      <c r="V4098"/>
      <c r="W4098"/>
      <c r="X4098"/>
    </row>
    <row r="4099" spans="5:24" x14ac:dyDescent="0.3">
      <c r="E4099" s="173"/>
      <c r="F4099" s="173"/>
      <c r="I4099"/>
      <c r="J4099"/>
      <c r="K4099"/>
      <c r="L4099"/>
      <c r="M4099"/>
      <c r="N4099"/>
      <c r="O4099"/>
      <c r="P4099" s="225"/>
      <c r="Q4099" s="225"/>
      <c r="R4099"/>
      <c r="S4099"/>
      <c r="T4099"/>
      <c r="U4099"/>
      <c r="V4099"/>
      <c r="W4099"/>
      <c r="X4099"/>
    </row>
    <row r="4100" spans="5:24" x14ac:dyDescent="0.3">
      <c r="E4100" s="173"/>
      <c r="F4100" s="173"/>
      <c r="I4100"/>
      <c r="J4100"/>
      <c r="K4100"/>
      <c r="L4100"/>
      <c r="M4100"/>
      <c r="N4100"/>
      <c r="O4100"/>
      <c r="P4100" s="225"/>
      <c r="Q4100" s="225"/>
      <c r="R4100"/>
      <c r="S4100"/>
      <c r="T4100"/>
      <c r="U4100"/>
      <c r="V4100"/>
      <c r="W4100"/>
      <c r="X4100"/>
    </row>
    <row r="4101" spans="5:24" x14ac:dyDescent="0.3">
      <c r="E4101" s="173"/>
      <c r="F4101" s="173"/>
      <c r="I4101"/>
      <c r="J4101"/>
      <c r="K4101"/>
      <c r="L4101"/>
      <c r="M4101"/>
      <c r="N4101"/>
      <c r="O4101"/>
      <c r="P4101" s="225"/>
      <c r="Q4101" s="225"/>
      <c r="R4101"/>
      <c r="S4101"/>
      <c r="T4101"/>
      <c r="U4101"/>
      <c r="V4101"/>
      <c r="W4101"/>
      <c r="X4101"/>
    </row>
    <row r="4102" spans="5:24" x14ac:dyDescent="0.3">
      <c r="E4102" s="173"/>
      <c r="F4102" s="173"/>
      <c r="I4102"/>
      <c r="J4102"/>
      <c r="K4102"/>
      <c r="L4102"/>
      <c r="M4102"/>
      <c r="N4102"/>
      <c r="O4102"/>
      <c r="P4102" s="225"/>
      <c r="Q4102" s="225"/>
      <c r="R4102"/>
      <c r="S4102"/>
      <c r="T4102"/>
      <c r="U4102"/>
      <c r="V4102"/>
      <c r="W4102"/>
      <c r="X4102"/>
    </row>
    <row r="4103" spans="5:24" x14ac:dyDescent="0.3">
      <c r="E4103" s="173"/>
      <c r="F4103" s="173"/>
      <c r="I4103"/>
      <c r="J4103"/>
      <c r="K4103"/>
      <c r="L4103"/>
      <c r="M4103"/>
      <c r="N4103"/>
      <c r="O4103"/>
      <c r="P4103" s="225"/>
      <c r="Q4103" s="225"/>
      <c r="R4103"/>
      <c r="S4103"/>
      <c r="T4103"/>
      <c r="U4103"/>
      <c r="V4103"/>
      <c r="W4103"/>
      <c r="X4103"/>
    </row>
    <row r="4104" spans="5:24" x14ac:dyDescent="0.3">
      <c r="E4104" s="173"/>
      <c r="F4104" s="173"/>
      <c r="I4104"/>
      <c r="J4104"/>
      <c r="K4104"/>
      <c r="L4104"/>
      <c r="M4104"/>
      <c r="N4104"/>
      <c r="O4104"/>
      <c r="P4104" s="225"/>
      <c r="Q4104" s="225"/>
      <c r="R4104"/>
      <c r="S4104"/>
      <c r="T4104"/>
      <c r="U4104"/>
      <c r="V4104"/>
      <c r="W4104"/>
      <c r="X4104"/>
    </row>
    <row r="4105" spans="5:24" x14ac:dyDescent="0.3">
      <c r="E4105" s="173"/>
      <c r="F4105" s="173"/>
      <c r="I4105"/>
      <c r="J4105"/>
      <c r="K4105"/>
      <c r="L4105"/>
      <c r="M4105"/>
      <c r="N4105"/>
      <c r="O4105"/>
      <c r="P4105" s="225"/>
      <c r="Q4105" s="225"/>
      <c r="R4105"/>
      <c r="S4105"/>
      <c r="T4105"/>
      <c r="U4105"/>
      <c r="V4105"/>
      <c r="W4105"/>
      <c r="X4105"/>
    </row>
    <row r="4106" spans="5:24" x14ac:dyDescent="0.3">
      <c r="E4106" s="173"/>
      <c r="F4106" s="173"/>
      <c r="I4106"/>
      <c r="J4106"/>
      <c r="K4106"/>
      <c r="L4106"/>
      <c r="M4106"/>
      <c r="N4106"/>
      <c r="O4106"/>
      <c r="P4106" s="225"/>
      <c r="Q4106" s="225"/>
      <c r="R4106"/>
      <c r="S4106"/>
      <c r="T4106"/>
      <c r="U4106"/>
      <c r="V4106"/>
      <c r="W4106"/>
      <c r="X4106"/>
    </row>
    <row r="4107" spans="5:24" x14ac:dyDescent="0.3">
      <c r="E4107" s="173"/>
      <c r="F4107" s="173"/>
      <c r="I4107"/>
      <c r="J4107"/>
      <c r="K4107"/>
      <c r="L4107"/>
      <c r="M4107"/>
      <c r="N4107"/>
      <c r="O4107"/>
      <c r="P4107" s="225"/>
      <c r="Q4107" s="225"/>
      <c r="R4107"/>
      <c r="S4107"/>
      <c r="T4107"/>
      <c r="U4107"/>
      <c r="V4107"/>
      <c r="W4107"/>
      <c r="X4107"/>
    </row>
    <row r="4108" spans="5:24" x14ac:dyDescent="0.3">
      <c r="E4108" s="173"/>
      <c r="F4108" s="173"/>
      <c r="I4108"/>
      <c r="J4108"/>
      <c r="K4108"/>
      <c r="L4108"/>
      <c r="M4108"/>
      <c r="N4108"/>
      <c r="O4108"/>
      <c r="P4108" s="225"/>
      <c r="Q4108" s="225"/>
      <c r="R4108"/>
      <c r="S4108"/>
      <c r="T4108"/>
      <c r="U4108"/>
      <c r="V4108"/>
      <c r="W4108"/>
      <c r="X4108"/>
    </row>
    <row r="4109" spans="5:24" x14ac:dyDescent="0.3">
      <c r="E4109" s="173"/>
      <c r="F4109" s="173"/>
      <c r="I4109"/>
      <c r="J4109"/>
      <c r="K4109"/>
      <c r="L4109"/>
      <c r="M4109"/>
      <c r="N4109"/>
      <c r="O4109"/>
      <c r="P4109" s="225"/>
      <c r="Q4109" s="225"/>
      <c r="R4109"/>
      <c r="S4109"/>
      <c r="T4109"/>
      <c r="U4109"/>
      <c r="V4109"/>
      <c r="W4109"/>
      <c r="X4109"/>
    </row>
    <row r="4110" spans="5:24" x14ac:dyDescent="0.3">
      <c r="E4110" s="173"/>
      <c r="F4110" s="173"/>
      <c r="I4110"/>
      <c r="J4110"/>
      <c r="K4110"/>
      <c r="L4110"/>
      <c r="M4110"/>
      <c r="N4110"/>
      <c r="O4110"/>
      <c r="P4110" s="225"/>
      <c r="Q4110" s="225"/>
      <c r="R4110"/>
      <c r="S4110"/>
      <c r="T4110"/>
      <c r="U4110"/>
      <c r="V4110"/>
      <c r="W4110"/>
      <c r="X4110"/>
    </row>
    <row r="4111" spans="5:24" x14ac:dyDescent="0.3">
      <c r="E4111" s="173"/>
      <c r="F4111" s="173"/>
      <c r="I4111"/>
      <c r="J4111"/>
      <c r="K4111"/>
      <c r="L4111"/>
      <c r="M4111"/>
      <c r="N4111"/>
      <c r="O4111"/>
      <c r="P4111" s="225"/>
      <c r="Q4111" s="225"/>
      <c r="R4111"/>
      <c r="S4111"/>
      <c r="T4111"/>
      <c r="U4111"/>
      <c r="V4111"/>
      <c r="W4111"/>
      <c r="X4111"/>
    </row>
    <row r="4112" spans="5:24" x14ac:dyDescent="0.3">
      <c r="E4112" s="173"/>
      <c r="F4112" s="173"/>
      <c r="I4112"/>
      <c r="J4112"/>
      <c r="K4112"/>
      <c r="L4112"/>
      <c r="M4112"/>
      <c r="N4112"/>
      <c r="O4112"/>
      <c r="P4112" s="225"/>
      <c r="Q4112" s="225"/>
      <c r="R4112"/>
      <c r="S4112"/>
      <c r="T4112"/>
      <c r="U4112"/>
      <c r="V4112"/>
      <c r="W4112"/>
      <c r="X4112"/>
    </row>
    <row r="4113" spans="5:24" x14ac:dyDescent="0.3">
      <c r="E4113" s="173"/>
      <c r="F4113" s="173"/>
      <c r="I4113"/>
      <c r="J4113"/>
      <c r="K4113"/>
      <c r="L4113"/>
      <c r="M4113"/>
      <c r="N4113"/>
      <c r="O4113"/>
      <c r="P4113" s="225"/>
      <c r="Q4113" s="225"/>
      <c r="R4113"/>
      <c r="S4113"/>
      <c r="T4113"/>
      <c r="U4113"/>
      <c r="V4113"/>
      <c r="W4113"/>
      <c r="X4113"/>
    </row>
    <row r="4114" spans="5:24" x14ac:dyDescent="0.3">
      <c r="E4114" s="173"/>
      <c r="F4114" s="173"/>
      <c r="I4114"/>
      <c r="J4114"/>
      <c r="K4114"/>
      <c r="L4114"/>
      <c r="M4114"/>
      <c r="N4114"/>
      <c r="O4114"/>
      <c r="P4114" s="225"/>
      <c r="Q4114" s="225"/>
      <c r="R4114"/>
      <c r="S4114"/>
      <c r="T4114"/>
      <c r="U4114"/>
      <c r="V4114"/>
      <c r="W4114"/>
      <c r="X4114"/>
    </row>
    <row r="4115" spans="5:24" x14ac:dyDescent="0.3">
      <c r="E4115" s="173"/>
      <c r="F4115" s="173"/>
      <c r="I4115"/>
      <c r="J4115"/>
      <c r="K4115"/>
      <c r="L4115"/>
      <c r="M4115"/>
      <c r="N4115"/>
      <c r="O4115"/>
      <c r="P4115" s="225"/>
      <c r="Q4115" s="225"/>
      <c r="R4115"/>
      <c r="S4115"/>
      <c r="T4115"/>
      <c r="U4115"/>
      <c r="V4115"/>
      <c r="W4115"/>
      <c r="X4115"/>
    </row>
    <row r="4116" spans="5:24" x14ac:dyDescent="0.3">
      <c r="E4116" s="173"/>
      <c r="F4116" s="173"/>
      <c r="I4116"/>
      <c r="J4116"/>
      <c r="K4116"/>
      <c r="L4116"/>
      <c r="M4116"/>
      <c r="N4116"/>
      <c r="O4116"/>
      <c r="P4116" s="225"/>
      <c r="Q4116" s="225"/>
      <c r="R4116"/>
      <c r="S4116"/>
      <c r="T4116"/>
      <c r="U4116"/>
      <c r="V4116"/>
      <c r="W4116"/>
      <c r="X4116"/>
    </row>
    <row r="4117" spans="5:24" x14ac:dyDescent="0.3">
      <c r="E4117" s="173"/>
      <c r="F4117" s="173"/>
      <c r="I4117"/>
      <c r="J4117"/>
      <c r="K4117"/>
      <c r="L4117"/>
      <c r="M4117"/>
      <c r="N4117"/>
      <c r="O4117"/>
      <c r="P4117" s="225"/>
      <c r="Q4117" s="225"/>
      <c r="R4117"/>
      <c r="S4117"/>
      <c r="T4117"/>
      <c r="U4117"/>
      <c r="V4117"/>
      <c r="W4117"/>
      <c r="X4117"/>
    </row>
    <row r="4118" spans="5:24" x14ac:dyDescent="0.3">
      <c r="E4118" s="173"/>
      <c r="F4118" s="173"/>
      <c r="I4118"/>
      <c r="J4118"/>
      <c r="K4118"/>
      <c r="L4118"/>
      <c r="M4118"/>
      <c r="N4118"/>
      <c r="O4118"/>
      <c r="P4118" s="225"/>
      <c r="Q4118" s="225"/>
      <c r="R4118"/>
      <c r="S4118"/>
      <c r="T4118"/>
      <c r="U4118"/>
      <c r="V4118"/>
      <c r="W4118"/>
      <c r="X4118"/>
    </row>
    <row r="4119" spans="5:24" x14ac:dyDescent="0.3">
      <c r="E4119" s="173"/>
      <c r="F4119" s="173"/>
      <c r="I4119"/>
      <c r="J4119"/>
      <c r="K4119"/>
      <c r="L4119"/>
      <c r="M4119"/>
      <c r="N4119"/>
      <c r="O4119"/>
      <c r="P4119" s="225"/>
      <c r="Q4119" s="225"/>
      <c r="R4119"/>
      <c r="S4119"/>
      <c r="T4119"/>
      <c r="U4119"/>
      <c r="V4119"/>
      <c r="W4119"/>
      <c r="X4119"/>
    </row>
    <row r="4120" spans="5:24" x14ac:dyDescent="0.3">
      <c r="E4120" s="173"/>
      <c r="F4120" s="173"/>
      <c r="I4120"/>
      <c r="J4120"/>
      <c r="K4120"/>
      <c r="L4120"/>
      <c r="M4120"/>
      <c r="N4120"/>
      <c r="O4120"/>
      <c r="P4120" s="225"/>
      <c r="Q4120" s="225"/>
      <c r="R4120"/>
      <c r="S4120"/>
      <c r="T4120"/>
      <c r="U4120"/>
      <c r="V4120"/>
      <c r="W4120"/>
      <c r="X4120"/>
    </row>
    <row r="4121" spans="5:24" x14ac:dyDescent="0.3">
      <c r="E4121" s="173"/>
      <c r="F4121" s="173"/>
      <c r="I4121"/>
      <c r="J4121"/>
      <c r="K4121"/>
      <c r="L4121"/>
      <c r="M4121"/>
      <c r="N4121"/>
      <c r="O4121"/>
      <c r="P4121" s="225"/>
      <c r="Q4121" s="225"/>
      <c r="R4121"/>
      <c r="S4121"/>
      <c r="T4121"/>
      <c r="U4121"/>
      <c r="V4121"/>
      <c r="W4121"/>
      <c r="X4121"/>
    </row>
    <row r="4122" spans="5:24" x14ac:dyDescent="0.3">
      <c r="E4122" s="173"/>
      <c r="F4122" s="173"/>
      <c r="I4122"/>
      <c r="J4122"/>
      <c r="K4122"/>
      <c r="L4122"/>
      <c r="M4122"/>
      <c r="N4122"/>
      <c r="O4122"/>
      <c r="P4122" s="225"/>
      <c r="Q4122" s="225"/>
      <c r="R4122"/>
      <c r="S4122"/>
      <c r="T4122"/>
      <c r="U4122"/>
      <c r="V4122"/>
      <c r="W4122"/>
      <c r="X4122"/>
    </row>
    <row r="4123" spans="5:24" x14ac:dyDescent="0.3">
      <c r="E4123" s="173"/>
      <c r="F4123" s="173"/>
      <c r="I4123"/>
      <c r="J4123"/>
      <c r="K4123"/>
      <c r="L4123"/>
      <c r="M4123"/>
      <c r="N4123"/>
      <c r="O4123"/>
      <c r="P4123" s="225"/>
      <c r="Q4123" s="225"/>
      <c r="R4123"/>
      <c r="S4123"/>
      <c r="T4123"/>
      <c r="U4123"/>
      <c r="V4123"/>
      <c r="W4123"/>
      <c r="X4123"/>
    </row>
    <row r="4124" spans="5:24" x14ac:dyDescent="0.3">
      <c r="E4124" s="173"/>
      <c r="F4124" s="173"/>
      <c r="I4124"/>
      <c r="J4124"/>
      <c r="K4124"/>
      <c r="L4124"/>
      <c r="M4124"/>
      <c r="N4124"/>
      <c r="O4124"/>
      <c r="P4124" s="225"/>
      <c r="Q4124" s="225"/>
      <c r="R4124"/>
      <c r="S4124"/>
      <c r="T4124"/>
      <c r="U4124"/>
      <c r="V4124"/>
      <c r="W4124"/>
      <c r="X4124"/>
    </row>
    <row r="4125" spans="5:24" x14ac:dyDescent="0.3">
      <c r="E4125" s="173"/>
      <c r="F4125" s="173"/>
      <c r="I4125"/>
      <c r="J4125"/>
      <c r="K4125"/>
      <c r="L4125"/>
      <c r="M4125"/>
      <c r="N4125"/>
      <c r="O4125"/>
      <c r="P4125" s="225"/>
      <c r="Q4125" s="225"/>
      <c r="R4125"/>
      <c r="S4125"/>
      <c r="T4125"/>
      <c r="U4125"/>
      <c r="V4125"/>
      <c r="W4125"/>
      <c r="X4125"/>
    </row>
    <row r="4126" spans="5:24" x14ac:dyDescent="0.3">
      <c r="E4126" s="173"/>
      <c r="F4126" s="173"/>
      <c r="I4126"/>
      <c r="J4126"/>
      <c r="K4126"/>
      <c r="L4126"/>
      <c r="M4126"/>
      <c r="N4126"/>
      <c r="O4126"/>
      <c r="P4126" s="225"/>
      <c r="Q4126" s="225"/>
      <c r="R4126"/>
      <c r="S4126"/>
      <c r="T4126"/>
      <c r="U4126"/>
      <c r="V4126"/>
      <c r="W4126"/>
      <c r="X4126"/>
    </row>
    <row r="4127" spans="5:24" x14ac:dyDescent="0.3">
      <c r="E4127" s="173"/>
      <c r="F4127" s="173"/>
      <c r="I4127"/>
      <c r="J4127"/>
      <c r="K4127"/>
      <c r="L4127"/>
      <c r="M4127"/>
      <c r="N4127"/>
      <c r="O4127"/>
      <c r="P4127" s="225"/>
      <c r="Q4127" s="225"/>
      <c r="R4127"/>
      <c r="S4127"/>
      <c r="T4127"/>
      <c r="U4127"/>
      <c r="V4127"/>
      <c r="W4127"/>
      <c r="X4127"/>
    </row>
    <row r="4128" spans="5:24" x14ac:dyDescent="0.3">
      <c r="E4128" s="173"/>
      <c r="F4128" s="173"/>
      <c r="I4128"/>
      <c r="J4128"/>
      <c r="K4128"/>
      <c r="L4128"/>
      <c r="M4128"/>
      <c r="N4128"/>
      <c r="O4128"/>
      <c r="P4128" s="225"/>
      <c r="Q4128" s="225"/>
      <c r="R4128"/>
      <c r="S4128"/>
      <c r="T4128"/>
      <c r="U4128"/>
      <c r="V4128"/>
      <c r="W4128"/>
      <c r="X4128"/>
    </row>
    <row r="4129" spans="5:24" x14ac:dyDescent="0.3">
      <c r="E4129" s="173"/>
      <c r="F4129" s="173"/>
      <c r="I4129"/>
      <c r="J4129"/>
      <c r="K4129"/>
      <c r="L4129"/>
      <c r="M4129"/>
      <c r="N4129"/>
      <c r="O4129"/>
      <c r="P4129" s="225"/>
      <c r="Q4129" s="225"/>
      <c r="R4129"/>
      <c r="S4129"/>
      <c r="T4129"/>
      <c r="U4129"/>
      <c r="V4129"/>
      <c r="W4129"/>
      <c r="X4129"/>
    </row>
    <row r="4130" spans="5:24" x14ac:dyDescent="0.3">
      <c r="E4130" s="173"/>
      <c r="F4130" s="173"/>
      <c r="I4130"/>
      <c r="J4130"/>
      <c r="K4130"/>
      <c r="L4130"/>
      <c r="M4130"/>
      <c r="N4130"/>
      <c r="O4130"/>
      <c r="P4130" s="225"/>
      <c r="Q4130" s="225"/>
      <c r="R4130"/>
      <c r="S4130"/>
      <c r="T4130"/>
      <c r="U4130"/>
      <c r="V4130"/>
      <c r="W4130"/>
      <c r="X4130"/>
    </row>
    <row r="4131" spans="5:24" x14ac:dyDescent="0.3">
      <c r="E4131" s="173"/>
      <c r="F4131" s="173"/>
      <c r="I4131"/>
      <c r="J4131"/>
      <c r="K4131"/>
      <c r="L4131"/>
      <c r="M4131"/>
      <c r="N4131"/>
      <c r="O4131"/>
      <c r="P4131" s="225"/>
      <c r="Q4131" s="225"/>
      <c r="R4131"/>
      <c r="S4131"/>
      <c r="T4131"/>
      <c r="U4131"/>
      <c r="V4131"/>
      <c r="W4131"/>
      <c r="X4131"/>
    </row>
    <row r="4132" spans="5:24" x14ac:dyDescent="0.3">
      <c r="E4132" s="173"/>
      <c r="F4132" s="173"/>
      <c r="I4132"/>
      <c r="J4132"/>
      <c r="K4132"/>
      <c r="L4132"/>
      <c r="M4132"/>
      <c r="N4132"/>
      <c r="O4132"/>
      <c r="P4132" s="225"/>
      <c r="Q4132" s="225"/>
      <c r="R4132"/>
      <c r="S4132"/>
      <c r="T4132"/>
      <c r="U4132"/>
      <c r="V4132"/>
      <c r="W4132"/>
      <c r="X4132"/>
    </row>
    <row r="4133" spans="5:24" x14ac:dyDescent="0.3">
      <c r="E4133" s="173"/>
      <c r="F4133" s="173"/>
      <c r="I4133"/>
      <c r="J4133"/>
      <c r="K4133"/>
      <c r="L4133"/>
      <c r="M4133"/>
      <c r="N4133"/>
      <c r="O4133"/>
      <c r="P4133" s="225"/>
      <c r="Q4133" s="225"/>
      <c r="R4133"/>
      <c r="S4133"/>
      <c r="T4133"/>
      <c r="U4133"/>
      <c r="V4133"/>
      <c r="W4133"/>
      <c r="X4133"/>
    </row>
    <row r="4134" spans="5:24" x14ac:dyDescent="0.3">
      <c r="E4134" s="173"/>
      <c r="F4134" s="173"/>
      <c r="I4134"/>
      <c r="J4134"/>
      <c r="K4134"/>
      <c r="L4134"/>
      <c r="M4134"/>
      <c r="N4134"/>
      <c r="O4134"/>
      <c r="P4134" s="225"/>
      <c r="Q4134" s="225"/>
      <c r="R4134"/>
      <c r="S4134"/>
      <c r="T4134"/>
      <c r="U4134"/>
      <c r="V4134"/>
      <c r="W4134"/>
      <c r="X4134"/>
    </row>
    <row r="4135" spans="5:24" x14ac:dyDescent="0.3">
      <c r="E4135" s="173"/>
      <c r="F4135" s="173"/>
      <c r="I4135"/>
      <c r="J4135"/>
      <c r="K4135"/>
      <c r="L4135"/>
      <c r="M4135"/>
      <c r="N4135"/>
      <c r="O4135"/>
      <c r="P4135" s="225"/>
      <c r="Q4135" s="225"/>
      <c r="R4135"/>
      <c r="S4135"/>
      <c r="T4135"/>
      <c r="U4135"/>
      <c r="V4135"/>
      <c r="W4135"/>
      <c r="X4135"/>
    </row>
    <row r="4136" spans="5:24" x14ac:dyDescent="0.3">
      <c r="E4136" s="173"/>
      <c r="F4136" s="173"/>
      <c r="I4136"/>
      <c r="J4136"/>
      <c r="K4136"/>
      <c r="L4136"/>
      <c r="M4136"/>
      <c r="N4136"/>
      <c r="O4136"/>
      <c r="P4136" s="225"/>
      <c r="Q4136" s="225"/>
      <c r="R4136"/>
      <c r="S4136"/>
      <c r="T4136"/>
      <c r="U4136"/>
      <c r="V4136"/>
      <c r="W4136"/>
      <c r="X4136"/>
    </row>
    <row r="4137" spans="5:24" x14ac:dyDescent="0.3">
      <c r="E4137" s="173"/>
      <c r="F4137" s="173"/>
      <c r="I4137"/>
      <c r="J4137"/>
      <c r="K4137"/>
      <c r="L4137"/>
      <c r="M4137"/>
      <c r="N4137"/>
      <c r="O4137"/>
      <c r="P4137" s="225"/>
      <c r="Q4137" s="225"/>
      <c r="R4137"/>
      <c r="S4137"/>
      <c r="T4137"/>
      <c r="U4137"/>
      <c r="V4137"/>
      <c r="W4137"/>
      <c r="X4137"/>
    </row>
    <row r="4138" spans="5:24" x14ac:dyDescent="0.3">
      <c r="E4138" s="173"/>
      <c r="F4138" s="173"/>
      <c r="I4138"/>
      <c r="J4138"/>
      <c r="K4138"/>
      <c r="L4138"/>
      <c r="M4138"/>
      <c r="N4138"/>
      <c r="O4138"/>
      <c r="P4138" s="225"/>
      <c r="Q4138" s="225"/>
      <c r="R4138"/>
      <c r="S4138"/>
      <c r="T4138"/>
      <c r="U4138"/>
      <c r="V4138"/>
      <c r="W4138"/>
      <c r="X4138"/>
    </row>
    <row r="4139" spans="5:24" x14ac:dyDescent="0.3">
      <c r="E4139" s="173"/>
      <c r="F4139" s="173"/>
      <c r="I4139"/>
      <c r="J4139"/>
      <c r="K4139"/>
      <c r="L4139"/>
      <c r="M4139"/>
      <c r="N4139"/>
      <c r="O4139"/>
      <c r="P4139" s="225"/>
      <c r="Q4139" s="225"/>
      <c r="R4139"/>
      <c r="S4139"/>
      <c r="T4139"/>
      <c r="U4139"/>
      <c r="V4139"/>
      <c r="W4139"/>
      <c r="X4139"/>
    </row>
    <row r="4140" spans="5:24" x14ac:dyDescent="0.3">
      <c r="E4140" s="173"/>
      <c r="F4140" s="173"/>
      <c r="I4140"/>
      <c r="J4140"/>
      <c r="K4140"/>
      <c r="L4140"/>
      <c r="M4140"/>
      <c r="N4140"/>
      <c r="O4140"/>
      <c r="P4140" s="225"/>
      <c r="Q4140" s="225"/>
      <c r="R4140"/>
      <c r="S4140"/>
      <c r="T4140"/>
      <c r="U4140"/>
      <c r="V4140"/>
      <c r="W4140"/>
      <c r="X4140"/>
    </row>
    <row r="4141" spans="5:24" x14ac:dyDescent="0.3">
      <c r="E4141" s="173"/>
      <c r="F4141" s="173"/>
      <c r="I4141"/>
      <c r="J4141"/>
      <c r="K4141"/>
      <c r="L4141"/>
      <c r="M4141"/>
      <c r="N4141"/>
      <c r="O4141"/>
      <c r="P4141" s="225"/>
      <c r="Q4141" s="225"/>
      <c r="R4141"/>
      <c r="S4141"/>
      <c r="T4141"/>
      <c r="U4141"/>
      <c r="V4141"/>
      <c r="W4141"/>
      <c r="X4141"/>
    </row>
    <row r="4142" spans="5:24" x14ac:dyDescent="0.3">
      <c r="E4142" s="173"/>
      <c r="F4142" s="173"/>
      <c r="I4142"/>
      <c r="J4142"/>
      <c r="K4142"/>
      <c r="L4142"/>
      <c r="M4142"/>
      <c r="N4142"/>
      <c r="O4142"/>
      <c r="P4142" s="225"/>
      <c r="Q4142" s="225"/>
      <c r="R4142"/>
      <c r="S4142"/>
      <c r="T4142"/>
      <c r="U4142"/>
      <c r="V4142"/>
      <c r="W4142"/>
      <c r="X4142"/>
    </row>
    <row r="4143" spans="5:24" x14ac:dyDescent="0.3">
      <c r="E4143" s="173"/>
      <c r="F4143" s="173"/>
      <c r="I4143"/>
      <c r="J4143"/>
      <c r="K4143"/>
      <c r="L4143"/>
      <c r="M4143"/>
      <c r="N4143"/>
      <c r="O4143"/>
      <c r="P4143" s="225"/>
      <c r="Q4143" s="225"/>
      <c r="R4143"/>
      <c r="S4143"/>
      <c r="T4143"/>
      <c r="U4143"/>
      <c r="V4143"/>
      <c r="W4143"/>
      <c r="X4143"/>
    </row>
    <row r="4144" spans="5:24" x14ac:dyDescent="0.3">
      <c r="E4144" s="173"/>
      <c r="F4144" s="173"/>
      <c r="I4144"/>
      <c r="J4144"/>
      <c r="K4144"/>
      <c r="L4144"/>
      <c r="M4144"/>
      <c r="N4144"/>
      <c r="O4144"/>
      <c r="P4144" s="225"/>
      <c r="Q4144" s="225"/>
      <c r="R4144"/>
      <c r="S4144"/>
      <c r="T4144"/>
      <c r="U4144"/>
      <c r="V4144"/>
      <c r="W4144"/>
      <c r="X4144"/>
    </row>
    <row r="4145" spans="5:24" x14ac:dyDescent="0.3">
      <c r="E4145" s="173"/>
      <c r="F4145" s="173"/>
      <c r="I4145"/>
      <c r="J4145"/>
      <c r="K4145"/>
      <c r="L4145"/>
      <c r="M4145"/>
      <c r="N4145"/>
      <c r="O4145"/>
      <c r="P4145" s="225"/>
      <c r="Q4145" s="225"/>
      <c r="R4145"/>
      <c r="S4145"/>
      <c r="T4145"/>
      <c r="U4145"/>
      <c r="V4145"/>
      <c r="W4145"/>
      <c r="X4145"/>
    </row>
    <row r="4146" spans="5:24" x14ac:dyDescent="0.3">
      <c r="E4146" s="173"/>
      <c r="F4146" s="173"/>
      <c r="I4146"/>
      <c r="J4146"/>
      <c r="K4146"/>
      <c r="L4146"/>
      <c r="M4146"/>
      <c r="N4146"/>
      <c r="O4146"/>
      <c r="P4146" s="225"/>
      <c r="Q4146" s="225"/>
      <c r="R4146"/>
      <c r="S4146"/>
      <c r="T4146"/>
      <c r="U4146"/>
      <c r="V4146"/>
      <c r="W4146"/>
      <c r="X4146"/>
    </row>
    <row r="4147" spans="5:24" x14ac:dyDescent="0.3">
      <c r="E4147" s="173"/>
      <c r="F4147" s="173"/>
      <c r="I4147"/>
      <c r="J4147"/>
      <c r="K4147"/>
      <c r="L4147"/>
      <c r="M4147"/>
      <c r="N4147"/>
      <c r="O4147"/>
      <c r="P4147" s="225"/>
      <c r="Q4147" s="225"/>
      <c r="R4147"/>
      <c r="S4147"/>
      <c r="T4147"/>
      <c r="U4147"/>
      <c r="V4147"/>
      <c r="W4147"/>
      <c r="X4147"/>
    </row>
    <row r="4148" spans="5:24" x14ac:dyDescent="0.3">
      <c r="E4148" s="173"/>
      <c r="F4148" s="173"/>
      <c r="I4148"/>
      <c r="J4148"/>
      <c r="K4148"/>
      <c r="L4148"/>
      <c r="M4148"/>
      <c r="N4148"/>
      <c r="O4148"/>
      <c r="P4148" s="225"/>
      <c r="Q4148" s="225"/>
      <c r="R4148"/>
      <c r="S4148"/>
      <c r="T4148"/>
      <c r="U4148"/>
      <c r="V4148"/>
      <c r="W4148"/>
      <c r="X4148"/>
    </row>
    <row r="4149" spans="5:24" x14ac:dyDescent="0.3">
      <c r="E4149" s="173"/>
      <c r="F4149" s="173"/>
      <c r="I4149"/>
      <c r="J4149"/>
      <c r="K4149"/>
      <c r="L4149"/>
      <c r="M4149"/>
      <c r="N4149"/>
      <c r="O4149"/>
      <c r="P4149" s="225"/>
      <c r="Q4149" s="225"/>
      <c r="R4149"/>
      <c r="S4149"/>
      <c r="T4149"/>
      <c r="U4149"/>
      <c r="V4149"/>
      <c r="W4149"/>
      <c r="X4149"/>
    </row>
    <row r="4150" spans="5:24" x14ac:dyDescent="0.3">
      <c r="E4150" s="173"/>
      <c r="F4150" s="173"/>
      <c r="I4150"/>
      <c r="J4150"/>
      <c r="K4150"/>
      <c r="L4150"/>
      <c r="M4150"/>
      <c r="N4150"/>
      <c r="O4150"/>
      <c r="P4150" s="225"/>
      <c r="Q4150" s="225"/>
      <c r="R4150"/>
      <c r="S4150"/>
      <c r="T4150"/>
      <c r="U4150"/>
      <c r="V4150"/>
      <c r="W4150"/>
      <c r="X4150"/>
    </row>
    <row r="4151" spans="5:24" x14ac:dyDescent="0.3">
      <c r="E4151" s="173"/>
      <c r="F4151" s="173"/>
      <c r="I4151"/>
      <c r="J4151"/>
      <c r="K4151"/>
      <c r="L4151"/>
      <c r="M4151"/>
      <c r="N4151"/>
      <c r="O4151"/>
      <c r="P4151" s="225"/>
      <c r="Q4151" s="225"/>
      <c r="R4151"/>
      <c r="S4151"/>
      <c r="T4151"/>
      <c r="U4151"/>
      <c r="V4151"/>
      <c r="W4151"/>
      <c r="X4151"/>
    </row>
    <row r="4152" spans="5:24" x14ac:dyDescent="0.3">
      <c r="E4152" s="173"/>
      <c r="F4152" s="173"/>
      <c r="I4152"/>
      <c r="J4152"/>
      <c r="K4152"/>
      <c r="L4152"/>
      <c r="M4152"/>
      <c r="N4152"/>
      <c r="O4152"/>
      <c r="P4152" s="225"/>
      <c r="Q4152" s="225"/>
      <c r="R4152"/>
      <c r="S4152"/>
      <c r="T4152"/>
      <c r="U4152"/>
      <c r="V4152"/>
      <c r="W4152"/>
      <c r="X4152"/>
    </row>
    <row r="4153" spans="5:24" x14ac:dyDescent="0.3">
      <c r="E4153" s="173"/>
      <c r="F4153" s="173"/>
      <c r="I4153"/>
      <c r="J4153"/>
      <c r="K4153"/>
      <c r="L4153"/>
      <c r="M4153"/>
      <c r="N4153"/>
      <c r="O4153"/>
      <c r="P4153" s="225"/>
      <c r="Q4153" s="225"/>
      <c r="R4153"/>
      <c r="S4153"/>
      <c r="T4153"/>
      <c r="U4153"/>
      <c r="V4153"/>
      <c r="W4153"/>
      <c r="X4153"/>
    </row>
    <row r="4154" spans="5:24" x14ac:dyDescent="0.3">
      <c r="E4154" s="173"/>
      <c r="F4154" s="173"/>
      <c r="I4154"/>
      <c r="J4154"/>
      <c r="K4154"/>
      <c r="L4154"/>
      <c r="M4154"/>
      <c r="N4154"/>
      <c r="O4154"/>
      <c r="P4154" s="225"/>
      <c r="Q4154" s="225"/>
      <c r="R4154"/>
      <c r="S4154"/>
      <c r="T4154"/>
      <c r="U4154"/>
      <c r="V4154"/>
      <c r="W4154"/>
      <c r="X4154"/>
    </row>
    <row r="4155" spans="5:24" x14ac:dyDescent="0.3">
      <c r="E4155" s="173"/>
      <c r="F4155" s="173"/>
      <c r="I4155"/>
      <c r="J4155"/>
      <c r="K4155"/>
      <c r="L4155"/>
      <c r="M4155"/>
      <c r="N4155"/>
      <c r="O4155"/>
      <c r="P4155" s="225"/>
      <c r="Q4155" s="225"/>
      <c r="R4155"/>
      <c r="S4155"/>
      <c r="T4155"/>
      <c r="U4155"/>
      <c r="V4155"/>
      <c r="W4155"/>
      <c r="X4155"/>
    </row>
    <row r="4156" spans="5:24" x14ac:dyDescent="0.3">
      <c r="E4156" s="173"/>
      <c r="F4156" s="173"/>
      <c r="I4156"/>
      <c r="J4156"/>
      <c r="K4156"/>
      <c r="L4156"/>
      <c r="M4156"/>
      <c r="N4156"/>
      <c r="O4156"/>
      <c r="P4156" s="225"/>
      <c r="Q4156" s="225"/>
      <c r="R4156"/>
      <c r="S4156"/>
      <c r="T4156"/>
      <c r="U4156"/>
      <c r="V4156"/>
      <c r="W4156"/>
      <c r="X4156"/>
    </row>
    <row r="4157" spans="5:24" x14ac:dyDescent="0.3">
      <c r="E4157" s="173"/>
      <c r="F4157" s="173"/>
      <c r="I4157"/>
      <c r="J4157"/>
      <c r="K4157"/>
      <c r="L4157"/>
      <c r="M4157"/>
      <c r="N4157"/>
      <c r="O4157"/>
      <c r="P4157" s="225"/>
      <c r="Q4157" s="225"/>
      <c r="R4157"/>
      <c r="S4157"/>
      <c r="T4157"/>
      <c r="U4157"/>
      <c r="V4157"/>
      <c r="W4157"/>
      <c r="X4157"/>
    </row>
    <row r="4158" spans="5:24" x14ac:dyDescent="0.3">
      <c r="E4158" s="173"/>
      <c r="F4158" s="173"/>
      <c r="I4158"/>
      <c r="J4158"/>
      <c r="K4158"/>
      <c r="L4158"/>
      <c r="M4158"/>
      <c r="N4158"/>
      <c r="O4158"/>
      <c r="P4158" s="225"/>
      <c r="Q4158" s="225"/>
      <c r="R4158"/>
      <c r="S4158"/>
      <c r="T4158"/>
      <c r="U4158"/>
      <c r="V4158"/>
      <c r="W4158"/>
      <c r="X4158"/>
    </row>
    <row r="4159" spans="5:24" x14ac:dyDescent="0.3">
      <c r="E4159" s="173"/>
      <c r="F4159" s="173"/>
      <c r="I4159"/>
      <c r="J4159"/>
      <c r="K4159"/>
      <c r="L4159"/>
      <c r="M4159"/>
      <c r="N4159"/>
      <c r="O4159"/>
      <c r="P4159" s="225"/>
      <c r="Q4159" s="225"/>
      <c r="R4159"/>
      <c r="S4159"/>
      <c r="T4159"/>
      <c r="U4159"/>
      <c r="V4159"/>
      <c r="W4159"/>
      <c r="X4159"/>
    </row>
    <row r="4160" spans="5:24" x14ac:dyDescent="0.3">
      <c r="E4160" s="173"/>
      <c r="F4160" s="173"/>
      <c r="I4160"/>
      <c r="J4160"/>
      <c r="K4160"/>
      <c r="L4160"/>
      <c r="M4160"/>
      <c r="N4160"/>
      <c r="O4160"/>
      <c r="P4160" s="225"/>
      <c r="Q4160" s="225"/>
      <c r="R4160"/>
      <c r="S4160"/>
      <c r="T4160"/>
      <c r="U4160"/>
      <c r="V4160"/>
      <c r="W4160"/>
      <c r="X4160"/>
    </row>
    <row r="4161" spans="5:24" x14ac:dyDescent="0.3">
      <c r="E4161" s="173"/>
      <c r="F4161" s="173"/>
      <c r="I4161"/>
      <c r="J4161"/>
      <c r="K4161"/>
      <c r="L4161"/>
      <c r="M4161"/>
      <c r="N4161"/>
      <c r="O4161"/>
      <c r="P4161" s="225"/>
      <c r="Q4161" s="225"/>
      <c r="R4161"/>
      <c r="S4161"/>
      <c r="T4161"/>
      <c r="U4161"/>
      <c r="V4161"/>
      <c r="W4161"/>
      <c r="X4161"/>
    </row>
    <row r="4162" spans="5:24" x14ac:dyDescent="0.3">
      <c r="E4162" s="173"/>
      <c r="F4162" s="173"/>
      <c r="I4162"/>
      <c r="J4162"/>
      <c r="K4162"/>
      <c r="L4162"/>
      <c r="M4162"/>
      <c r="N4162"/>
      <c r="O4162"/>
      <c r="P4162" s="225"/>
      <c r="Q4162" s="225"/>
      <c r="R4162"/>
      <c r="S4162"/>
      <c r="T4162"/>
      <c r="U4162"/>
      <c r="V4162"/>
      <c r="W4162"/>
      <c r="X4162"/>
    </row>
    <row r="4163" spans="5:24" x14ac:dyDescent="0.3">
      <c r="E4163" s="173"/>
      <c r="F4163" s="173"/>
      <c r="I4163"/>
      <c r="J4163"/>
      <c r="K4163"/>
      <c r="L4163"/>
      <c r="M4163"/>
      <c r="N4163"/>
      <c r="O4163"/>
      <c r="P4163" s="225"/>
      <c r="Q4163" s="225"/>
      <c r="R4163"/>
      <c r="S4163"/>
      <c r="T4163"/>
      <c r="U4163"/>
      <c r="V4163"/>
      <c r="W4163"/>
      <c r="X4163"/>
    </row>
    <row r="4164" spans="5:24" x14ac:dyDescent="0.3">
      <c r="E4164" s="173"/>
      <c r="F4164" s="173"/>
      <c r="I4164"/>
      <c r="J4164"/>
      <c r="K4164"/>
      <c r="L4164"/>
      <c r="M4164"/>
      <c r="N4164"/>
      <c r="O4164"/>
      <c r="P4164" s="225"/>
      <c r="Q4164" s="225"/>
      <c r="R4164"/>
      <c r="S4164"/>
      <c r="T4164"/>
      <c r="U4164"/>
      <c r="V4164"/>
      <c r="W4164"/>
      <c r="X4164"/>
    </row>
    <row r="4165" spans="5:24" x14ac:dyDescent="0.3">
      <c r="E4165" s="173"/>
      <c r="F4165" s="173"/>
      <c r="I4165"/>
      <c r="J4165"/>
      <c r="K4165"/>
      <c r="L4165"/>
      <c r="M4165"/>
      <c r="N4165"/>
      <c r="O4165"/>
      <c r="P4165" s="225"/>
      <c r="Q4165" s="225"/>
      <c r="R4165"/>
      <c r="S4165"/>
      <c r="T4165"/>
      <c r="U4165"/>
      <c r="V4165"/>
      <c r="W4165"/>
      <c r="X4165"/>
    </row>
    <row r="4166" spans="5:24" x14ac:dyDescent="0.3">
      <c r="E4166" s="173"/>
      <c r="F4166" s="173"/>
      <c r="I4166"/>
      <c r="J4166"/>
      <c r="K4166"/>
      <c r="L4166"/>
      <c r="M4166"/>
      <c r="N4166"/>
      <c r="O4166"/>
      <c r="P4166" s="225"/>
      <c r="Q4166" s="225"/>
      <c r="R4166"/>
      <c r="S4166"/>
      <c r="T4166"/>
      <c r="U4166"/>
      <c r="V4166"/>
      <c r="W4166"/>
      <c r="X4166"/>
    </row>
    <row r="4167" spans="5:24" x14ac:dyDescent="0.3">
      <c r="E4167" s="173"/>
      <c r="F4167" s="173"/>
      <c r="I4167"/>
      <c r="J4167"/>
      <c r="K4167"/>
      <c r="L4167"/>
      <c r="M4167"/>
      <c r="N4167"/>
      <c r="O4167"/>
      <c r="P4167" s="225"/>
      <c r="Q4167" s="225"/>
      <c r="R4167"/>
      <c r="S4167"/>
      <c r="T4167"/>
      <c r="U4167"/>
      <c r="V4167"/>
      <c r="W4167"/>
      <c r="X4167"/>
    </row>
    <row r="4168" spans="5:24" x14ac:dyDescent="0.3">
      <c r="E4168" s="173"/>
      <c r="F4168" s="173"/>
      <c r="I4168"/>
      <c r="J4168"/>
      <c r="K4168"/>
      <c r="L4168"/>
      <c r="M4168"/>
      <c r="N4168"/>
      <c r="O4168"/>
      <c r="P4168" s="225"/>
      <c r="Q4168" s="225"/>
      <c r="R4168"/>
      <c r="S4168"/>
      <c r="T4168"/>
      <c r="U4168"/>
      <c r="V4168"/>
      <c r="W4168"/>
      <c r="X4168"/>
    </row>
    <row r="4169" spans="5:24" x14ac:dyDescent="0.3">
      <c r="E4169" s="173"/>
      <c r="F4169" s="173"/>
      <c r="I4169"/>
      <c r="J4169"/>
      <c r="K4169"/>
      <c r="L4169"/>
      <c r="M4169"/>
      <c r="N4169"/>
      <c r="O4169"/>
      <c r="P4169" s="225"/>
      <c r="Q4169" s="225"/>
      <c r="R4169"/>
      <c r="S4169"/>
      <c r="T4169"/>
      <c r="U4169"/>
      <c r="V4169"/>
      <c r="W4169"/>
      <c r="X4169"/>
    </row>
    <row r="4170" spans="5:24" x14ac:dyDescent="0.3">
      <c r="E4170" s="173"/>
      <c r="F4170" s="173"/>
      <c r="I4170"/>
      <c r="J4170"/>
      <c r="K4170"/>
      <c r="L4170"/>
      <c r="M4170"/>
      <c r="N4170"/>
      <c r="O4170"/>
      <c r="P4170" s="225"/>
      <c r="Q4170" s="225"/>
      <c r="R4170"/>
      <c r="S4170"/>
      <c r="T4170"/>
      <c r="U4170"/>
      <c r="V4170"/>
      <c r="W4170"/>
      <c r="X4170"/>
    </row>
    <row r="4171" spans="5:24" x14ac:dyDescent="0.3">
      <c r="E4171" s="173"/>
      <c r="F4171" s="173"/>
      <c r="I4171"/>
      <c r="J4171"/>
      <c r="K4171"/>
      <c r="L4171"/>
      <c r="M4171"/>
      <c r="N4171"/>
      <c r="O4171"/>
      <c r="P4171" s="225"/>
      <c r="Q4171" s="225"/>
      <c r="R4171"/>
      <c r="S4171"/>
      <c r="T4171"/>
      <c r="U4171"/>
      <c r="V4171"/>
      <c r="W4171"/>
      <c r="X4171"/>
    </row>
    <row r="4172" spans="5:24" x14ac:dyDescent="0.3">
      <c r="E4172" s="173"/>
      <c r="F4172" s="173"/>
      <c r="I4172"/>
      <c r="J4172"/>
      <c r="K4172"/>
      <c r="L4172"/>
      <c r="M4172"/>
      <c r="N4172"/>
      <c r="O4172"/>
      <c r="P4172" s="225"/>
      <c r="Q4172" s="225"/>
      <c r="R4172"/>
      <c r="S4172"/>
      <c r="T4172"/>
      <c r="U4172"/>
      <c r="V4172"/>
      <c r="W4172"/>
      <c r="X4172"/>
    </row>
    <row r="4173" spans="5:24" x14ac:dyDescent="0.3">
      <c r="E4173" s="173"/>
      <c r="F4173" s="173"/>
      <c r="I4173"/>
      <c r="J4173"/>
      <c r="K4173"/>
      <c r="L4173"/>
      <c r="M4173"/>
      <c r="N4173"/>
      <c r="O4173"/>
      <c r="P4173" s="225"/>
      <c r="Q4173" s="225"/>
      <c r="R4173"/>
      <c r="S4173"/>
      <c r="T4173"/>
      <c r="U4173"/>
      <c r="V4173"/>
      <c r="W4173"/>
      <c r="X4173"/>
    </row>
    <row r="4174" spans="5:24" x14ac:dyDescent="0.3">
      <c r="E4174" s="173"/>
      <c r="F4174" s="173"/>
      <c r="I4174"/>
      <c r="J4174"/>
      <c r="K4174"/>
      <c r="L4174"/>
      <c r="M4174"/>
      <c r="N4174"/>
      <c r="O4174"/>
      <c r="P4174" s="225"/>
      <c r="Q4174" s="225"/>
      <c r="R4174"/>
      <c r="S4174"/>
      <c r="T4174"/>
      <c r="U4174"/>
      <c r="V4174"/>
      <c r="W4174"/>
      <c r="X4174"/>
    </row>
    <row r="4175" spans="5:24" x14ac:dyDescent="0.3">
      <c r="E4175" s="173"/>
      <c r="F4175" s="173"/>
      <c r="I4175"/>
      <c r="J4175"/>
      <c r="K4175"/>
      <c r="L4175"/>
      <c r="M4175"/>
      <c r="N4175"/>
      <c r="O4175"/>
      <c r="P4175" s="225"/>
      <c r="Q4175" s="225"/>
      <c r="R4175"/>
      <c r="S4175"/>
      <c r="T4175"/>
      <c r="U4175"/>
      <c r="V4175"/>
      <c r="W4175"/>
      <c r="X4175"/>
    </row>
    <row r="4176" spans="5:24" x14ac:dyDescent="0.3">
      <c r="E4176" s="173"/>
      <c r="F4176" s="173"/>
      <c r="I4176"/>
      <c r="J4176"/>
      <c r="K4176"/>
      <c r="L4176"/>
      <c r="M4176"/>
      <c r="N4176"/>
      <c r="O4176"/>
      <c r="P4176" s="225"/>
      <c r="Q4176" s="225"/>
      <c r="R4176"/>
      <c r="S4176"/>
      <c r="T4176"/>
      <c r="U4176"/>
      <c r="V4176"/>
      <c r="W4176"/>
      <c r="X4176"/>
    </row>
    <row r="4177" spans="5:24" x14ac:dyDescent="0.3">
      <c r="E4177" s="173"/>
      <c r="F4177" s="173"/>
      <c r="I4177"/>
      <c r="J4177"/>
      <c r="K4177"/>
      <c r="L4177"/>
      <c r="M4177"/>
      <c r="N4177"/>
      <c r="O4177"/>
      <c r="P4177" s="225"/>
      <c r="Q4177" s="225"/>
      <c r="R4177"/>
      <c r="S4177"/>
      <c r="T4177"/>
      <c r="U4177"/>
      <c r="V4177"/>
      <c r="W4177"/>
      <c r="X4177"/>
    </row>
    <row r="4178" spans="5:24" x14ac:dyDescent="0.3">
      <c r="E4178" s="173"/>
      <c r="F4178" s="173"/>
      <c r="I4178"/>
      <c r="J4178"/>
      <c r="K4178"/>
      <c r="L4178"/>
      <c r="M4178"/>
      <c r="N4178"/>
      <c r="O4178"/>
      <c r="P4178" s="225"/>
      <c r="Q4178" s="225"/>
      <c r="R4178"/>
      <c r="S4178"/>
      <c r="T4178"/>
      <c r="U4178"/>
      <c r="V4178"/>
      <c r="W4178"/>
      <c r="X4178"/>
    </row>
    <row r="4179" spans="5:24" x14ac:dyDescent="0.3">
      <c r="E4179" s="173"/>
      <c r="F4179" s="173"/>
      <c r="I4179"/>
      <c r="J4179"/>
      <c r="K4179"/>
      <c r="L4179"/>
      <c r="M4179"/>
      <c r="N4179"/>
      <c r="O4179"/>
      <c r="P4179" s="225"/>
      <c r="Q4179" s="225"/>
      <c r="R4179"/>
      <c r="S4179"/>
      <c r="T4179"/>
      <c r="U4179"/>
      <c r="V4179"/>
      <c r="W4179"/>
      <c r="X4179"/>
    </row>
    <row r="4180" spans="5:24" x14ac:dyDescent="0.3">
      <c r="E4180" s="173"/>
      <c r="F4180" s="173"/>
      <c r="I4180"/>
      <c r="J4180"/>
      <c r="K4180"/>
      <c r="L4180"/>
      <c r="M4180"/>
      <c r="N4180"/>
      <c r="O4180"/>
      <c r="P4180" s="225"/>
      <c r="Q4180" s="225"/>
      <c r="R4180"/>
      <c r="S4180"/>
      <c r="T4180"/>
      <c r="U4180"/>
      <c r="V4180"/>
      <c r="W4180"/>
      <c r="X4180"/>
    </row>
    <row r="4181" spans="5:24" x14ac:dyDescent="0.3">
      <c r="E4181" s="173"/>
      <c r="F4181" s="173"/>
      <c r="I4181"/>
      <c r="J4181"/>
      <c r="K4181"/>
      <c r="L4181"/>
      <c r="M4181"/>
      <c r="N4181"/>
      <c r="O4181"/>
      <c r="P4181" s="225"/>
      <c r="Q4181" s="225"/>
      <c r="R4181"/>
      <c r="S4181"/>
      <c r="T4181"/>
      <c r="U4181"/>
      <c r="V4181"/>
      <c r="W4181"/>
      <c r="X4181"/>
    </row>
    <row r="4182" spans="5:24" x14ac:dyDescent="0.3">
      <c r="E4182" s="173"/>
      <c r="F4182" s="173"/>
      <c r="I4182"/>
      <c r="J4182"/>
      <c r="K4182"/>
      <c r="L4182"/>
      <c r="M4182"/>
      <c r="N4182"/>
      <c r="O4182"/>
      <c r="P4182" s="225"/>
      <c r="Q4182" s="225"/>
      <c r="R4182"/>
      <c r="S4182"/>
      <c r="T4182"/>
      <c r="U4182"/>
      <c r="V4182"/>
      <c r="W4182"/>
      <c r="X4182"/>
    </row>
    <row r="4183" spans="5:24" x14ac:dyDescent="0.3">
      <c r="E4183" s="173"/>
      <c r="F4183" s="173"/>
      <c r="I4183"/>
      <c r="J4183"/>
      <c r="K4183"/>
      <c r="L4183"/>
      <c r="M4183"/>
      <c r="N4183"/>
      <c r="O4183"/>
      <c r="P4183" s="225"/>
      <c r="Q4183" s="225"/>
      <c r="R4183"/>
      <c r="S4183"/>
      <c r="T4183"/>
      <c r="U4183"/>
      <c r="V4183"/>
      <c r="W4183"/>
      <c r="X4183"/>
    </row>
    <row r="4184" spans="5:24" x14ac:dyDescent="0.3">
      <c r="E4184" s="173"/>
      <c r="F4184" s="173"/>
      <c r="I4184"/>
      <c r="J4184"/>
      <c r="K4184"/>
      <c r="L4184"/>
      <c r="M4184"/>
      <c r="N4184"/>
      <c r="O4184"/>
      <c r="P4184" s="225"/>
      <c r="Q4184" s="225"/>
      <c r="R4184"/>
      <c r="S4184"/>
      <c r="T4184"/>
      <c r="U4184"/>
      <c r="V4184"/>
      <c r="W4184"/>
      <c r="X4184"/>
    </row>
    <row r="4185" spans="5:24" x14ac:dyDescent="0.3">
      <c r="E4185" s="173"/>
      <c r="F4185" s="173"/>
      <c r="I4185"/>
      <c r="J4185"/>
      <c r="K4185"/>
      <c r="L4185"/>
      <c r="M4185"/>
      <c r="N4185"/>
      <c r="O4185"/>
      <c r="P4185" s="225"/>
      <c r="Q4185" s="225"/>
      <c r="R4185"/>
      <c r="S4185"/>
      <c r="T4185"/>
      <c r="U4185"/>
      <c r="V4185"/>
      <c r="W4185"/>
      <c r="X4185"/>
    </row>
    <row r="4186" spans="5:24" x14ac:dyDescent="0.3">
      <c r="E4186" s="173"/>
      <c r="F4186" s="173"/>
      <c r="I4186"/>
      <c r="J4186"/>
      <c r="K4186"/>
      <c r="L4186"/>
      <c r="M4186"/>
      <c r="N4186"/>
      <c r="O4186"/>
      <c r="P4186" s="225"/>
      <c r="Q4186" s="225"/>
      <c r="R4186"/>
      <c r="S4186"/>
      <c r="T4186"/>
      <c r="U4186"/>
      <c r="V4186"/>
      <c r="W4186"/>
      <c r="X4186"/>
    </row>
    <row r="4187" spans="5:24" x14ac:dyDescent="0.3">
      <c r="E4187" s="173"/>
      <c r="F4187" s="173"/>
      <c r="I4187"/>
      <c r="J4187"/>
      <c r="K4187"/>
      <c r="L4187"/>
      <c r="M4187"/>
      <c r="N4187"/>
      <c r="O4187"/>
      <c r="P4187" s="225"/>
      <c r="Q4187" s="225"/>
      <c r="R4187"/>
      <c r="S4187"/>
      <c r="T4187"/>
      <c r="U4187"/>
      <c r="V4187"/>
      <c r="W4187"/>
      <c r="X4187"/>
    </row>
    <row r="4188" spans="5:24" x14ac:dyDescent="0.3">
      <c r="E4188" s="173"/>
      <c r="F4188" s="173"/>
      <c r="I4188"/>
      <c r="J4188"/>
      <c r="K4188"/>
      <c r="L4188"/>
      <c r="M4188"/>
      <c r="N4188"/>
      <c r="O4188"/>
      <c r="P4188" s="225"/>
      <c r="Q4188" s="225"/>
      <c r="R4188"/>
      <c r="S4188"/>
      <c r="T4188"/>
      <c r="U4188"/>
      <c r="V4188"/>
      <c r="W4188"/>
      <c r="X4188"/>
    </row>
    <row r="4189" spans="5:24" x14ac:dyDescent="0.3">
      <c r="E4189" s="173"/>
      <c r="F4189" s="173"/>
      <c r="I4189"/>
      <c r="J4189"/>
      <c r="K4189"/>
      <c r="L4189"/>
      <c r="M4189"/>
      <c r="N4189"/>
      <c r="O4189"/>
      <c r="P4189" s="225"/>
      <c r="Q4189" s="225"/>
      <c r="R4189"/>
      <c r="S4189"/>
      <c r="T4189"/>
      <c r="U4189"/>
      <c r="V4189"/>
      <c r="W4189"/>
      <c r="X4189"/>
    </row>
    <row r="4190" spans="5:24" x14ac:dyDescent="0.3">
      <c r="E4190" s="173"/>
      <c r="F4190" s="173"/>
      <c r="I4190"/>
      <c r="J4190"/>
      <c r="K4190"/>
      <c r="L4190"/>
      <c r="M4190"/>
      <c r="N4190"/>
      <c r="O4190"/>
      <c r="P4190" s="225"/>
      <c r="Q4190" s="225"/>
      <c r="R4190"/>
      <c r="S4190"/>
      <c r="T4190"/>
      <c r="U4190"/>
      <c r="V4190"/>
      <c r="W4190"/>
      <c r="X4190"/>
    </row>
    <row r="4191" spans="5:24" x14ac:dyDescent="0.3">
      <c r="E4191" s="173"/>
      <c r="F4191" s="173"/>
      <c r="I4191"/>
      <c r="J4191"/>
      <c r="K4191"/>
      <c r="L4191"/>
      <c r="M4191"/>
      <c r="N4191"/>
      <c r="O4191"/>
      <c r="P4191" s="225"/>
      <c r="Q4191" s="225"/>
      <c r="R4191"/>
      <c r="S4191"/>
      <c r="T4191"/>
      <c r="U4191"/>
      <c r="V4191"/>
      <c r="W4191"/>
      <c r="X4191"/>
    </row>
    <row r="4192" spans="5:24" x14ac:dyDescent="0.3">
      <c r="E4192" s="173"/>
      <c r="F4192" s="173"/>
      <c r="I4192"/>
      <c r="J4192"/>
      <c r="K4192"/>
      <c r="L4192"/>
      <c r="M4192"/>
      <c r="N4192"/>
      <c r="O4192"/>
      <c r="P4192" s="225"/>
      <c r="Q4192" s="225"/>
      <c r="R4192"/>
      <c r="S4192"/>
      <c r="T4192"/>
      <c r="U4192"/>
      <c r="V4192"/>
      <c r="W4192"/>
      <c r="X4192"/>
    </row>
    <row r="4193" spans="5:24" x14ac:dyDescent="0.3">
      <c r="E4193" s="173"/>
      <c r="F4193" s="173"/>
      <c r="I4193"/>
      <c r="J4193"/>
      <c r="K4193"/>
      <c r="L4193"/>
      <c r="M4193"/>
      <c r="N4193"/>
      <c r="O4193"/>
      <c r="P4193" s="225"/>
      <c r="Q4193" s="225"/>
      <c r="R4193"/>
      <c r="S4193"/>
      <c r="T4193"/>
      <c r="U4193"/>
      <c r="V4193"/>
      <c r="W4193"/>
      <c r="X4193"/>
    </row>
    <row r="4194" spans="5:24" x14ac:dyDescent="0.3">
      <c r="E4194" s="173"/>
      <c r="F4194" s="173"/>
      <c r="I4194"/>
      <c r="J4194"/>
      <c r="K4194"/>
      <c r="L4194"/>
      <c r="M4194"/>
      <c r="N4194"/>
      <c r="O4194"/>
      <c r="P4194" s="225"/>
      <c r="Q4194" s="225"/>
      <c r="R4194"/>
      <c r="S4194"/>
      <c r="T4194"/>
      <c r="U4194"/>
      <c r="V4194"/>
      <c r="W4194"/>
      <c r="X4194"/>
    </row>
    <row r="4195" spans="5:24" x14ac:dyDescent="0.3">
      <c r="E4195" s="173"/>
      <c r="F4195" s="173"/>
      <c r="I4195"/>
      <c r="J4195"/>
      <c r="K4195"/>
      <c r="L4195"/>
      <c r="M4195"/>
      <c r="N4195"/>
      <c r="O4195"/>
      <c r="P4195" s="225"/>
      <c r="Q4195" s="225"/>
      <c r="R4195"/>
      <c r="S4195"/>
      <c r="T4195"/>
      <c r="U4195"/>
      <c r="V4195"/>
      <c r="W4195"/>
      <c r="X4195"/>
    </row>
    <row r="4196" spans="5:24" x14ac:dyDescent="0.3">
      <c r="E4196" s="173"/>
      <c r="F4196" s="173"/>
      <c r="I4196"/>
      <c r="J4196"/>
      <c r="K4196"/>
      <c r="L4196"/>
      <c r="M4196"/>
      <c r="N4196"/>
      <c r="O4196"/>
      <c r="P4196" s="225"/>
      <c r="Q4196" s="225"/>
      <c r="R4196"/>
      <c r="S4196"/>
      <c r="T4196"/>
      <c r="U4196"/>
      <c r="V4196"/>
      <c r="W4196"/>
      <c r="X4196"/>
    </row>
    <row r="4197" spans="5:24" x14ac:dyDescent="0.3">
      <c r="E4197" s="173"/>
      <c r="F4197" s="173"/>
      <c r="I4197"/>
      <c r="J4197"/>
      <c r="K4197"/>
      <c r="L4197"/>
      <c r="M4197"/>
      <c r="N4197"/>
      <c r="O4197"/>
      <c r="P4197" s="225"/>
      <c r="Q4197" s="225"/>
      <c r="R4197"/>
      <c r="S4197"/>
      <c r="T4197"/>
      <c r="U4197"/>
      <c r="V4197"/>
      <c r="W4197"/>
      <c r="X4197"/>
    </row>
    <row r="4198" spans="5:24" x14ac:dyDescent="0.3">
      <c r="E4198" s="173"/>
      <c r="F4198" s="173"/>
      <c r="I4198"/>
      <c r="J4198"/>
      <c r="K4198"/>
      <c r="L4198"/>
      <c r="M4198"/>
      <c r="N4198"/>
      <c r="O4198"/>
      <c r="P4198" s="225"/>
      <c r="Q4198" s="225"/>
      <c r="R4198"/>
      <c r="S4198"/>
      <c r="T4198"/>
      <c r="U4198"/>
      <c r="V4198"/>
      <c r="W4198"/>
      <c r="X4198"/>
    </row>
    <row r="4199" spans="5:24" x14ac:dyDescent="0.3">
      <c r="E4199" s="173"/>
      <c r="F4199" s="173"/>
      <c r="I4199"/>
      <c r="J4199"/>
      <c r="K4199"/>
      <c r="L4199"/>
      <c r="M4199"/>
      <c r="N4199"/>
      <c r="O4199"/>
      <c r="P4199" s="225"/>
      <c r="Q4199" s="225"/>
      <c r="R4199"/>
      <c r="S4199"/>
      <c r="T4199"/>
      <c r="U4199"/>
      <c r="V4199"/>
      <c r="W4199"/>
      <c r="X4199"/>
    </row>
    <row r="4200" spans="5:24" x14ac:dyDescent="0.3">
      <c r="E4200" s="173"/>
      <c r="F4200" s="173"/>
      <c r="I4200"/>
      <c r="J4200"/>
      <c r="K4200"/>
      <c r="L4200"/>
      <c r="M4200"/>
      <c r="N4200"/>
      <c r="O4200"/>
      <c r="P4200" s="225"/>
      <c r="Q4200" s="225"/>
      <c r="R4200"/>
      <c r="S4200"/>
      <c r="T4200"/>
      <c r="U4200"/>
      <c r="V4200"/>
      <c r="W4200"/>
      <c r="X4200"/>
    </row>
    <row r="4201" spans="5:24" x14ac:dyDescent="0.3">
      <c r="E4201" s="173"/>
      <c r="F4201" s="173"/>
      <c r="I4201"/>
      <c r="J4201"/>
      <c r="K4201"/>
      <c r="L4201"/>
      <c r="M4201"/>
      <c r="N4201"/>
      <c r="O4201"/>
      <c r="P4201" s="225"/>
      <c r="Q4201" s="225"/>
      <c r="R4201"/>
      <c r="S4201"/>
      <c r="T4201"/>
      <c r="U4201"/>
      <c r="V4201"/>
      <c r="W4201"/>
      <c r="X4201"/>
    </row>
    <row r="4202" spans="5:24" x14ac:dyDescent="0.3">
      <c r="E4202" s="173"/>
      <c r="F4202" s="173"/>
      <c r="I4202"/>
      <c r="J4202"/>
      <c r="K4202"/>
      <c r="L4202"/>
      <c r="M4202"/>
      <c r="N4202"/>
      <c r="O4202"/>
      <c r="P4202" s="225"/>
      <c r="Q4202" s="225"/>
      <c r="R4202"/>
      <c r="S4202"/>
      <c r="T4202"/>
      <c r="U4202"/>
      <c r="V4202"/>
      <c r="W4202"/>
      <c r="X4202"/>
    </row>
    <row r="4203" spans="5:24" x14ac:dyDescent="0.3">
      <c r="E4203" s="173"/>
      <c r="F4203" s="173"/>
      <c r="I4203"/>
      <c r="J4203"/>
      <c r="K4203"/>
      <c r="L4203"/>
      <c r="M4203"/>
      <c r="N4203"/>
      <c r="O4203"/>
      <c r="P4203" s="225"/>
      <c r="Q4203" s="225"/>
      <c r="R4203"/>
      <c r="S4203"/>
      <c r="T4203"/>
      <c r="U4203"/>
      <c r="V4203"/>
      <c r="W4203"/>
      <c r="X4203"/>
    </row>
    <row r="4204" spans="5:24" x14ac:dyDescent="0.3">
      <c r="E4204" s="173"/>
      <c r="F4204" s="173"/>
      <c r="I4204"/>
      <c r="J4204"/>
      <c r="K4204"/>
      <c r="L4204"/>
      <c r="M4204"/>
      <c r="N4204"/>
      <c r="O4204"/>
      <c r="P4204" s="225"/>
      <c r="Q4204" s="225"/>
      <c r="R4204"/>
      <c r="S4204"/>
      <c r="T4204"/>
      <c r="U4204"/>
      <c r="V4204"/>
      <c r="W4204"/>
      <c r="X4204"/>
    </row>
    <row r="4205" spans="5:24" x14ac:dyDescent="0.3">
      <c r="E4205" s="173"/>
      <c r="F4205" s="173"/>
      <c r="I4205"/>
      <c r="J4205"/>
      <c r="K4205"/>
      <c r="L4205"/>
      <c r="M4205"/>
      <c r="N4205"/>
      <c r="O4205"/>
      <c r="P4205" s="225"/>
      <c r="Q4205" s="225"/>
      <c r="R4205"/>
      <c r="S4205"/>
      <c r="T4205"/>
      <c r="U4205"/>
      <c r="V4205"/>
      <c r="W4205"/>
      <c r="X4205"/>
    </row>
    <row r="4206" spans="5:24" x14ac:dyDescent="0.3">
      <c r="E4206" s="173"/>
      <c r="F4206" s="173"/>
      <c r="I4206"/>
      <c r="J4206"/>
      <c r="K4206"/>
      <c r="L4206"/>
      <c r="M4206"/>
      <c r="N4206"/>
      <c r="O4206"/>
      <c r="P4206" s="225"/>
      <c r="Q4206" s="225"/>
      <c r="R4206"/>
      <c r="S4206"/>
      <c r="T4206"/>
      <c r="U4206"/>
      <c r="V4206"/>
      <c r="W4206"/>
      <c r="X4206"/>
    </row>
    <row r="4207" spans="5:24" x14ac:dyDescent="0.3">
      <c r="E4207" s="173"/>
      <c r="F4207" s="173"/>
      <c r="I4207"/>
      <c r="J4207"/>
      <c r="K4207"/>
      <c r="L4207"/>
      <c r="M4207"/>
      <c r="N4207"/>
      <c r="O4207"/>
      <c r="P4207" s="225"/>
      <c r="Q4207" s="225"/>
      <c r="R4207"/>
      <c r="S4207"/>
      <c r="T4207"/>
      <c r="U4207"/>
      <c r="V4207"/>
      <c r="W4207"/>
      <c r="X4207"/>
    </row>
    <row r="4208" spans="5:24" x14ac:dyDescent="0.3">
      <c r="E4208" s="173"/>
      <c r="F4208" s="173"/>
      <c r="I4208"/>
      <c r="J4208"/>
      <c r="K4208"/>
      <c r="L4208"/>
      <c r="M4208"/>
      <c r="N4208"/>
      <c r="O4208"/>
      <c r="P4208" s="225"/>
      <c r="Q4208" s="225"/>
      <c r="R4208"/>
      <c r="S4208"/>
      <c r="T4208"/>
      <c r="U4208"/>
      <c r="V4208"/>
      <c r="W4208"/>
      <c r="X4208"/>
    </row>
    <row r="4209" spans="5:24" x14ac:dyDescent="0.3">
      <c r="E4209" s="173"/>
      <c r="F4209" s="173"/>
      <c r="I4209"/>
      <c r="J4209"/>
      <c r="K4209"/>
      <c r="L4209"/>
      <c r="M4209"/>
      <c r="N4209"/>
      <c r="O4209"/>
      <c r="P4209" s="225"/>
      <c r="Q4209" s="225"/>
      <c r="R4209"/>
      <c r="S4209"/>
      <c r="T4209"/>
      <c r="U4209"/>
      <c r="V4209"/>
      <c r="W4209"/>
      <c r="X4209"/>
    </row>
    <row r="4210" spans="5:24" x14ac:dyDescent="0.3">
      <c r="E4210" s="173"/>
      <c r="F4210" s="173"/>
      <c r="I4210"/>
      <c r="J4210"/>
      <c r="K4210"/>
      <c r="L4210"/>
      <c r="M4210"/>
      <c r="N4210"/>
      <c r="O4210"/>
      <c r="P4210" s="225"/>
      <c r="Q4210" s="225"/>
      <c r="R4210"/>
      <c r="S4210"/>
      <c r="T4210"/>
      <c r="U4210"/>
      <c r="V4210"/>
      <c r="W4210"/>
      <c r="X4210"/>
    </row>
    <row r="4211" spans="5:24" x14ac:dyDescent="0.3">
      <c r="E4211" s="173"/>
      <c r="F4211" s="173"/>
      <c r="I4211"/>
      <c r="J4211"/>
      <c r="K4211"/>
      <c r="L4211"/>
      <c r="M4211"/>
      <c r="N4211"/>
      <c r="O4211"/>
      <c r="P4211" s="225"/>
      <c r="Q4211" s="225"/>
      <c r="R4211"/>
      <c r="S4211"/>
      <c r="T4211"/>
      <c r="U4211"/>
      <c r="V4211"/>
      <c r="W4211"/>
      <c r="X4211"/>
    </row>
    <row r="4212" spans="5:24" x14ac:dyDescent="0.3">
      <c r="E4212" s="173"/>
      <c r="F4212" s="173"/>
      <c r="I4212"/>
      <c r="J4212"/>
      <c r="K4212"/>
      <c r="L4212"/>
      <c r="M4212"/>
      <c r="N4212"/>
      <c r="O4212"/>
      <c r="P4212" s="225"/>
      <c r="Q4212" s="225"/>
      <c r="R4212"/>
      <c r="S4212"/>
      <c r="T4212"/>
      <c r="U4212"/>
      <c r="V4212"/>
      <c r="W4212"/>
      <c r="X4212"/>
    </row>
    <row r="4213" spans="5:24" x14ac:dyDescent="0.3">
      <c r="E4213" s="173"/>
      <c r="F4213" s="173"/>
      <c r="I4213"/>
      <c r="J4213"/>
      <c r="K4213"/>
      <c r="L4213"/>
      <c r="M4213"/>
      <c r="N4213"/>
      <c r="O4213"/>
      <c r="P4213" s="225"/>
      <c r="Q4213" s="225"/>
      <c r="R4213"/>
      <c r="S4213"/>
      <c r="T4213"/>
      <c r="U4213"/>
      <c r="V4213"/>
      <c r="W4213"/>
      <c r="X4213"/>
    </row>
    <row r="4214" spans="5:24" x14ac:dyDescent="0.3">
      <c r="E4214" s="173"/>
      <c r="F4214" s="173"/>
      <c r="I4214"/>
      <c r="J4214"/>
      <c r="K4214"/>
      <c r="L4214"/>
      <c r="M4214"/>
      <c r="N4214"/>
      <c r="O4214"/>
      <c r="P4214" s="225"/>
      <c r="Q4214" s="225"/>
      <c r="R4214"/>
      <c r="S4214"/>
      <c r="T4214"/>
      <c r="U4214"/>
      <c r="V4214"/>
      <c r="W4214"/>
      <c r="X4214"/>
    </row>
    <row r="4215" spans="5:24" x14ac:dyDescent="0.3">
      <c r="E4215" s="173"/>
      <c r="F4215" s="173"/>
      <c r="I4215"/>
      <c r="J4215"/>
      <c r="K4215"/>
      <c r="L4215"/>
      <c r="M4215"/>
      <c r="N4215"/>
      <c r="O4215"/>
      <c r="P4215" s="225"/>
      <c r="Q4215" s="225"/>
      <c r="R4215"/>
      <c r="S4215"/>
      <c r="T4215"/>
      <c r="U4215"/>
      <c r="V4215"/>
      <c r="W4215"/>
      <c r="X4215"/>
    </row>
    <row r="4216" spans="5:24" x14ac:dyDescent="0.3">
      <c r="E4216" s="173"/>
      <c r="F4216" s="173"/>
      <c r="I4216"/>
      <c r="J4216"/>
      <c r="K4216"/>
      <c r="L4216"/>
      <c r="M4216"/>
      <c r="N4216"/>
      <c r="O4216"/>
      <c r="P4216" s="225"/>
      <c r="Q4216" s="225"/>
      <c r="R4216"/>
      <c r="S4216"/>
      <c r="T4216"/>
      <c r="U4216"/>
      <c r="V4216"/>
      <c r="W4216"/>
      <c r="X4216"/>
    </row>
    <row r="4217" spans="5:24" x14ac:dyDescent="0.3">
      <c r="E4217" s="173"/>
      <c r="F4217" s="173"/>
      <c r="I4217"/>
      <c r="J4217"/>
      <c r="K4217"/>
      <c r="L4217"/>
      <c r="M4217"/>
      <c r="N4217"/>
      <c r="O4217"/>
      <c r="P4217" s="225"/>
      <c r="Q4217" s="225"/>
      <c r="R4217"/>
      <c r="S4217"/>
      <c r="T4217"/>
      <c r="U4217"/>
      <c r="V4217"/>
      <c r="W4217"/>
      <c r="X4217"/>
    </row>
    <row r="4218" spans="5:24" x14ac:dyDescent="0.3">
      <c r="E4218" s="173"/>
      <c r="F4218" s="173"/>
      <c r="I4218"/>
      <c r="J4218"/>
      <c r="K4218"/>
      <c r="L4218"/>
      <c r="M4218"/>
      <c r="N4218"/>
      <c r="O4218"/>
      <c r="P4218" s="225"/>
      <c r="Q4218" s="225"/>
      <c r="R4218"/>
      <c r="S4218"/>
      <c r="T4218"/>
      <c r="U4218"/>
      <c r="V4218"/>
      <c r="W4218"/>
      <c r="X4218"/>
    </row>
    <row r="4219" spans="5:24" x14ac:dyDescent="0.3">
      <c r="E4219" s="173"/>
      <c r="F4219" s="173"/>
      <c r="I4219"/>
      <c r="J4219"/>
      <c r="K4219"/>
      <c r="L4219"/>
      <c r="M4219"/>
      <c r="N4219"/>
      <c r="O4219"/>
      <c r="P4219" s="225"/>
      <c r="Q4219" s="225"/>
      <c r="R4219"/>
      <c r="S4219"/>
      <c r="T4219"/>
      <c r="U4219"/>
      <c r="V4219"/>
      <c r="W4219"/>
      <c r="X4219"/>
    </row>
    <row r="4220" spans="5:24" x14ac:dyDescent="0.3">
      <c r="E4220" s="173"/>
      <c r="F4220" s="173"/>
      <c r="I4220"/>
      <c r="J4220"/>
      <c r="K4220"/>
      <c r="L4220"/>
      <c r="M4220"/>
      <c r="N4220"/>
      <c r="O4220"/>
      <c r="P4220" s="225"/>
      <c r="Q4220" s="225"/>
      <c r="R4220"/>
      <c r="S4220"/>
      <c r="T4220"/>
      <c r="U4220"/>
      <c r="V4220"/>
      <c r="W4220"/>
      <c r="X4220"/>
    </row>
    <row r="4221" spans="5:24" x14ac:dyDescent="0.3">
      <c r="E4221" s="173"/>
      <c r="F4221" s="173"/>
      <c r="I4221"/>
      <c r="J4221"/>
      <c r="K4221"/>
      <c r="L4221"/>
      <c r="M4221"/>
      <c r="N4221"/>
      <c r="O4221"/>
      <c r="P4221" s="225"/>
      <c r="Q4221" s="225"/>
      <c r="R4221"/>
      <c r="S4221"/>
      <c r="T4221"/>
      <c r="U4221"/>
      <c r="V4221"/>
      <c r="W4221"/>
      <c r="X4221"/>
    </row>
    <row r="4222" spans="5:24" x14ac:dyDescent="0.3">
      <c r="E4222" s="173"/>
      <c r="F4222" s="173"/>
      <c r="I4222"/>
      <c r="J4222"/>
      <c r="K4222"/>
      <c r="L4222"/>
      <c r="M4222"/>
      <c r="N4222"/>
      <c r="O4222"/>
      <c r="P4222" s="225"/>
      <c r="Q4222" s="225"/>
      <c r="R4222"/>
      <c r="S4222"/>
      <c r="T4222"/>
      <c r="U4222"/>
      <c r="V4222"/>
      <c r="W4222"/>
      <c r="X4222"/>
    </row>
    <row r="4223" spans="5:24" x14ac:dyDescent="0.3">
      <c r="E4223" s="173"/>
      <c r="F4223" s="173"/>
      <c r="I4223"/>
      <c r="J4223"/>
      <c r="K4223"/>
      <c r="L4223"/>
      <c r="M4223"/>
      <c r="N4223"/>
      <c r="O4223"/>
      <c r="P4223" s="225"/>
      <c r="Q4223" s="225"/>
      <c r="R4223"/>
      <c r="S4223"/>
      <c r="T4223"/>
      <c r="U4223"/>
      <c r="V4223"/>
      <c r="W4223"/>
      <c r="X4223"/>
    </row>
    <row r="4224" spans="5:24" x14ac:dyDescent="0.3">
      <c r="E4224" s="173"/>
      <c r="F4224" s="173"/>
      <c r="I4224"/>
      <c r="J4224"/>
      <c r="K4224"/>
      <c r="L4224"/>
      <c r="M4224"/>
      <c r="N4224"/>
      <c r="O4224"/>
      <c r="P4224" s="225"/>
      <c r="Q4224" s="225"/>
      <c r="R4224"/>
      <c r="S4224"/>
      <c r="T4224"/>
      <c r="U4224"/>
      <c r="V4224"/>
      <c r="W4224"/>
      <c r="X4224"/>
    </row>
    <row r="4225" spans="5:24" x14ac:dyDescent="0.3">
      <c r="E4225" s="173"/>
      <c r="F4225" s="173"/>
      <c r="I4225"/>
      <c r="J4225"/>
      <c r="K4225"/>
      <c r="L4225"/>
      <c r="M4225"/>
      <c r="N4225"/>
      <c r="O4225"/>
      <c r="P4225" s="225"/>
      <c r="Q4225" s="225"/>
      <c r="R4225"/>
      <c r="S4225"/>
      <c r="T4225"/>
      <c r="U4225"/>
      <c r="V4225"/>
      <c r="W4225"/>
      <c r="X4225"/>
    </row>
    <row r="4226" spans="5:24" x14ac:dyDescent="0.3">
      <c r="E4226" s="173"/>
      <c r="F4226" s="173"/>
      <c r="I4226"/>
      <c r="J4226"/>
      <c r="K4226"/>
      <c r="L4226"/>
      <c r="M4226"/>
      <c r="N4226"/>
      <c r="O4226"/>
      <c r="P4226" s="225"/>
      <c r="Q4226" s="225"/>
      <c r="R4226"/>
      <c r="S4226"/>
      <c r="T4226"/>
      <c r="U4226"/>
      <c r="V4226"/>
      <c r="W4226"/>
      <c r="X4226"/>
    </row>
    <row r="4227" spans="5:24" x14ac:dyDescent="0.3">
      <c r="E4227" s="173"/>
      <c r="F4227" s="173"/>
      <c r="I4227"/>
      <c r="J4227"/>
      <c r="K4227"/>
      <c r="L4227"/>
      <c r="M4227"/>
      <c r="N4227"/>
      <c r="O4227"/>
      <c r="P4227" s="225"/>
      <c r="Q4227" s="225"/>
      <c r="R4227"/>
      <c r="S4227"/>
      <c r="T4227"/>
      <c r="U4227"/>
      <c r="V4227"/>
      <c r="W4227"/>
      <c r="X4227"/>
    </row>
    <row r="4228" spans="5:24" x14ac:dyDescent="0.3">
      <c r="E4228" s="173"/>
      <c r="F4228" s="173"/>
      <c r="I4228"/>
      <c r="J4228"/>
      <c r="K4228"/>
      <c r="L4228"/>
      <c r="M4228"/>
      <c r="N4228"/>
      <c r="O4228"/>
      <c r="P4228" s="225"/>
      <c r="Q4228" s="225"/>
      <c r="R4228"/>
      <c r="S4228"/>
      <c r="T4228"/>
      <c r="U4228"/>
      <c r="V4228"/>
      <c r="W4228"/>
      <c r="X4228"/>
    </row>
    <row r="4229" spans="5:24" x14ac:dyDescent="0.3">
      <c r="E4229" s="173"/>
      <c r="F4229" s="173"/>
      <c r="I4229"/>
      <c r="J4229"/>
      <c r="K4229"/>
      <c r="L4229"/>
      <c r="M4229"/>
      <c r="N4229"/>
      <c r="O4229"/>
      <c r="P4229" s="225"/>
      <c r="Q4229" s="225"/>
      <c r="R4229"/>
      <c r="S4229"/>
      <c r="T4229"/>
      <c r="U4229"/>
      <c r="V4229"/>
      <c r="W4229"/>
      <c r="X4229"/>
    </row>
    <row r="4230" spans="5:24" x14ac:dyDescent="0.3">
      <c r="E4230" s="173"/>
      <c r="F4230" s="173"/>
      <c r="I4230"/>
      <c r="J4230"/>
      <c r="K4230"/>
      <c r="L4230"/>
      <c r="M4230"/>
      <c r="N4230"/>
      <c r="O4230"/>
      <c r="P4230" s="225"/>
      <c r="Q4230" s="225"/>
      <c r="R4230"/>
      <c r="S4230"/>
      <c r="T4230"/>
      <c r="U4230"/>
      <c r="V4230"/>
      <c r="W4230"/>
      <c r="X4230"/>
    </row>
    <row r="4231" spans="5:24" x14ac:dyDescent="0.3">
      <c r="E4231" s="173"/>
      <c r="F4231" s="173"/>
      <c r="I4231"/>
      <c r="J4231"/>
      <c r="K4231"/>
      <c r="L4231"/>
      <c r="M4231"/>
      <c r="N4231"/>
      <c r="O4231"/>
      <c r="P4231" s="225"/>
      <c r="Q4231" s="225"/>
      <c r="R4231"/>
      <c r="S4231"/>
      <c r="T4231"/>
      <c r="U4231"/>
      <c r="V4231"/>
      <c r="W4231"/>
      <c r="X4231"/>
    </row>
    <row r="4232" spans="5:24" x14ac:dyDescent="0.3">
      <c r="E4232" s="173"/>
      <c r="F4232" s="173"/>
      <c r="I4232"/>
      <c r="J4232"/>
      <c r="K4232"/>
      <c r="L4232"/>
      <c r="M4232"/>
      <c r="N4232"/>
      <c r="O4232"/>
      <c r="P4232" s="225"/>
      <c r="Q4232" s="225"/>
      <c r="R4232"/>
      <c r="S4232"/>
      <c r="T4232"/>
      <c r="U4232"/>
      <c r="V4232"/>
      <c r="W4232"/>
      <c r="X4232"/>
    </row>
    <row r="4233" spans="5:24" x14ac:dyDescent="0.3">
      <c r="E4233" s="173"/>
      <c r="F4233" s="173"/>
      <c r="I4233"/>
      <c r="J4233"/>
      <c r="K4233"/>
      <c r="L4233"/>
      <c r="M4233"/>
      <c r="N4233"/>
      <c r="O4233"/>
      <c r="P4233" s="225"/>
      <c r="Q4233" s="225"/>
      <c r="R4233"/>
      <c r="S4233"/>
      <c r="T4233"/>
      <c r="U4233"/>
      <c r="V4233"/>
      <c r="W4233"/>
      <c r="X4233"/>
    </row>
    <row r="4234" spans="5:24" x14ac:dyDescent="0.3">
      <c r="E4234" s="173"/>
      <c r="F4234" s="173"/>
      <c r="I4234"/>
      <c r="J4234"/>
      <c r="K4234"/>
      <c r="L4234"/>
      <c r="M4234"/>
      <c r="N4234"/>
      <c r="O4234"/>
      <c r="P4234" s="225"/>
      <c r="Q4234" s="225"/>
      <c r="R4234"/>
      <c r="S4234"/>
      <c r="T4234"/>
      <c r="U4234"/>
      <c r="V4234"/>
      <c r="W4234"/>
      <c r="X4234"/>
    </row>
    <row r="4235" spans="5:24" x14ac:dyDescent="0.3">
      <c r="E4235" s="173"/>
      <c r="F4235" s="173"/>
      <c r="I4235"/>
      <c r="J4235"/>
      <c r="K4235"/>
      <c r="L4235"/>
      <c r="M4235"/>
      <c r="N4235"/>
      <c r="O4235"/>
      <c r="P4235" s="225"/>
      <c r="Q4235" s="225"/>
      <c r="R4235"/>
      <c r="S4235"/>
      <c r="T4235"/>
      <c r="U4235"/>
      <c r="V4235"/>
      <c r="W4235"/>
      <c r="X4235"/>
    </row>
    <row r="4236" spans="5:24" x14ac:dyDescent="0.3">
      <c r="E4236" s="173"/>
      <c r="F4236" s="173"/>
      <c r="I4236"/>
      <c r="J4236"/>
      <c r="K4236"/>
      <c r="L4236"/>
      <c r="M4236"/>
      <c r="N4236"/>
      <c r="O4236"/>
      <c r="P4236" s="225"/>
      <c r="Q4236" s="225"/>
      <c r="R4236"/>
      <c r="S4236"/>
      <c r="T4236"/>
      <c r="U4236"/>
      <c r="V4236"/>
      <c r="W4236"/>
      <c r="X4236"/>
    </row>
    <row r="4237" spans="5:24" x14ac:dyDescent="0.3">
      <c r="E4237" s="173"/>
      <c r="F4237" s="173"/>
      <c r="I4237"/>
      <c r="J4237"/>
      <c r="K4237"/>
      <c r="L4237"/>
      <c r="M4237"/>
      <c r="N4237"/>
      <c r="O4237"/>
      <c r="P4237" s="225"/>
      <c r="Q4237" s="225"/>
      <c r="R4237"/>
      <c r="S4237"/>
      <c r="T4237"/>
      <c r="U4237"/>
      <c r="V4237"/>
      <c r="W4237"/>
      <c r="X4237"/>
    </row>
    <row r="4238" spans="5:24" x14ac:dyDescent="0.3">
      <c r="E4238" s="173"/>
      <c r="F4238" s="173"/>
      <c r="I4238"/>
      <c r="J4238"/>
      <c r="K4238"/>
      <c r="L4238"/>
      <c r="M4238"/>
      <c r="N4238"/>
      <c r="O4238"/>
      <c r="P4238" s="225"/>
      <c r="Q4238" s="225"/>
      <c r="R4238"/>
      <c r="S4238"/>
      <c r="T4238"/>
      <c r="U4238"/>
      <c r="V4238"/>
      <c r="W4238"/>
      <c r="X4238"/>
    </row>
    <row r="4239" spans="5:24" x14ac:dyDescent="0.3">
      <c r="E4239" s="173"/>
      <c r="F4239" s="173"/>
      <c r="I4239"/>
      <c r="J4239"/>
      <c r="K4239"/>
      <c r="L4239"/>
      <c r="M4239"/>
      <c r="N4239"/>
      <c r="O4239"/>
      <c r="P4239" s="225"/>
      <c r="Q4239" s="225"/>
      <c r="R4239"/>
      <c r="S4239"/>
      <c r="T4239"/>
      <c r="U4239"/>
      <c r="V4239"/>
      <c r="W4239"/>
      <c r="X4239"/>
    </row>
    <row r="4240" spans="5:24" x14ac:dyDescent="0.3">
      <c r="E4240" s="173"/>
      <c r="F4240" s="173"/>
      <c r="I4240"/>
      <c r="J4240"/>
      <c r="K4240"/>
      <c r="L4240"/>
      <c r="M4240"/>
      <c r="N4240"/>
      <c r="O4240"/>
      <c r="P4240" s="225"/>
      <c r="Q4240" s="225"/>
      <c r="R4240"/>
      <c r="S4240"/>
      <c r="T4240"/>
      <c r="U4240"/>
      <c r="V4240"/>
      <c r="W4240"/>
      <c r="X4240"/>
    </row>
    <row r="4241" spans="5:24" x14ac:dyDescent="0.3">
      <c r="E4241" s="173"/>
      <c r="F4241" s="173"/>
      <c r="I4241"/>
      <c r="J4241"/>
      <c r="K4241"/>
      <c r="L4241"/>
      <c r="M4241"/>
      <c r="N4241"/>
      <c r="O4241"/>
      <c r="P4241" s="225"/>
      <c r="Q4241" s="225"/>
      <c r="R4241"/>
      <c r="S4241"/>
      <c r="T4241"/>
      <c r="U4241"/>
      <c r="V4241"/>
      <c r="W4241"/>
      <c r="X4241"/>
    </row>
    <row r="4242" spans="5:24" x14ac:dyDescent="0.3">
      <c r="E4242" s="173"/>
      <c r="F4242" s="173"/>
      <c r="I4242"/>
      <c r="J4242"/>
      <c r="K4242"/>
      <c r="L4242"/>
      <c r="M4242"/>
      <c r="N4242"/>
      <c r="O4242"/>
      <c r="P4242" s="225"/>
      <c r="Q4242" s="225"/>
      <c r="R4242"/>
      <c r="S4242"/>
      <c r="T4242"/>
      <c r="U4242"/>
      <c r="V4242"/>
      <c r="W4242"/>
      <c r="X4242"/>
    </row>
    <row r="4243" spans="5:24" x14ac:dyDescent="0.3">
      <c r="E4243" s="173"/>
      <c r="F4243" s="173"/>
      <c r="I4243"/>
      <c r="J4243"/>
      <c r="K4243"/>
      <c r="L4243"/>
      <c r="M4243"/>
      <c r="N4243"/>
      <c r="O4243"/>
      <c r="P4243" s="225"/>
      <c r="Q4243" s="225"/>
      <c r="R4243"/>
      <c r="S4243"/>
      <c r="T4243"/>
      <c r="U4243"/>
      <c r="V4243"/>
      <c r="W4243"/>
      <c r="X4243"/>
    </row>
    <row r="4244" spans="5:24" x14ac:dyDescent="0.3">
      <c r="E4244" s="173"/>
      <c r="F4244" s="173"/>
      <c r="I4244"/>
      <c r="J4244"/>
      <c r="K4244"/>
      <c r="L4244"/>
      <c r="M4244"/>
      <c r="N4244"/>
      <c r="O4244"/>
      <c r="P4244" s="225"/>
      <c r="Q4244" s="225"/>
      <c r="R4244"/>
      <c r="S4244"/>
      <c r="T4244"/>
      <c r="U4244"/>
      <c r="V4244"/>
      <c r="W4244"/>
      <c r="X4244"/>
    </row>
    <row r="4245" spans="5:24" x14ac:dyDescent="0.3">
      <c r="E4245" s="173"/>
      <c r="F4245" s="173"/>
      <c r="I4245"/>
      <c r="J4245"/>
      <c r="K4245"/>
      <c r="L4245"/>
      <c r="M4245"/>
      <c r="N4245"/>
      <c r="O4245"/>
      <c r="P4245" s="225"/>
      <c r="Q4245" s="225"/>
      <c r="R4245"/>
      <c r="S4245"/>
      <c r="T4245"/>
      <c r="U4245"/>
      <c r="V4245"/>
      <c r="W4245"/>
      <c r="X4245"/>
    </row>
    <row r="4246" spans="5:24" x14ac:dyDescent="0.3">
      <c r="E4246" s="173"/>
      <c r="F4246" s="173"/>
      <c r="I4246"/>
      <c r="J4246"/>
      <c r="K4246"/>
      <c r="L4246"/>
      <c r="M4246"/>
      <c r="N4246"/>
      <c r="O4246"/>
      <c r="P4246" s="225"/>
      <c r="Q4246" s="225"/>
      <c r="R4246"/>
      <c r="S4246"/>
      <c r="T4246"/>
      <c r="U4246"/>
      <c r="V4246"/>
      <c r="W4246"/>
      <c r="X4246"/>
    </row>
    <row r="4247" spans="5:24" x14ac:dyDescent="0.3">
      <c r="E4247" s="173"/>
      <c r="F4247" s="173"/>
      <c r="I4247"/>
      <c r="J4247"/>
      <c r="K4247"/>
      <c r="L4247"/>
      <c r="M4247"/>
      <c r="N4247"/>
      <c r="O4247"/>
      <c r="P4247" s="225"/>
      <c r="Q4247" s="225"/>
      <c r="R4247"/>
      <c r="S4247"/>
      <c r="T4247"/>
      <c r="U4247"/>
      <c r="V4247"/>
      <c r="W4247"/>
      <c r="X4247"/>
    </row>
    <row r="4248" spans="5:24" x14ac:dyDescent="0.3">
      <c r="E4248" s="173"/>
      <c r="F4248" s="173"/>
      <c r="I4248"/>
      <c r="J4248"/>
      <c r="K4248"/>
      <c r="L4248"/>
      <c r="M4248"/>
      <c r="N4248"/>
      <c r="O4248"/>
      <c r="P4248" s="225"/>
      <c r="Q4248" s="225"/>
      <c r="R4248"/>
      <c r="S4248"/>
      <c r="T4248"/>
      <c r="U4248"/>
      <c r="V4248"/>
      <c r="W4248"/>
      <c r="X4248"/>
    </row>
    <row r="4249" spans="5:24" x14ac:dyDescent="0.3">
      <c r="E4249" s="173"/>
      <c r="F4249" s="173"/>
      <c r="I4249"/>
      <c r="J4249"/>
      <c r="K4249"/>
      <c r="L4249"/>
      <c r="M4249"/>
      <c r="N4249"/>
      <c r="O4249"/>
      <c r="P4249" s="225"/>
      <c r="Q4249" s="225"/>
      <c r="R4249"/>
      <c r="S4249"/>
      <c r="T4249"/>
      <c r="U4249"/>
      <c r="V4249"/>
      <c r="W4249"/>
      <c r="X4249"/>
    </row>
    <row r="4250" spans="5:24" x14ac:dyDescent="0.3">
      <c r="E4250" s="173"/>
      <c r="F4250" s="173"/>
      <c r="I4250"/>
      <c r="J4250"/>
      <c r="K4250"/>
      <c r="L4250"/>
      <c r="M4250"/>
      <c r="N4250"/>
      <c r="O4250"/>
      <c r="P4250" s="225"/>
      <c r="Q4250" s="225"/>
      <c r="R4250"/>
      <c r="S4250"/>
      <c r="T4250"/>
      <c r="U4250"/>
      <c r="V4250"/>
      <c r="W4250"/>
      <c r="X4250"/>
    </row>
    <row r="4251" spans="5:24" x14ac:dyDescent="0.3">
      <c r="E4251" s="173"/>
      <c r="F4251" s="173"/>
      <c r="I4251"/>
      <c r="J4251"/>
      <c r="K4251"/>
      <c r="L4251"/>
      <c r="M4251"/>
      <c r="N4251"/>
      <c r="O4251"/>
      <c r="P4251" s="225"/>
      <c r="Q4251" s="225"/>
      <c r="R4251"/>
      <c r="S4251"/>
      <c r="T4251"/>
      <c r="U4251"/>
      <c r="V4251"/>
      <c r="W4251"/>
      <c r="X4251"/>
    </row>
    <row r="4252" spans="5:24" x14ac:dyDescent="0.3">
      <c r="E4252" s="173"/>
      <c r="F4252" s="173"/>
      <c r="I4252"/>
      <c r="J4252"/>
      <c r="K4252"/>
      <c r="L4252"/>
      <c r="M4252"/>
      <c r="N4252"/>
      <c r="O4252"/>
      <c r="P4252" s="225"/>
      <c r="Q4252" s="225"/>
      <c r="R4252"/>
      <c r="S4252"/>
      <c r="T4252"/>
      <c r="U4252"/>
      <c r="V4252"/>
      <c r="W4252"/>
      <c r="X4252"/>
    </row>
    <row r="4253" spans="5:24" x14ac:dyDescent="0.3">
      <c r="E4253" s="173"/>
      <c r="F4253" s="173"/>
      <c r="I4253"/>
      <c r="J4253"/>
      <c r="K4253"/>
      <c r="L4253"/>
      <c r="M4253"/>
      <c r="N4253"/>
      <c r="O4253"/>
      <c r="P4253" s="225"/>
      <c r="Q4253" s="225"/>
      <c r="R4253"/>
      <c r="S4253"/>
      <c r="T4253"/>
      <c r="U4253"/>
      <c r="V4253"/>
      <c r="W4253"/>
      <c r="X4253"/>
    </row>
    <row r="4254" spans="5:24" x14ac:dyDescent="0.3">
      <c r="E4254" s="173"/>
      <c r="F4254" s="173"/>
      <c r="I4254"/>
      <c r="J4254"/>
      <c r="K4254"/>
      <c r="L4254"/>
      <c r="M4254"/>
      <c r="N4254"/>
      <c r="O4254"/>
      <c r="P4254" s="225"/>
      <c r="Q4254" s="225"/>
      <c r="R4254"/>
      <c r="S4254"/>
      <c r="T4254"/>
      <c r="U4254"/>
      <c r="V4254"/>
      <c r="W4254"/>
      <c r="X4254"/>
    </row>
    <row r="4255" spans="5:24" x14ac:dyDescent="0.3">
      <c r="E4255" s="173"/>
      <c r="F4255" s="173"/>
      <c r="I4255"/>
      <c r="J4255"/>
      <c r="K4255"/>
      <c r="L4255"/>
      <c r="M4255"/>
      <c r="N4255"/>
      <c r="O4255"/>
      <c r="P4255" s="225"/>
      <c r="Q4255" s="225"/>
      <c r="R4255"/>
      <c r="S4255"/>
      <c r="T4255"/>
      <c r="U4255"/>
      <c r="V4255"/>
      <c r="W4255"/>
      <c r="X4255"/>
    </row>
    <row r="4256" spans="5:24" x14ac:dyDescent="0.3">
      <c r="E4256" s="173"/>
      <c r="F4256" s="173"/>
      <c r="I4256"/>
      <c r="J4256"/>
      <c r="K4256"/>
      <c r="L4256"/>
      <c r="M4256"/>
      <c r="N4256"/>
      <c r="O4256"/>
      <c r="P4256" s="225"/>
      <c r="Q4256" s="225"/>
      <c r="R4256"/>
      <c r="S4256"/>
      <c r="T4256"/>
      <c r="U4256"/>
      <c r="V4256"/>
      <c r="W4256"/>
      <c r="X4256"/>
    </row>
    <row r="4257" spans="5:24" x14ac:dyDescent="0.3">
      <c r="E4257" s="173"/>
      <c r="F4257" s="173"/>
      <c r="I4257"/>
      <c r="J4257"/>
      <c r="K4257"/>
      <c r="L4257"/>
      <c r="M4257"/>
      <c r="N4257"/>
      <c r="O4257"/>
      <c r="P4257" s="225"/>
      <c r="Q4257" s="225"/>
      <c r="R4257"/>
      <c r="S4257"/>
      <c r="T4257"/>
      <c r="U4257"/>
      <c r="V4257"/>
      <c r="W4257"/>
      <c r="X4257"/>
    </row>
    <row r="4258" spans="5:24" x14ac:dyDescent="0.3">
      <c r="E4258" s="173"/>
      <c r="F4258" s="173"/>
      <c r="I4258"/>
      <c r="J4258"/>
      <c r="K4258"/>
      <c r="L4258"/>
      <c r="M4258"/>
      <c r="N4258"/>
      <c r="O4258"/>
      <c r="P4258" s="225"/>
      <c r="Q4258" s="225"/>
      <c r="R4258"/>
      <c r="S4258"/>
      <c r="T4258"/>
      <c r="U4258"/>
      <c r="V4258"/>
      <c r="W4258"/>
      <c r="X4258"/>
    </row>
    <row r="4259" spans="5:24" x14ac:dyDescent="0.3">
      <c r="E4259" s="173"/>
      <c r="F4259" s="173"/>
      <c r="I4259"/>
      <c r="J4259"/>
      <c r="K4259"/>
      <c r="L4259"/>
      <c r="M4259"/>
      <c r="N4259"/>
      <c r="O4259"/>
      <c r="P4259" s="225"/>
      <c r="Q4259" s="225"/>
      <c r="R4259"/>
      <c r="S4259"/>
      <c r="T4259"/>
      <c r="U4259"/>
      <c r="V4259"/>
      <c r="W4259"/>
      <c r="X4259"/>
    </row>
    <row r="4260" spans="5:24" x14ac:dyDescent="0.3">
      <c r="E4260" s="173"/>
      <c r="F4260" s="173"/>
      <c r="I4260"/>
      <c r="J4260"/>
      <c r="K4260"/>
      <c r="L4260"/>
      <c r="M4260"/>
      <c r="N4260"/>
      <c r="O4260"/>
      <c r="P4260" s="225"/>
      <c r="Q4260" s="225"/>
      <c r="R4260"/>
      <c r="S4260"/>
      <c r="T4260"/>
      <c r="U4260"/>
      <c r="V4260"/>
      <c r="W4260"/>
      <c r="X4260"/>
    </row>
    <row r="4261" spans="5:24" x14ac:dyDescent="0.3">
      <c r="E4261" s="173"/>
      <c r="F4261" s="173"/>
      <c r="I4261"/>
      <c r="J4261"/>
      <c r="K4261"/>
      <c r="L4261"/>
      <c r="M4261"/>
      <c r="N4261"/>
      <c r="O4261"/>
      <c r="P4261" s="225"/>
      <c r="Q4261" s="225"/>
      <c r="R4261"/>
      <c r="S4261"/>
      <c r="T4261"/>
      <c r="U4261"/>
      <c r="V4261"/>
      <c r="W4261"/>
      <c r="X4261"/>
    </row>
    <row r="4262" spans="5:24" x14ac:dyDescent="0.3">
      <c r="E4262" s="173"/>
      <c r="F4262" s="173"/>
      <c r="I4262"/>
      <c r="J4262"/>
      <c r="K4262"/>
      <c r="L4262"/>
      <c r="M4262"/>
      <c r="N4262"/>
      <c r="O4262"/>
      <c r="P4262" s="225"/>
      <c r="Q4262" s="225"/>
      <c r="R4262"/>
      <c r="S4262"/>
      <c r="T4262"/>
      <c r="U4262"/>
      <c r="V4262"/>
      <c r="W4262"/>
      <c r="X4262"/>
    </row>
    <row r="4263" spans="5:24" x14ac:dyDescent="0.3">
      <c r="E4263" s="173"/>
      <c r="F4263" s="173"/>
      <c r="I4263"/>
      <c r="J4263"/>
      <c r="K4263"/>
      <c r="L4263"/>
      <c r="M4263"/>
      <c r="N4263"/>
      <c r="O4263"/>
      <c r="P4263" s="225"/>
      <c r="Q4263" s="225"/>
      <c r="R4263"/>
      <c r="S4263"/>
      <c r="T4263"/>
      <c r="U4263"/>
      <c r="V4263"/>
      <c r="W4263"/>
      <c r="X4263"/>
    </row>
    <row r="4264" spans="5:24" x14ac:dyDescent="0.3">
      <c r="E4264" s="173"/>
      <c r="F4264" s="173"/>
      <c r="I4264"/>
      <c r="J4264"/>
      <c r="K4264"/>
      <c r="L4264"/>
      <c r="M4264"/>
      <c r="N4264"/>
      <c r="O4264"/>
      <c r="P4264" s="225"/>
      <c r="Q4264" s="225"/>
      <c r="R4264"/>
      <c r="S4264"/>
      <c r="T4264"/>
      <c r="U4264"/>
      <c r="V4264"/>
      <c r="W4264"/>
      <c r="X4264"/>
    </row>
    <row r="4265" spans="5:24" x14ac:dyDescent="0.3">
      <c r="E4265" s="173"/>
      <c r="F4265" s="173"/>
      <c r="I4265"/>
      <c r="J4265"/>
      <c r="K4265"/>
      <c r="L4265"/>
      <c r="M4265"/>
      <c r="N4265"/>
      <c r="O4265"/>
      <c r="P4265" s="225"/>
      <c r="Q4265" s="225"/>
      <c r="R4265"/>
      <c r="S4265"/>
      <c r="T4265"/>
      <c r="U4265"/>
      <c r="V4265"/>
      <c r="W4265"/>
      <c r="X4265"/>
    </row>
    <row r="4266" spans="5:24" x14ac:dyDescent="0.3">
      <c r="E4266" s="173"/>
      <c r="F4266" s="173"/>
      <c r="I4266"/>
      <c r="J4266"/>
      <c r="K4266"/>
      <c r="L4266"/>
      <c r="M4266"/>
      <c r="N4266"/>
      <c r="O4266"/>
      <c r="P4266" s="225"/>
      <c r="Q4266" s="225"/>
      <c r="R4266"/>
      <c r="S4266"/>
      <c r="T4266"/>
      <c r="U4266"/>
      <c r="V4266"/>
      <c r="W4266"/>
      <c r="X4266"/>
    </row>
    <row r="4267" spans="5:24" x14ac:dyDescent="0.3">
      <c r="E4267" s="173"/>
      <c r="F4267" s="173"/>
      <c r="I4267"/>
      <c r="J4267"/>
      <c r="K4267"/>
      <c r="L4267"/>
      <c r="M4267"/>
      <c r="N4267"/>
      <c r="O4267"/>
      <c r="P4267" s="225"/>
      <c r="Q4267" s="225"/>
      <c r="R4267"/>
      <c r="S4267"/>
      <c r="T4267"/>
      <c r="U4267"/>
      <c r="V4267"/>
      <c r="W4267"/>
      <c r="X4267"/>
    </row>
    <row r="4268" spans="5:24" x14ac:dyDescent="0.3">
      <c r="E4268" s="173"/>
      <c r="F4268" s="173"/>
      <c r="I4268"/>
      <c r="J4268"/>
      <c r="K4268"/>
      <c r="L4268"/>
      <c r="M4268"/>
      <c r="N4268"/>
      <c r="O4268"/>
      <c r="P4268" s="225"/>
      <c r="Q4268" s="225"/>
      <c r="R4268"/>
      <c r="S4268"/>
      <c r="T4268"/>
      <c r="U4268"/>
      <c r="V4268"/>
      <c r="W4268"/>
      <c r="X4268"/>
    </row>
    <row r="4269" spans="5:24" x14ac:dyDescent="0.3">
      <c r="E4269" s="173"/>
      <c r="F4269" s="173"/>
      <c r="I4269"/>
      <c r="J4269"/>
      <c r="K4269"/>
      <c r="L4269"/>
      <c r="M4269"/>
      <c r="N4269"/>
      <c r="O4269"/>
      <c r="P4269" s="225"/>
      <c r="Q4269" s="225"/>
      <c r="R4269"/>
      <c r="S4269"/>
      <c r="T4269"/>
      <c r="U4269"/>
      <c r="V4269"/>
      <c r="W4269"/>
      <c r="X4269"/>
    </row>
    <row r="4270" spans="5:24" x14ac:dyDescent="0.3">
      <c r="E4270" s="173"/>
      <c r="F4270" s="173"/>
      <c r="I4270"/>
      <c r="J4270"/>
      <c r="K4270"/>
      <c r="L4270"/>
      <c r="M4270"/>
      <c r="N4270"/>
      <c r="O4270"/>
      <c r="P4270" s="225"/>
      <c r="Q4270" s="225"/>
      <c r="R4270"/>
      <c r="S4270"/>
      <c r="T4270"/>
      <c r="U4270"/>
      <c r="V4270"/>
      <c r="W4270"/>
      <c r="X4270"/>
    </row>
    <row r="4271" spans="5:24" x14ac:dyDescent="0.3">
      <c r="E4271" s="173"/>
      <c r="F4271" s="173"/>
      <c r="I4271"/>
      <c r="J4271"/>
      <c r="K4271"/>
      <c r="L4271"/>
      <c r="M4271"/>
      <c r="N4271"/>
      <c r="O4271"/>
      <c r="P4271" s="225"/>
      <c r="Q4271" s="225"/>
      <c r="R4271"/>
      <c r="S4271"/>
      <c r="T4271"/>
      <c r="U4271"/>
      <c r="V4271"/>
      <c r="W4271"/>
      <c r="X4271"/>
    </row>
    <row r="4272" spans="5:24" x14ac:dyDescent="0.3">
      <c r="E4272" s="173"/>
      <c r="F4272" s="173"/>
      <c r="I4272"/>
      <c r="J4272"/>
      <c r="K4272"/>
      <c r="L4272"/>
      <c r="M4272"/>
      <c r="N4272"/>
      <c r="O4272"/>
      <c r="P4272" s="225"/>
      <c r="Q4272" s="225"/>
      <c r="R4272"/>
      <c r="S4272"/>
      <c r="T4272"/>
      <c r="U4272"/>
      <c r="V4272"/>
      <c r="W4272"/>
      <c r="X4272"/>
    </row>
    <row r="4273" spans="5:24" x14ac:dyDescent="0.3">
      <c r="E4273" s="173"/>
      <c r="F4273" s="173"/>
      <c r="I4273"/>
      <c r="J4273"/>
      <c r="K4273"/>
      <c r="L4273"/>
      <c r="M4273"/>
      <c r="N4273"/>
      <c r="O4273"/>
      <c r="P4273" s="225"/>
      <c r="Q4273" s="225"/>
      <c r="R4273"/>
      <c r="S4273"/>
      <c r="T4273"/>
      <c r="U4273"/>
      <c r="V4273"/>
      <c r="W4273"/>
      <c r="X4273"/>
    </row>
    <row r="4274" spans="5:24" x14ac:dyDescent="0.3">
      <c r="E4274" s="173"/>
      <c r="F4274" s="173"/>
      <c r="I4274"/>
      <c r="J4274"/>
      <c r="K4274"/>
      <c r="L4274"/>
      <c r="M4274"/>
      <c r="N4274"/>
      <c r="O4274"/>
      <c r="P4274" s="225"/>
      <c r="Q4274" s="225"/>
      <c r="R4274"/>
      <c r="S4274"/>
      <c r="T4274"/>
      <c r="U4274"/>
      <c r="V4274"/>
      <c r="W4274"/>
      <c r="X4274"/>
    </row>
    <row r="4275" spans="5:24" x14ac:dyDescent="0.3">
      <c r="E4275" s="173"/>
      <c r="F4275" s="173"/>
      <c r="I4275"/>
      <c r="J4275"/>
      <c r="K4275"/>
      <c r="L4275"/>
      <c r="M4275"/>
      <c r="N4275"/>
      <c r="O4275"/>
      <c r="P4275" s="225"/>
      <c r="Q4275" s="225"/>
      <c r="R4275"/>
      <c r="S4275"/>
      <c r="T4275"/>
      <c r="U4275"/>
      <c r="V4275"/>
      <c r="W4275"/>
      <c r="X4275"/>
    </row>
    <row r="4276" spans="5:24" x14ac:dyDescent="0.3">
      <c r="E4276" s="173"/>
      <c r="F4276" s="173"/>
      <c r="I4276"/>
      <c r="J4276"/>
      <c r="K4276"/>
      <c r="L4276"/>
      <c r="M4276"/>
      <c r="N4276"/>
      <c r="O4276"/>
      <c r="P4276" s="225"/>
      <c r="Q4276" s="225"/>
      <c r="R4276"/>
      <c r="S4276"/>
      <c r="T4276"/>
      <c r="U4276"/>
      <c r="V4276"/>
      <c r="W4276"/>
      <c r="X4276"/>
    </row>
    <row r="4277" spans="5:24" x14ac:dyDescent="0.3">
      <c r="E4277" s="173"/>
      <c r="F4277" s="173"/>
      <c r="I4277"/>
      <c r="J4277"/>
      <c r="K4277"/>
      <c r="L4277"/>
      <c r="M4277"/>
      <c r="N4277"/>
      <c r="O4277"/>
      <c r="P4277" s="225"/>
      <c r="Q4277" s="225"/>
      <c r="R4277"/>
      <c r="S4277"/>
      <c r="T4277"/>
      <c r="U4277"/>
      <c r="V4277"/>
      <c r="W4277"/>
      <c r="X4277"/>
    </row>
    <row r="4278" spans="5:24" x14ac:dyDescent="0.3">
      <c r="E4278" s="173"/>
      <c r="F4278" s="173"/>
      <c r="I4278"/>
      <c r="J4278"/>
      <c r="K4278"/>
      <c r="L4278"/>
      <c r="M4278"/>
      <c r="N4278"/>
      <c r="O4278"/>
      <c r="P4278" s="225"/>
      <c r="Q4278" s="225"/>
      <c r="R4278"/>
      <c r="S4278"/>
      <c r="T4278"/>
      <c r="U4278"/>
      <c r="V4278"/>
      <c r="W4278"/>
      <c r="X4278"/>
    </row>
    <row r="4279" spans="5:24" x14ac:dyDescent="0.3">
      <c r="E4279" s="173"/>
      <c r="F4279" s="173"/>
      <c r="I4279"/>
      <c r="J4279"/>
      <c r="K4279"/>
      <c r="L4279"/>
      <c r="M4279"/>
      <c r="N4279"/>
      <c r="O4279"/>
      <c r="P4279" s="225"/>
      <c r="Q4279" s="225"/>
      <c r="R4279"/>
      <c r="S4279"/>
      <c r="T4279"/>
      <c r="U4279"/>
      <c r="V4279"/>
      <c r="W4279"/>
      <c r="X4279"/>
    </row>
    <row r="4280" spans="5:24" x14ac:dyDescent="0.3">
      <c r="E4280" s="173"/>
      <c r="F4280" s="173"/>
      <c r="I4280"/>
      <c r="J4280"/>
      <c r="K4280"/>
      <c r="L4280"/>
      <c r="M4280"/>
      <c r="N4280"/>
      <c r="O4280"/>
      <c r="P4280" s="225"/>
      <c r="Q4280" s="225"/>
      <c r="R4280"/>
      <c r="S4280"/>
      <c r="T4280"/>
      <c r="U4280"/>
      <c r="V4280"/>
      <c r="W4280"/>
      <c r="X4280"/>
    </row>
    <row r="4281" spans="5:24" x14ac:dyDescent="0.3">
      <c r="E4281" s="173"/>
      <c r="F4281" s="173"/>
      <c r="I4281"/>
      <c r="J4281"/>
      <c r="K4281"/>
      <c r="L4281"/>
      <c r="M4281"/>
      <c r="N4281"/>
      <c r="O4281"/>
      <c r="P4281" s="225"/>
      <c r="Q4281" s="225"/>
      <c r="R4281"/>
      <c r="S4281"/>
      <c r="T4281"/>
      <c r="U4281"/>
      <c r="V4281"/>
      <c r="W4281"/>
      <c r="X4281"/>
    </row>
    <row r="4282" spans="5:24" x14ac:dyDescent="0.3">
      <c r="E4282" s="173"/>
      <c r="F4282" s="173"/>
      <c r="I4282"/>
      <c r="J4282"/>
      <c r="K4282"/>
      <c r="L4282"/>
      <c r="M4282"/>
      <c r="N4282"/>
      <c r="O4282"/>
      <c r="P4282" s="225"/>
      <c r="Q4282" s="225"/>
      <c r="R4282"/>
      <c r="S4282"/>
      <c r="T4282"/>
      <c r="U4282"/>
      <c r="V4282"/>
      <c r="W4282"/>
      <c r="X4282"/>
    </row>
    <row r="4283" spans="5:24" x14ac:dyDescent="0.3">
      <c r="E4283" s="173"/>
      <c r="F4283" s="173"/>
      <c r="I4283"/>
      <c r="J4283"/>
      <c r="K4283"/>
      <c r="L4283"/>
      <c r="M4283"/>
      <c r="N4283"/>
      <c r="O4283"/>
      <c r="P4283" s="225"/>
      <c r="Q4283" s="225"/>
      <c r="R4283"/>
      <c r="S4283"/>
      <c r="T4283"/>
      <c r="U4283"/>
      <c r="V4283"/>
      <c r="W4283"/>
      <c r="X4283"/>
    </row>
    <row r="4284" spans="5:24" x14ac:dyDescent="0.3">
      <c r="E4284" s="173"/>
      <c r="F4284" s="173"/>
      <c r="I4284"/>
      <c r="J4284"/>
      <c r="K4284"/>
      <c r="L4284"/>
      <c r="M4284"/>
      <c r="N4284"/>
      <c r="O4284"/>
      <c r="P4284" s="225"/>
      <c r="Q4284" s="225"/>
      <c r="R4284"/>
      <c r="S4284"/>
      <c r="T4284"/>
      <c r="U4284"/>
      <c r="V4284"/>
      <c r="W4284"/>
      <c r="X4284"/>
    </row>
    <row r="4285" spans="5:24" x14ac:dyDescent="0.3">
      <c r="E4285" s="173"/>
      <c r="F4285" s="173"/>
      <c r="I4285"/>
      <c r="J4285"/>
      <c r="K4285"/>
      <c r="L4285"/>
      <c r="M4285"/>
      <c r="N4285"/>
      <c r="O4285"/>
      <c r="P4285" s="225"/>
      <c r="Q4285" s="225"/>
      <c r="R4285"/>
      <c r="S4285"/>
      <c r="T4285"/>
      <c r="U4285"/>
      <c r="V4285"/>
      <c r="W4285"/>
      <c r="X4285"/>
    </row>
    <row r="4286" spans="5:24" x14ac:dyDescent="0.3">
      <c r="E4286" s="173"/>
      <c r="F4286" s="173"/>
      <c r="I4286"/>
      <c r="J4286"/>
      <c r="K4286"/>
      <c r="L4286"/>
      <c r="M4286"/>
      <c r="N4286"/>
      <c r="O4286"/>
      <c r="P4286" s="225"/>
      <c r="Q4286" s="225"/>
      <c r="R4286"/>
      <c r="S4286"/>
      <c r="T4286"/>
      <c r="U4286"/>
      <c r="V4286"/>
      <c r="W4286"/>
      <c r="X4286"/>
    </row>
    <row r="4287" spans="5:24" x14ac:dyDescent="0.3">
      <c r="E4287" s="173"/>
      <c r="F4287" s="173"/>
      <c r="I4287"/>
      <c r="J4287"/>
      <c r="K4287"/>
      <c r="L4287"/>
      <c r="M4287"/>
      <c r="N4287"/>
      <c r="O4287"/>
      <c r="P4287" s="225"/>
      <c r="Q4287" s="225"/>
      <c r="R4287"/>
      <c r="S4287"/>
      <c r="T4287"/>
      <c r="U4287"/>
      <c r="V4287"/>
      <c r="W4287"/>
      <c r="X4287"/>
    </row>
    <row r="4288" spans="5:24" x14ac:dyDescent="0.3">
      <c r="E4288" s="173"/>
      <c r="F4288" s="173"/>
      <c r="I4288"/>
      <c r="J4288"/>
      <c r="K4288"/>
      <c r="L4288"/>
      <c r="M4288"/>
      <c r="N4288"/>
      <c r="O4288"/>
      <c r="P4288" s="225"/>
      <c r="Q4288" s="225"/>
      <c r="R4288"/>
      <c r="S4288"/>
      <c r="T4288"/>
      <c r="U4288"/>
      <c r="V4288"/>
      <c r="W4288"/>
      <c r="X4288"/>
    </row>
    <row r="4289" spans="5:24" x14ac:dyDescent="0.3">
      <c r="E4289" s="173"/>
      <c r="F4289" s="173"/>
      <c r="I4289"/>
      <c r="J4289"/>
      <c r="K4289"/>
      <c r="L4289"/>
      <c r="M4289"/>
      <c r="N4289"/>
      <c r="O4289"/>
      <c r="P4289" s="225"/>
      <c r="Q4289" s="225"/>
      <c r="R4289"/>
      <c r="S4289"/>
      <c r="T4289"/>
      <c r="U4289"/>
      <c r="V4289"/>
      <c r="W4289"/>
      <c r="X4289"/>
    </row>
    <row r="4290" spans="5:24" x14ac:dyDescent="0.3">
      <c r="E4290" s="173"/>
      <c r="F4290" s="173"/>
      <c r="I4290"/>
      <c r="J4290"/>
      <c r="K4290"/>
      <c r="L4290"/>
      <c r="M4290"/>
      <c r="N4290"/>
      <c r="O4290"/>
      <c r="P4290" s="225"/>
      <c r="Q4290" s="225"/>
      <c r="R4290"/>
      <c r="S4290"/>
      <c r="T4290"/>
      <c r="U4290"/>
      <c r="V4290"/>
      <c r="W4290"/>
      <c r="X4290"/>
    </row>
    <row r="4291" spans="5:24" x14ac:dyDescent="0.3">
      <c r="E4291" s="173"/>
      <c r="F4291" s="173"/>
      <c r="I4291"/>
      <c r="J4291"/>
      <c r="K4291"/>
      <c r="L4291"/>
      <c r="M4291"/>
      <c r="N4291"/>
      <c r="O4291"/>
      <c r="P4291" s="225"/>
      <c r="Q4291" s="225"/>
      <c r="R4291"/>
      <c r="S4291"/>
      <c r="T4291"/>
      <c r="U4291"/>
      <c r="V4291"/>
      <c r="W4291"/>
      <c r="X4291"/>
    </row>
    <row r="4292" spans="5:24" x14ac:dyDescent="0.3">
      <c r="E4292" s="173"/>
      <c r="F4292" s="173"/>
      <c r="I4292"/>
      <c r="J4292"/>
      <c r="K4292"/>
      <c r="L4292"/>
      <c r="M4292"/>
      <c r="N4292"/>
      <c r="O4292"/>
      <c r="P4292" s="225"/>
      <c r="Q4292" s="225"/>
      <c r="R4292"/>
      <c r="S4292"/>
      <c r="T4292"/>
      <c r="U4292"/>
      <c r="V4292"/>
      <c r="W4292"/>
      <c r="X4292"/>
    </row>
    <row r="4293" spans="5:24" x14ac:dyDescent="0.3">
      <c r="E4293" s="173"/>
      <c r="F4293" s="173"/>
      <c r="I4293"/>
      <c r="J4293"/>
      <c r="K4293"/>
      <c r="L4293"/>
      <c r="M4293"/>
      <c r="N4293"/>
      <c r="O4293"/>
      <c r="P4293" s="225"/>
      <c r="Q4293" s="225"/>
      <c r="R4293"/>
      <c r="S4293"/>
      <c r="T4293"/>
      <c r="U4293"/>
      <c r="V4293"/>
      <c r="W4293"/>
      <c r="X4293"/>
    </row>
    <row r="4294" spans="5:24" x14ac:dyDescent="0.3">
      <c r="E4294" s="173"/>
      <c r="F4294" s="173"/>
      <c r="I4294"/>
      <c r="J4294"/>
      <c r="K4294"/>
      <c r="L4294"/>
      <c r="M4294"/>
      <c r="N4294"/>
      <c r="O4294"/>
      <c r="P4294" s="225"/>
      <c r="Q4294" s="225"/>
      <c r="R4294"/>
      <c r="S4294"/>
      <c r="T4294"/>
      <c r="U4294"/>
      <c r="V4294"/>
      <c r="W4294"/>
      <c r="X4294"/>
    </row>
    <row r="4295" spans="5:24" x14ac:dyDescent="0.3">
      <c r="E4295" s="173"/>
      <c r="F4295" s="173"/>
      <c r="I4295"/>
      <c r="J4295"/>
      <c r="K4295"/>
      <c r="L4295"/>
      <c r="M4295"/>
      <c r="N4295"/>
      <c r="O4295"/>
      <c r="P4295" s="225"/>
      <c r="Q4295" s="225"/>
      <c r="R4295"/>
      <c r="S4295"/>
      <c r="T4295"/>
      <c r="U4295"/>
      <c r="V4295"/>
      <c r="W4295"/>
      <c r="X4295"/>
    </row>
    <row r="4296" spans="5:24" x14ac:dyDescent="0.3">
      <c r="E4296" s="173"/>
      <c r="F4296" s="173"/>
      <c r="I4296"/>
      <c r="J4296"/>
      <c r="K4296"/>
      <c r="L4296"/>
      <c r="M4296"/>
      <c r="N4296"/>
      <c r="O4296"/>
      <c r="P4296" s="225"/>
      <c r="Q4296" s="225"/>
      <c r="R4296"/>
      <c r="S4296"/>
      <c r="T4296"/>
      <c r="U4296"/>
      <c r="V4296"/>
      <c r="W4296"/>
      <c r="X4296"/>
    </row>
    <row r="4297" spans="5:24" x14ac:dyDescent="0.3">
      <c r="E4297" s="173"/>
      <c r="F4297" s="173"/>
      <c r="I4297"/>
      <c r="J4297"/>
      <c r="K4297"/>
      <c r="L4297"/>
      <c r="M4297"/>
      <c r="N4297"/>
      <c r="O4297"/>
      <c r="P4297" s="225"/>
      <c r="Q4297" s="225"/>
      <c r="R4297"/>
      <c r="S4297"/>
      <c r="T4297"/>
      <c r="U4297"/>
      <c r="V4297"/>
      <c r="W4297"/>
      <c r="X4297"/>
    </row>
    <row r="4298" spans="5:24" x14ac:dyDescent="0.3">
      <c r="E4298" s="173"/>
      <c r="F4298" s="173"/>
      <c r="I4298"/>
      <c r="J4298"/>
      <c r="K4298"/>
      <c r="L4298"/>
      <c r="M4298"/>
      <c r="N4298"/>
      <c r="O4298"/>
      <c r="P4298" s="225"/>
      <c r="Q4298" s="225"/>
      <c r="R4298"/>
      <c r="S4298"/>
      <c r="T4298"/>
      <c r="U4298"/>
      <c r="V4298"/>
      <c r="W4298"/>
      <c r="X4298"/>
    </row>
    <row r="4299" spans="5:24" x14ac:dyDescent="0.3">
      <c r="E4299" s="173"/>
      <c r="F4299" s="173"/>
      <c r="I4299"/>
      <c r="J4299"/>
      <c r="K4299"/>
      <c r="L4299"/>
      <c r="M4299"/>
      <c r="N4299"/>
      <c r="O4299"/>
      <c r="P4299" s="225"/>
      <c r="Q4299" s="225"/>
      <c r="R4299"/>
      <c r="S4299"/>
      <c r="T4299"/>
      <c r="U4299"/>
      <c r="V4299"/>
      <c r="W4299"/>
      <c r="X4299"/>
    </row>
    <row r="4300" spans="5:24" x14ac:dyDescent="0.3">
      <c r="E4300" s="173"/>
      <c r="F4300" s="173"/>
      <c r="I4300"/>
      <c r="J4300"/>
      <c r="K4300"/>
      <c r="L4300"/>
      <c r="M4300"/>
      <c r="N4300"/>
      <c r="O4300"/>
      <c r="P4300" s="225"/>
      <c r="Q4300" s="225"/>
      <c r="R4300"/>
      <c r="S4300"/>
      <c r="T4300"/>
      <c r="U4300"/>
      <c r="V4300"/>
      <c r="W4300"/>
      <c r="X4300"/>
    </row>
    <row r="4301" spans="5:24" x14ac:dyDescent="0.3">
      <c r="E4301" s="173"/>
      <c r="F4301" s="173"/>
      <c r="I4301"/>
      <c r="J4301"/>
      <c r="K4301"/>
      <c r="L4301"/>
      <c r="M4301"/>
      <c r="N4301"/>
      <c r="O4301"/>
      <c r="P4301" s="225"/>
      <c r="Q4301" s="225"/>
      <c r="R4301"/>
      <c r="S4301"/>
      <c r="T4301"/>
      <c r="U4301"/>
      <c r="V4301"/>
      <c r="W4301"/>
      <c r="X4301"/>
    </row>
    <row r="4302" spans="5:24" x14ac:dyDescent="0.3">
      <c r="E4302" s="173"/>
      <c r="F4302" s="173"/>
      <c r="I4302"/>
      <c r="J4302"/>
      <c r="K4302"/>
      <c r="L4302"/>
      <c r="M4302"/>
      <c r="N4302"/>
      <c r="O4302"/>
      <c r="P4302" s="225"/>
      <c r="Q4302" s="225"/>
      <c r="R4302"/>
      <c r="S4302"/>
      <c r="T4302"/>
      <c r="U4302"/>
      <c r="V4302"/>
      <c r="W4302"/>
      <c r="X4302"/>
    </row>
    <row r="4303" spans="5:24" x14ac:dyDescent="0.3">
      <c r="E4303" s="173"/>
      <c r="F4303" s="173"/>
      <c r="I4303"/>
      <c r="J4303"/>
      <c r="K4303"/>
      <c r="L4303"/>
      <c r="M4303"/>
      <c r="N4303"/>
      <c r="O4303"/>
      <c r="P4303" s="225"/>
      <c r="Q4303" s="225"/>
      <c r="R4303"/>
      <c r="S4303"/>
      <c r="T4303"/>
      <c r="U4303"/>
      <c r="V4303"/>
      <c r="W4303"/>
      <c r="X4303"/>
    </row>
    <row r="4304" spans="5:24" x14ac:dyDescent="0.3">
      <c r="E4304" s="173"/>
      <c r="F4304" s="173"/>
      <c r="I4304"/>
      <c r="J4304"/>
      <c r="K4304"/>
      <c r="L4304"/>
      <c r="M4304"/>
      <c r="N4304"/>
      <c r="O4304"/>
      <c r="P4304" s="225"/>
      <c r="Q4304" s="225"/>
      <c r="R4304"/>
      <c r="S4304"/>
      <c r="T4304"/>
      <c r="U4304"/>
      <c r="V4304"/>
      <c r="W4304"/>
      <c r="X4304"/>
    </row>
    <row r="4305" spans="5:24" x14ac:dyDescent="0.3">
      <c r="E4305" s="173"/>
      <c r="F4305" s="173"/>
      <c r="I4305"/>
      <c r="J4305"/>
      <c r="K4305"/>
      <c r="L4305"/>
      <c r="M4305"/>
      <c r="N4305"/>
      <c r="O4305"/>
      <c r="P4305" s="225"/>
      <c r="Q4305" s="225"/>
      <c r="R4305"/>
      <c r="S4305"/>
      <c r="T4305"/>
      <c r="U4305"/>
      <c r="V4305"/>
      <c r="W4305"/>
      <c r="X4305"/>
    </row>
    <row r="4306" spans="5:24" x14ac:dyDescent="0.3">
      <c r="E4306" s="173"/>
      <c r="F4306" s="173"/>
      <c r="I4306"/>
      <c r="J4306"/>
      <c r="K4306"/>
      <c r="L4306"/>
      <c r="M4306"/>
      <c r="N4306"/>
      <c r="O4306"/>
      <c r="P4306" s="225"/>
      <c r="Q4306" s="225"/>
      <c r="R4306"/>
      <c r="S4306"/>
      <c r="T4306"/>
      <c r="U4306"/>
      <c r="V4306"/>
      <c r="W4306"/>
      <c r="X4306"/>
    </row>
    <row r="4307" spans="5:24" x14ac:dyDescent="0.3">
      <c r="E4307" s="173"/>
      <c r="F4307" s="173"/>
      <c r="I4307"/>
      <c r="J4307"/>
      <c r="K4307"/>
      <c r="L4307"/>
      <c r="M4307"/>
      <c r="N4307"/>
      <c r="O4307"/>
      <c r="P4307" s="225"/>
      <c r="Q4307" s="225"/>
      <c r="R4307"/>
      <c r="S4307"/>
      <c r="T4307"/>
      <c r="U4307"/>
      <c r="V4307"/>
      <c r="W4307"/>
      <c r="X4307"/>
    </row>
    <row r="4308" spans="5:24" x14ac:dyDescent="0.3">
      <c r="E4308" s="173"/>
      <c r="F4308" s="173"/>
      <c r="I4308"/>
      <c r="J4308"/>
      <c r="K4308"/>
      <c r="L4308"/>
      <c r="M4308"/>
      <c r="N4308"/>
      <c r="O4308"/>
      <c r="P4308" s="225"/>
      <c r="Q4308" s="225"/>
      <c r="R4308"/>
      <c r="S4308"/>
      <c r="T4308"/>
      <c r="U4308"/>
      <c r="V4308"/>
      <c r="W4308"/>
      <c r="X4308"/>
    </row>
    <row r="4309" spans="5:24" x14ac:dyDescent="0.3">
      <c r="E4309" s="173"/>
      <c r="F4309" s="173"/>
      <c r="I4309"/>
      <c r="J4309"/>
      <c r="K4309"/>
      <c r="L4309"/>
      <c r="M4309"/>
      <c r="N4309"/>
      <c r="O4309"/>
      <c r="P4309" s="225"/>
      <c r="Q4309" s="225"/>
      <c r="R4309"/>
      <c r="S4309"/>
      <c r="T4309"/>
      <c r="U4309"/>
      <c r="V4309"/>
      <c r="W4309"/>
      <c r="X4309"/>
    </row>
    <row r="4310" spans="5:24" x14ac:dyDescent="0.3">
      <c r="E4310" s="173"/>
      <c r="F4310" s="173"/>
      <c r="I4310"/>
      <c r="J4310"/>
      <c r="K4310"/>
      <c r="L4310"/>
      <c r="M4310"/>
      <c r="N4310"/>
      <c r="O4310"/>
      <c r="P4310" s="225"/>
      <c r="Q4310" s="225"/>
      <c r="R4310"/>
      <c r="S4310"/>
      <c r="T4310"/>
      <c r="U4310"/>
      <c r="V4310"/>
      <c r="W4310"/>
      <c r="X4310"/>
    </row>
    <row r="4311" spans="5:24" x14ac:dyDescent="0.3">
      <c r="E4311" s="173"/>
      <c r="F4311" s="173"/>
      <c r="I4311"/>
      <c r="J4311"/>
      <c r="K4311"/>
      <c r="L4311"/>
      <c r="M4311"/>
      <c r="N4311"/>
      <c r="O4311"/>
      <c r="P4311" s="225"/>
      <c r="Q4311" s="225"/>
      <c r="R4311"/>
      <c r="S4311"/>
      <c r="T4311"/>
      <c r="U4311"/>
      <c r="V4311"/>
      <c r="W4311"/>
      <c r="X4311"/>
    </row>
    <row r="4312" spans="5:24" x14ac:dyDescent="0.3">
      <c r="E4312" s="173"/>
      <c r="F4312" s="173"/>
      <c r="I4312"/>
      <c r="J4312"/>
      <c r="K4312"/>
      <c r="L4312"/>
      <c r="M4312"/>
      <c r="N4312"/>
      <c r="O4312"/>
      <c r="P4312" s="225"/>
      <c r="Q4312" s="225"/>
      <c r="R4312"/>
      <c r="S4312"/>
      <c r="T4312"/>
      <c r="U4312"/>
      <c r="V4312"/>
      <c r="W4312"/>
      <c r="X4312"/>
    </row>
    <row r="4313" spans="5:24" x14ac:dyDescent="0.3">
      <c r="E4313" s="173"/>
      <c r="F4313" s="173"/>
      <c r="I4313"/>
      <c r="J4313"/>
      <c r="K4313"/>
      <c r="L4313"/>
      <c r="M4313"/>
      <c r="N4313"/>
      <c r="O4313"/>
      <c r="P4313" s="225"/>
      <c r="Q4313" s="225"/>
      <c r="R4313"/>
      <c r="S4313"/>
      <c r="T4313"/>
      <c r="U4313"/>
      <c r="V4313"/>
      <c r="W4313"/>
      <c r="X4313"/>
    </row>
    <row r="4314" spans="5:24" x14ac:dyDescent="0.3">
      <c r="E4314" s="173"/>
      <c r="F4314" s="173"/>
      <c r="I4314"/>
      <c r="J4314"/>
      <c r="K4314"/>
      <c r="L4314"/>
      <c r="M4314"/>
      <c r="N4314"/>
      <c r="O4314"/>
      <c r="P4314" s="225"/>
      <c r="Q4314" s="225"/>
      <c r="R4314"/>
      <c r="S4314"/>
      <c r="T4314"/>
      <c r="U4314"/>
      <c r="V4314"/>
      <c r="W4314"/>
      <c r="X4314"/>
    </row>
    <row r="4315" spans="5:24" x14ac:dyDescent="0.3">
      <c r="E4315" s="173"/>
      <c r="F4315" s="173"/>
      <c r="I4315"/>
      <c r="J4315"/>
      <c r="K4315"/>
      <c r="L4315"/>
      <c r="M4315"/>
      <c r="N4315"/>
      <c r="O4315"/>
      <c r="P4315" s="225"/>
      <c r="Q4315" s="225"/>
      <c r="R4315"/>
      <c r="S4315"/>
      <c r="T4315"/>
      <c r="U4315"/>
      <c r="V4315"/>
      <c r="W4315"/>
      <c r="X4315"/>
    </row>
    <row r="4316" spans="5:24" x14ac:dyDescent="0.3">
      <c r="E4316" s="173"/>
      <c r="F4316" s="173"/>
      <c r="I4316"/>
      <c r="J4316"/>
      <c r="K4316"/>
      <c r="L4316"/>
      <c r="M4316"/>
      <c r="N4316"/>
      <c r="O4316"/>
      <c r="P4316" s="225"/>
      <c r="Q4316" s="225"/>
      <c r="R4316"/>
      <c r="S4316"/>
      <c r="T4316"/>
      <c r="U4316"/>
      <c r="V4316"/>
      <c r="W4316"/>
      <c r="X4316"/>
    </row>
    <row r="4317" spans="5:24" x14ac:dyDescent="0.3">
      <c r="E4317" s="173"/>
      <c r="F4317" s="173"/>
      <c r="I4317"/>
      <c r="J4317"/>
      <c r="K4317"/>
      <c r="L4317"/>
      <c r="M4317"/>
      <c r="N4317"/>
      <c r="O4317"/>
      <c r="P4317" s="225"/>
      <c r="Q4317" s="225"/>
      <c r="R4317"/>
      <c r="S4317"/>
      <c r="T4317"/>
      <c r="U4317"/>
      <c r="V4317"/>
      <c r="W4317"/>
      <c r="X4317"/>
    </row>
    <row r="4318" spans="5:24" x14ac:dyDescent="0.3">
      <c r="E4318" s="173"/>
      <c r="F4318" s="173"/>
      <c r="I4318"/>
      <c r="J4318"/>
      <c r="K4318"/>
      <c r="L4318"/>
      <c r="M4318"/>
      <c r="N4318"/>
      <c r="O4318"/>
      <c r="P4318" s="225"/>
      <c r="Q4318" s="225"/>
      <c r="R4318"/>
      <c r="S4318"/>
      <c r="T4318"/>
      <c r="U4318"/>
      <c r="V4318"/>
      <c r="W4318"/>
      <c r="X4318"/>
    </row>
    <row r="4319" spans="5:24" x14ac:dyDescent="0.3">
      <c r="E4319" s="173"/>
      <c r="F4319" s="173"/>
      <c r="I4319"/>
      <c r="J4319"/>
      <c r="K4319"/>
      <c r="L4319"/>
      <c r="M4319"/>
      <c r="N4319"/>
      <c r="O4319"/>
      <c r="P4319" s="225"/>
      <c r="Q4319" s="225"/>
      <c r="R4319"/>
      <c r="S4319"/>
      <c r="T4319"/>
      <c r="U4319"/>
      <c r="V4319"/>
      <c r="W4319"/>
      <c r="X4319"/>
    </row>
    <row r="4320" spans="5:24" x14ac:dyDescent="0.3">
      <c r="E4320" s="173"/>
      <c r="F4320" s="173"/>
      <c r="I4320"/>
      <c r="J4320"/>
      <c r="K4320"/>
      <c r="L4320"/>
      <c r="M4320"/>
      <c r="N4320"/>
      <c r="O4320"/>
      <c r="P4320" s="225"/>
      <c r="Q4320" s="225"/>
      <c r="R4320"/>
      <c r="S4320"/>
      <c r="T4320"/>
      <c r="U4320"/>
      <c r="V4320"/>
      <c r="W4320"/>
      <c r="X4320"/>
    </row>
    <row r="4321" spans="5:24" x14ac:dyDescent="0.3">
      <c r="E4321" s="173"/>
      <c r="F4321" s="173"/>
      <c r="I4321"/>
      <c r="J4321"/>
      <c r="K4321"/>
      <c r="L4321"/>
      <c r="M4321"/>
      <c r="N4321"/>
      <c r="O4321"/>
      <c r="P4321" s="225"/>
      <c r="Q4321" s="225"/>
      <c r="R4321"/>
      <c r="S4321"/>
      <c r="T4321"/>
      <c r="U4321"/>
      <c r="V4321"/>
      <c r="W4321"/>
      <c r="X4321"/>
    </row>
    <row r="4322" spans="5:24" x14ac:dyDescent="0.3">
      <c r="E4322" s="173"/>
      <c r="F4322" s="173"/>
      <c r="I4322"/>
      <c r="J4322"/>
      <c r="K4322"/>
      <c r="L4322"/>
      <c r="M4322"/>
      <c r="N4322"/>
      <c r="O4322"/>
      <c r="P4322" s="225"/>
      <c r="Q4322" s="225"/>
      <c r="R4322"/>
      <c r="S4322"/>
      <c r="T4322"/>
      <c r="U4322"/>
      <c r="V4322"/>
      <c r="W4322"/>
      <c r="X4322"/>
    </row>
    <row r="4323" spans="5:24" x14ac:dyDescent="0.3">
      <c r="E4323" s="173"/>
      <c r="F4323" s="173"/>
      <c r="I4323"/>
      <c r="J4323"/>
      <c r="K4323"/>
      <c r="L4323"/>
      <c r="M4323"/>
      <c r="N4323"/>
      <c r="O4323"/>
      <c r="P4323" s="225"/>
      <c r="Q4323" s="225"/>
      <c r="R4323"/>
      <c r="S4323"/>
      <c r="T4323"/>
      <c r="U4323"/>
      <c r="V4323"/>
      <c r="W4323"/>
      <c r="X4323"/>
    </row>
    <row r="4324" spans="5:24" x14ac:dyDescent="0.3">
      <c r="E4324" s="173"/>
      <c r="F4324" s="173"/>
      <c r="I4324"/>
      <c r="J4324"/>
      <c r="K4324"/>
      <c r="L4324"/>
      <c r="M4324"/>
      <c r="N4324"/>
      <c r="O4324"/>
      <c r="P4324" s="225"/>
      <c r="Q4324" s="225"/>
      <c r="R4324"/>
      <c r="S4324"/>
      <c r="T4324"/>
      <c r="U4324"/>
      <c r="V4324"/>
      <c r="W4324"/>
      <c r="X4324"/>
    </row>
    <row r="4325" spans="5:24" x14ac:dyDescent="0.3">
      <c r="E4325" s="173"/>
      <c r="F4325" s="173"/>
      <c r="I4325"/>
      <c r="J4325"/>
      <c r="K4325"/>
      <c r="L4325"/>
      <c r="M4325"/>
      <c r="N4325"/>
      <c r="O4325"/>
      <c r="P4325" s="225"/>
      <c r="Q4325" s="225"/>
      <c r="R4325"/>
      <c r="S4325"/>
      <c r="T4325"/>
      <c r="U4325"/>
      <c r="V4325"/>
      <c r="W4325"/>
      <c r="X4325"/>
    </row>
    <row r="4326" spans="5:24" x14ac:dyDescent="0.3">
      <c r="E4326" s="173"/>
      <c r="F4326" s="173"/>
      <c r="I4326"/>
      <c r="J4326"/>
      <c r="K4326"/>
      <c r="L4326"/>
      <c r="M4326"/>
      <c r="N4326"/>
      <c r="O4326"/>
      <c r="P4326" s="225"/>
      <c r="Q4326" s="225"/>
      <c r="R4326"/>
      <c r="S4326"/>
      <c r="T4326"/>
      <c r="U4326"/>
      <c r="V4326"/>
      <c r="W4326"/>
      <c r="X4326"/>
    </row>
    <row r="4327" spans="5:24" x14ac:dyDescent="0.3">
      <c r="E4327" s="173"/>
      <c r="F4327" s="173"/>
      <c r="I4327"/>
      <c r="J4327"/>
      <c r="K4327"/>
      <c r="L4327"/>
      <c r="M4327"/>
      <c r="N4327"/>
      <c r="O4327"/>
      <c r="P4327" s="225"/>
      <c r="Q4327" s="225"/>
      <c r="R4327"/>
      <c r="S4327"/>
      <c r="T4327"/>
      <c r="U4327"/>
      <c r="V4327"/>
      <c r="W4327"/>
      <c r="X4327"/>
    </row>
    <row r="4328" spans="5:24" x14ac:dyDescent="0.3">
      <c r="E4328" s="173"/>
      <c r="F4328" s="173"/>
      <c r="I4328"/>
      <c r="J4328"/>
      <c r="K4328"/>
      <c r="L4328"/>
      <c r="M4328"/>
      <c r="N4328"/>
      <c r="O4328"/>
      <c r="P4328" s="225"/>
      <c r="Q4328" s="225"/>
      <c r="R4328"/>
      <c r="S4328"/>
      <c r="T4328"/>
      <c r="U4328"/>
      <c r="V4328"/>
      <c r="W4328"/>
      <c r="X4328"/>
    </row>
    <row r="4329" spans="5:24" x14ac:dyDescent="0.3">
      <c r="E4329" s="173"/>
      <c r="F4329" s="173"/>
      <c r="I4329"/>
      <c r="J4329"/>
      <c r="K4329"/>
      <c r="L4329"/>
      <c r="M4329"/>
      <c r="N4329"/>
      <c r="O4329"/>
      <c r="P4329" s="225"/>
      <c r="Q4329" s="225"/>
      <c r="R4329"/>
      <c r="S4329"/>
      <c r="T4329"/>
      <c r="U4329"/>
      <c r="V4329"/>
      <c r="W4329"/>
      <c r="X4329"/>
    </row>
    <row r="4330" spans="5:24" x14ac:dyDescent="0.3">
      <c r="E4330" s="173"/>
      <c r="F4330" s="173"/>
      <c r="I4330"/>
      <c r="J4330"/>
      <c r="K4330"/>
      <c r="L4330"/>
      <c r="M4330"/>
      <c r="N4330"/>
      <c r="O4330"/>
      <c r="P4330" s="225"/>
      <c r="Q4330" s="225"/>
      <c r="R4330"/>
      <c r="S4330"/>
      <c r="T4330"/>
      <c r="U4330"/>
      <c r="V4330"/>
      <c r="W4330"/>
      <c r="X4330"/>
    </row>
    <row r="4331" spans="5:24" x14ac:dyDescent="0.3">
      <c r="E4331" s="173"/>
      <c r="F4331" s="173"/>
      <c r="I4331"/>
      <c r="J4331"/>
      <c r="K4331"/>
      <c r="L4331"/>
      <c r="M4331"/>
      <c r="N4331"/>
      <c r="O4331"/>
      <c r="P4331" s="225"/>
      <c r="Q4331" s="225"/>
      <c r="R4331"/>
      <c r="S4331"/>
      <c r="T4331"/>
      <c r="U4331"/>
      <c r="V4331"/>
      <c r="W4331"/>
      <c r="X4331"/>
    </row>
    <row r="4332" spans="5:24" x14ac:dyDescent="0.3">
      <c r="E4332" s="173"/>
      <c r="F4332" s="173"/>
      <c r="I4332"/>
      <c r="J4332"/>
      <c r="K4332"/>
      <c r="L4332"/>
      <c r="M4332"/>
      <c r="N4332"/>
      <c r="O4332"/>
      <c r="P4332" s="225"/>
      <c r="Q4332" s="225"/>
      <c r="R4332"/>
      <c r="S4332"/>
      <c r="T4332"/>
      <c r="U4332"/>
      <c r="V4332"/>
      <c r="W4332"/>
      <c r="X4332"/>
    </row>
    <row r="4333" spans="5:24" x14ac:dyDescent="0.3">
      <c r="E4333" s="173"/>
      <c r="F4333" s="173"/>
      <c r="I4333"/>
      <c r="J4333"/>
      <c r="K4333"/>
      <c r="L4333"/>
      <c r="M4333"/>
      <c r="N4333"/>
      <c r="O4333"/>
      <c r="P4333" s="225"/>
      <c r="Q4333" s="225"/>
      <c r="R4333"/>
      <c r="S4333"/>
      <c r="T4333"/>
      <c r="U4333"/>
      <c r="V4333"/>
      <c r="W4333"/>
      <c r="X4333"/>
    </row>
    <row r="4334" spans="5:24" x14ac:dyDescent="0.3">
      <c r="E4334" s="173"/>
      <c r="F4334" s="173"/>
      <c r="I4334"/>
      <c r="J4334"/>
      <c r="K4334"/>
      <c r="L4334"/>
      <c r="M4334"/>
      <c r="N4334"/>
      <c r="O4334"/>
      <c r="P4334" s="225"/>
      <c r="Q4334" s="225"/>
      <c r="R4334"/>
      <c r="S4334"/>
      <c r="T4334"/>
      <c r="U4334"/>
      <c r="V4334"/>
      <c r="W4334"/>
      <c r="X4334"/>
    </row>
    <row r="4335" spans="5:24" x14ac:dyDescent="0.3">
      <c r="E4335" s="173"/>
      <c r="F4335" s="173"/>
      <c r="I4335"/>
      <c r="J4335"/>
      <c r="K4335"/>
      <c r="L4335"/>
      <c r="M4335"/>
      <c r="N4335"/>
      <c r="O4335"/>
      <c r="P4335" s="225"/>
      <c r="Q4335" s="225"/>
      <c r="R4335"/>
      <c r="S4335"/>
      <c r="T4335"/>
      <c r="U4335"/>
      <c r="V4335"/>
      <c r="W4335"/>
      <c r="X4335"/>
    </row>
    <row r="4336" spans="5:24" x14ac:dyDescent="0.3">
      <c r="E4336" s="173"/>
      <c r="F4336" s="173"/>
      <c r="I4336"/>
      <c r="J4336"/>
      <c r="K4336"/>
      <c r="L4336"/>
      <c r="M4336"/>
      <c r="N4336"/>
      <c r="O4336"/>
      <c r="P4336" s="225"/>
      <c r="Q4336" s="225"/>
      <c r="R4336"/>
      <c r="S4336"/>
      <c r="T4336"/>
      <c r="U4336"/>
      <c r="V4336"/>
      <c r="W4336"/>
      <c r="X4336"/>
    </row>
    <row r="4337" spans="5:24" x14ac:dyDescent="0.3">
      <c r="E4337" s="173"/>
      <c r="F4337" s="173"/>
      <c r="I4337"/>
      <c r="J4337"/>
      <c r="K4337"/>
      <c r="L4337"/>
      <c r="M4337"/>
      <c r="N4337"/>
      <c r="O4337"/>
      <c r="P4337" s="225"/>
      <c r="Q4337" s="225"/>
      <c r="R4337"/>
      <c r="S4337"/>
      <c r="T4337"/>
      <c r="U4337"/>
      <c r="V4337"/>
      <c r="W4337"/>
      <c r="X4337"/>
    </row>
    <row r="4338" spans="5:24" x14ac:dyDescent="0.3">
      <c r="E4338" s="173"/>
      <c r="F4338" s="173"/>
      <c r="I4338"/>
      <c r="J4338"/>
      <c r="K4338"/>
      <c r="L4338"/>
      <c r="M4338"/>
      <c r="N4338"/>
      <c r="O4338"/>
      <c r="P4338" s="225"/>
      <c r="Q4338" s="225"/>
      <c r="R4338"/>
      <c r="S4338"/>
      <c r="T4338"/>
      <c r="U4338"/>
      <c r="V4338"/>
      <c r="W4338"/>
      <c r="X4338"/>
    </row>
    <row r="4339" spans="5:24" x14ac:dyDescent="0.3">
      <c r="E4339" s="173"/>
      <c r="F4339" s="173"/>
      <c r="I4339"/>
      <c r="J4339"/>
      <c r="K4339"/>
      <c r="L4339"/>
      <c r="M4339"/>
      <c r="N4339"/>
      <c r="O4339"/>
      <c r="P4339" s="225"/>
      <c r="Q4339" s="225"/>
      <c r="R4339"/>
      <c r="S4339"/>
      <c r="T4339"/>
      <c r="U4339"/>
      <c r="V4339"/>
      <c r="W4339"/>
      <c r="X4339"/>
    </row>
    <row r="4340" spans="5:24" x14ac:dyDescent="0.3">
      <c r="E4340" s="173"/>
      <c r="F4340" s="173"/>
      <c r="I4340"/>
      <c r="J4340"/>
      <c r="K4340"/>
      <c r="L4340"/>
      <c r="M4340"/>
      <c r="N4340"/>
      <c r="O4340"/>
      <c r="P4340" s="225"/>
      <c r="Q4340" s="225"/>
      <c r="R4340"/>
      <c r="S4340"/>
      <c r="T4340"/>
      <c r="U4340"/>
      <c r="V4340"/>
      <c r="W4340"/>
      <c r="X4340"/>
    </row>
    <row r="4341" spans="5:24" x14ac:dyDescent="0.3">
      <c r="E4341" s="173"/>
      <c r="F4341" s="173"/>
      <c r="I4341"/>
      <c r="J4341"/>
      <c r="K4341"/>
      <c r="L4341"/>
      <c r="M4341"/>
      <c r="N4341"/>
      <c r="O4341"/>
      <c r="P4341" s="225"/>
      <c r="Q4341" s="225"/>
      <c r="R4341"/>
      <c r="S4341"/>
      <c r="T4341"/>
      <c r="U4341"/>
      <c r="V4341"/>
      <c r="W4341"/>
      <c r="X4341"/>
    </row>
    <row r="4342" spans="5:24" x14ac:dyDescent="0.3">
      <c r="E4342" s="173"/>
      <c r="F4342" s="173"/>
      <c r="I4342"/>
      <c r="J4342"/>
      <c r="K4342"/>
      <c r="L4342"/>
      <c r="M4342"/>
      <c r="N4342"/>
      <c r="O4342"/>
      <c r="P4342" s="225"/>
      <c r="Q4342" s="225"/>
      <c r="R4342"/>
      <c r="S4342"/>
      <c r="T4342"/>
      <c r="U4342"/>
      <c r="V4342"/>
      <c r="W4342"/>
      <c r="X4342"/>
    </row>
    <row r="4343" spans="5:24" x14ac:dyDescent="0.3">
      <c r="E4343" s="173"/>
      <c r="F4343" s="173"/>
      <c r="I4343"/>
      <c r="J4343"/>
      <c r="K4343"/>
      <c r="L4343"/>
      <c r="M4343"/>
      <c r="N4343"/>
      <c r="O4343"/>
      <c r="P4343" s="225"/>
      <c r="Q4343" s="225"/>
      <c r="R4343"/>
      <c r="S4343"/>
      <c r="T4343"/>
      <c r="U4343"/>
      <c r="V4343"/>
      <c r="W4343"/>
      <c r="X4343"/>
    </row>
    <row r="4344" spans="5:24" x14ac:dyDescent="0.3">
      <c r="E4344" s="173"/>
      <c r="F4344" s="173"/>
      <c r="I4344"/>
      <c r="J4344"/>
      <c r="K4344"/>
      <c r="L4344"/>
      <c r="M4344"/>
      <c r="N4344"/>
      <c r="O4344"/>
      <c r="P4344" s="225"/>
      <c r="Q4344" s="225"/>
      <c r="R4344"/>
      <c r="S4344"/>
      <c r="T4344"/>
      <c r="U4344"/>
      <c r="V4344"/>
      <c r="W4344"/>
      <c r="X4344"/>
    </row>
    <row r="4345" spans="5:24" x14ac:dyDescent="0.3">
      <c r="E4345" s="173"/>
      <c r="F4345" s="173"/>
      <c r="I4345"/>
      <c r="J4345"/>
      <c r="K4345"/>
      <c r="L4345"/>
      <c r="M4345"/>
      <c r="N4345"/>
      <c r="O4345"/>
      <c r="P4345" s="225"/>
      <c r="Q4345" s="225"/>
      <c r="R4345"/>
      <c r="S4345"/>
      <c r="T4345"/>
      <c r="U4345"/>
      <c r="V4345"/>
      <c r="W4345"/>
      <c r="X4345"/>
    </row>
    <row r="4346" spans="5:24" x14ac:dyDescent="0.3">
      <c r="E4346" s="173"/>
      <c r="F4346" s="173"/>
      <c r="I4346"/>
      <c r="J4346"/>
      <c r="K4346"/>
      <c r="L4346"/>
      <c r="M4346"/>
      <c r="N4346"/>
      <c r="O4346"/>
      <c r="P4346" s="225"/>
      <c r="Q4346" s="225"/>
      <c r="R4346"/>
      <c r="S4346"/>
      <c r="T4346"/>
      <c r="U4346"/>
      <c r="V4346"/>
      <c r="W4346"/>
      <c r="X4346"/>
    </row>
    <row r="4347" spans="5:24" x14ac:dyDescent="0.3">
      <c r="E4347" s="173"/>
      <c r="F4347" s="173"/>
      <c r="I4347"/>
      <c r="J4347"/>
      <c r="K4347"/>
      <c r="L4347"/>
      <c r="M4347"/>
      <c r="N4347"/>
      <c r="O4347"/>
      <c r="P4347" s="225"/>
      <c r="Q4347" s="225"/>
      <c r="R4347"/>
      <c r="S4347"/>
      <c r="T4347"/>
      <c r="U4347"/>
      <c r="V4347"/>
      <c r="W4347"/>
      <c r="X4347"/>
    </row>
    <row r="4348" spans="5:24" x14ac:dyDescent="0.3">
      <c r="E4348" s="173"/>
      <c r="F4348" s="173"/>
      <c r="I4348"/>
      <c r="J4348"/>
      <c r="K4348"/>
      <c r="L4348"/>
      <c r="M4348"/>
      <c r="N4348"/>
      <c r="O4348"/>
      <c r="P4348" s="225"/>
      <c r="Q4348" s="225"/>
      <c r="R4348"/>
      <c r="S4348"/>
      <c r="T4348"/>
      <c r="U4348"/>
      <c r="V4348"/>
      <c r="W4348"/>
      <c r="X4348"/>
    </row>
    <row r="4349" spans="5:24" x14ac:dyDescent="0.3">
      <c r="E4349" s="173"/>
      <c r="F4349" s="173"/>
      <c r="I4349"/>
      <c r="J4349"/>
      <c r="K4349"/>
      <c r="L4349"/>
      <c r="M4349"/>
      <c r="N4349"/>
      <c r="O4349"/>
      <c r="P4349" s="225"/>
      <c r="Q4349" s="225"/>
      <c r="R4349"/>
      <c r="S4349"/>
      <c r="T4349"/>
      <c r="U4349"/>
      <c r="V4349"/>
      <c r="W4349"/>
      <c r="X4349"/>
    </row>
    <row r="4350" spans="5:24" x14ac:dyDescent="0.3">
      <c r="E4350" s="173"/>
      <c r="F4350" s="173"/>
      <c r="I4350"/>
      <c r="J4350"/>
      <c r="K4350"/>
      <c r="L4350"/>
      <c r="M4350"/>
      <c r="N4350"/>
      <c r="O4350"/>
      <c r="P4350" s="225"/>
      <c r="Q4350" s="225"/>
      <c r="R4350"/>
      <c r="S4350"/>
      <c r="T4350"/>
      <c r="U4350"/>
      <c r="V4350"/>
      <c r="W4350"/>
      <c r="X4350"/>
    </row>
    <row r="4351" spans="5:24" x14ac:dyDescent="0.3">
      <c r="E4351" s="173"/>
      <c r="F4351" s="173"/>
      <c r="I4351"/>
      <c r="J4351"/>
      <c r="K4351"/>
      <c r="L4351"/>
      <c r="M4351"/>
      <c r="N4351"/>
      <c r="O4351"/>
      <c r="P4351" s="225"/>
      <c r="Q4351" s="225"/>
      <c r="R4351"/>
      <c r="S4351"/>
      <c r="T4351"/>
      <c r="U4351"/>
      <c r="V4351"/>
      <c r="W4351"/>
      <c r="X4351"/>
    </row>
    <row r="4352" spans="5:24" x14ac:dyDescent="0.3">
      <c r="E4352" s="173"/>
      <c r="F4352" s="173"/>
      <c r="I4352"/>
      <c r="J4352"/>
      <c r="K4352"/>
      <c r="L4352"/>
      <c r="M4352"/>
      <c r="N4352"/>
      <c r="O4352"/>
      <c r="P4352" s="225"/>
      <c r="Q4352" s="225"/>
      <c r="R4352"/>
      <c r="S4352"/>
      <c r="T4352"/>
      <c r="U4352"/>
      <c r="V4352"/>
      <c r="W4352"/>
      <c r="X4352"/>
    </row>
    <row r="4353" spans="5:24" x14ac:dyDescent="0.3">
      <c r="E4353" s="173"/>
      <c r="F4353" s="173"/>
      <c r="I4353"/>
      <c r="J4353"/>
      <c r="K4353"/>
      <c r="L4353"/>
      <c r="M4353"/>
      <c r="N4353"/>
      <c r="O4353"/>
      <c r="P4353" s="225"/>
      <c r="Q4353" s="225"/>
      <c r="R4353"/>
      <c r="S4353"/>
      <c r="T4353"/>
      <c r="U4353"/>
      <c r="V4353"/>
      <c r="W4353"/>
      <c r="X4353"/>
    </row>
    <row r="4354" spans="5:24" x14ac:dyDescent="0.3">
      <c r="E4354" s="173"/>
      <c r="F4354" s="173"/>
      <c r="I4354"/>
      <c r="J4354"/>
      <c r="K4354"/>
      <c r="L4354"/>
      <c r="M4354"/>
      <c r="N4354"/>
      <c r="O4354"/>
      <c r="P4354" s="225"/>
      <c r="Q4354" s="225"/>
      <c r="R4354"/>
      <c r="S4354"/>
      <c r="T4354"/>
      <c r="U4354"/>
      <c r="V4354"/>
      <c r="W4354"/>
      <c r="X4354"/>
    </row>
    <row r="4355" spans="5:24" x14ac:dyDescent="0.3">
      <c r="E4355" s="173"/>
      <c r="F4355" s="173"/>
      <c r="I4355"/>
      <c r="J4355"/>
      <c r="K4355"/>
      <c r="L4355"/>
      <c r="M4355"/>
      <c r="N4355"/>
      <c r="O4355"/>
      <c r="P4355" s="225"/>
      <c r="Q4355" s="225"/>
      <c r="R4355"/>
      <c r="S4355"/>
      <c r="T4355"/>
      <c r="U4355"/>
      <c r="V4355"/>
      <c r="W4355"/>
      <c r="X4355"/>
    </row>
    <row r="4356" spans="5:24" x14ac:dyDescent="0.3">
      <c r="E4356" s="173"/>
      <c r="F4356" s="173"/>
      <c r="I4356"/>
      <c r="J4356"/>
      <c r="K4356"/>
      <c r="L4356"/>
      <c r="M4356"/>
      <c r="N4356"/>
      <c r="O4356"/>
      <c r="P4356" s="225"/>
      <c r="Q4356" s="225"/>
      <c r="R4356"/>
      <c r="S4356"/>
      <c r="T4356"/>
      <c r="U4356"/>
      <c r="V4356"/>
      <c r="W4356"/>
      <c r="X4356"/>
    </row>
    <row r="4357" spans="5:24" x14ac:dyDescent="0.3">
      <c r="E4357" s="173"/>
      <c r="F4357" s="173"/>
      <c r="I4357"/>
      <c r="J4357"/>
      <c r="K4357"/>
      <c r="L4357"/>
      <c r="M4357"/>
      <c r="N4357"/>
      <c r="O4357"/>
      <c r="P4357" s="225"/>
      <c r="Q4357" s="225"/>
      <c r="R4357"/>
      <c r="S4357"/>
      <c r="T4357"/>
      <c r="U4357"/>
      <c r="V4357"/>
      <c r="W4357"/>
      <c r="X4357"/>
    </row>
    <row r="4358" spans="5:24" x14ac:dyDescent="0.3">
      <c r="E4358" s="173"/>
      <c r="F4358" s="173"/>
      <c r="I4358"/>
      <c r="J4358"/>
      <c r="K4358"/>
      <c r="L4358"/>
      <c r="M4358"/>
      <c r="N4358"/>
      <c r="O4358"/>
      <c r="P4358" s="225"/>
      <c r="Q4358" s="225"/>
      <c r="R4358"/>
      <c r="S4358"/>
      <c r="T4358"/>
      <c r="U4358"/>
      <c r="V4358"/>
      <c r="W4358"/>
      <c r="X4358"/>
    </row>
    <row r="4359" spans="5:24" x14ac:dyDescent="0.3">
      <c r="E4359" s="173"/>
      <c r="F4359" s="173"/>
      <c r="I4359"/>
      <c r="J4359"/>
      <c r="K4359"/>
      <c r="L4359"/>
      <c r="M4359"/>
      <c r="N4359"/>
      <c r="O4359"/>
      <c r="P4359" s="225"/>
      <c r="Q4359" s="225"/>
      <c r="R4359"/>
      <c r="S4359"/>
      <c r="T4359"/>
      <c r="U4359"/>
      <c r="V4359"/>
      <c r="W4359"/>
      <c r="X4359"/>
    </row>
    <row r="4360" spans="5:24" x14ac:dyDescent="0.3">
      <c r="E4360" s="173"/>
      <c r="F4360" s="173"/>
      <c r="I4360"/>
      <c r="J4360"/>
      <c r="K4360"/>
      <c r="L4360"/>
      <c r="M4360"/>
      <c r="N4360"/>
      <c r="O4360"/>
      <c r="P4360" s="225"/>
      <c r="Q4360" s="225"/>
      <c r="R4360"/>
      <c r="S4360"/>
      <c r="T4360"/>
      <c r="U4360"/>
      <c r="V4360"/>
      <c r="W4360"/>
      <c r="X4360"/>
    </row>
    <row r="4361" spans="5:24" x14ac:dyDescent="0.3">
      <c r="E4361" s="173"/>
      <c r="F4361" s="173"/>
      <c r="I4361"/>
      <c r="J4361"/>
      <c r="K4361"/>
      <c r="L4361"/>
      <c r="M4361"/>
      <c r="N4361"/>
      <c r="O4361"/>
      <c r="P4361" s="225"/>
      <c r="Q4361" s="225"/>
      <c r="R4361"/>
      <c r="S4361"/>
      <c r="T4361"/>
      <c r="U4361"/>
      <c r="V4361"/>
      <c r="W4361"/>
      <c r="X4361"/>
    </row>
    <row r="4362" spans="5:24" x14ac:dyDescent="0.3">
      <c r="E4362" s="173"/>
      <c r="F4362" s="173"/>
      <c r="I4362"/>
      <c r="J4362"/>
      <c r="K4362"/>
      <c r="L4362"/>
      <c r="M4362"/>
      <c r="N4362"/>
      <c r="O4362"/>
      <c r="P4362" s="225"/>
      <c r="Q4362" s="225"/>
      <c r="R4362"/>
      <c r="S4362"/>
      <c r="T4362"/>
      <c r="U4362"/>
      <c r="V4362"/>
      <c r="W4362"/>
      <c r="X4362"/>
    </row>
    <row r="4363" spans="5:24" x14ac:dyDescent="0.3">
      <c r="E4363" s="173"/>
      <c r="F4363" s="173"/>
      <c r="I4363"/>
      <c r="J4363"/>
      <c r="K4363"/>
      <c r="L4363"/>
      <c r="M4363"/>
      <c r="N4363"/>
      <c r="O4363"/>
      <c r="P4363" s="225"/>
      <c r="Q4363" s="225"/>
      <c r="R4363"/>
      <c r="S4363"/>
      <c r="T4363"/>
      <c r="U4363"/>
      <c r="V4363"/>
      <c r="W4363"/>
      <c r="X4363"/>
    </row>
    <row r="4364" spans="5:24" x14ac:dyDescent="0.3">
      <c r="E4364" s="173"/>
      <c r="F4364" s="173"/>
      <c r="I4364"/>
      <c r="J4364"/>
      <c r="K4364"/>
      <c r="L4364"/>
      <c r="M4364"/>
      <c r="N4364"/>
      <c r="O4364"/>
      <c r="P4364" s="225"/>
      <c r="Q4364" s="225"/>
      <c r="R4364"/>
      <c r="S4364"/>
      <c r="T4364"/>
      <c r="U4364"/>
      <c r="V4364"/>
      <c r="W4364"/>
      <c r="X4364"/>
    </row>
    <row r="4365" spans="5:24" x14ac:dyDescent="0.3">
      <c r="E4365" s="173"/>
      <c r="F4365" s="173"/>
      <c r="I4365"/>
      <c r="J4365"/>
      <c r="K4365"/>
      <c r="L4365"/>
      <c r="M4365"/>
      <c r="N4365"/>
      <c r="O4365"/>
      <c r="P4365" s="225"/>
      <c r="Q4365" s="225"/>
      <c r="R4365"/>
      <c r="S4365"/>
      <c r="T4365"/>
      <c r="U4365"/>
      <c r="V4365"/>
      <c r="W4365"/>
      <c r="X4365"/>
    </row>
    <row r="4366" spans="5:24" x14ac:dyDescent="0.3">
      <c r="E4366" s="173"/>
      <c r="F4366" s="173"/>
      <c r="I4366"/>
      <c r="J4366"/>
      <c r="K4366"/>
      <c r="L4366"/>
      <c r="M4366"/>
      <c r="N4366"/>
      <c r="O4366"/>
      <c r="P4366" s="225"/>
      <c r="Q4366" s="225"/>
      <c r="R4366"/>
      <c r="S4366"/>
      <c r="T4366"/>
      <c r="U4366"/>
      <c r="V4366"/>
      <c r="W4366"/>
      <c r="X4366"/>
    </row>
    <row r="4367" spans="5:24" x14ac:dyDescent="0.3">
      <c r="E4367" s="173"/>
      <c r="F4367" s="173"/>
      <c r="I4367"/>
      <c r="J4367"/>
      <c r="K4367"/>
      <c r="L4367"/>
      <c r="M4367"/>
      <c r="N4367"/>
      <c r="O4367"/>
      <c r="P4367" s="225"/>
      <c r="Q4367" s="225"/>
      <c r="R4367"/>
      <c r="S4367"/>
      <c r="T4367"/>
      <c r="U4367"/>
      <c r="V4367"/>
      <c r="W4367"/>
      <c r="X4367"/>
    </row>
    <row r="4368" spans="5:24" x14ac:dyDescent="0.3">
      <c r="E4368" s="173"/>
      <c r="F4368" s="173"/>
      <c r="I4368"/>
      <c r="J4368"/>
      <c r="K4368"/>
      <c r="L4368"/>
      <c r="M4368"/>
      <c r="N4368"/>
      <c r="O4368"/>
      <c r="P4368" s="225"/>
      <c r="Q4368" s="225"/>
      <c r="R4368"/>
      <c r="S4368"/>
      <c r="T4368"/>
      <c r="U4368"/>
      <c r="V4368"/>
      <c r="W4368"/>
      <c r="X4368"/>
    </row>
    <row r="4369" spans="5:24" x14ac:dyDescent="0.3">
      <c r="E4369" s="173"/>
      <c r="F4369" s="173"/>
      <c r="I4369"/>
      <c r="J4369"/>
      <c r="K4369"/>
      <c r="L4369"/>
      <c r="M4369"/>
      <c r="N4369"/>
      <c r="O4369"/>
      <c r="P4369" s="225"/>
      <c r="Q4369" s="225"/>
      <c r="R4369"/>
      <c r="S4369"/>
      <c r="T4369"/>
      <c r="U4369"/>
      <c r="V4369"/>
      <c r="W4369"/>
      <c r="X4369"/>
    </row>
    <row r="4370" spans="5:24" x14ac:dyDescent="0.3">
      <c r="E4370" s="173"/>
      <c r="F4370" s="173"/>
      <c r="I4370"/>
      <c r="J4370"/>
      <c r="K4370"/>
      <c r="L4370"/>
      <c r="M4370"/>
      <c r="N4370"/>
      <c r="O4370"/>
      <c r="P4370" s="225"/>
      <c r="Q4370" s="225"/>
      <c r="R4370"/>
      <c r="S4370"/>
      <c r="T4370"/>
      <c r="U4370"/>
      <c r="V4370"/>
      <c r="W4370"/>
      <c r="X4370"/>
    </row>
    <row r="4371" spans="5:24" x14ac:dyDescent="0.3">
      <c r="E4371" s="173"/>
      <c r="F4371" s="173"/>
      <c r="I4371"/>
      <c r="J4371"/>
      <c r="K4371"/>
      <c r="L4371"/>
      <c r="M4371"/>
      <c r="N4371"/>
      <c r="O4371"/>
      <c r="P4371" s="225"/>
      <c r="Q4371" s="225"/>
      <c r="R4371"/>
      <c r="S4371"/>
      <c r="T4371"/>
      <c r="U4371"/>
      <c r="V4371"/>
      <c r="W4371"/>
      <c r="X4371"/>
    </row>
    <row r="4372" spans="5:24" x14ac:dyDescent="0.3">
      <c r="E4372" s="173"/>
      <c r="F4372" s="173"/>
      <c r="I4372"/>
      <c r="J4372"/>
      <c r="K4372"/>
      <c r="L4372"/>
      <c r="M4372"/>
      <c r="N4372"/>
      <c r="O4372"/>
      <c r="P4372" s="225"/>
      <c r="Q4372" s="225"/>
      <c r="R4372"/>
      <c r="S4372"/>
      <c r="T4372"/>
      <c r="U4372"/>
      <c r="V4372"/>
      <c r="W4372"/>
      <c r="X4372"/>
    </row>
    <row r="4373" spans="5:24" x14ac:dyDescent="0.3">
      <c r="E4373" s="173"/>
      <c r="F4373" s="173"/>
      <c r="I4373"/>
      <c r="J4373"/>
      <c r="K4373"/>
      <c r="L4373"/>
      <c r="M4373"/>
      <c r="N4373"/>
      <c r="O4373"/>
      <c r="P4373" s="225"/>
      <c r="Q4373" s="225"/>
      <c r="R4373"/>
      <c r="S4373"/>
      <c r="T4373"/>
      <c r="U4373"/>
      <c r="V4373"/>
      <c r="W4373"/>
      <c r="X4373"/>
    </row>
    <row r="4374" spans="5:24" x14ac:dyDescent="0.3">
      <c r="E4374" s="173"/>
      <c r="F4374" s="173"/>
      <c r="I4374"/>
      <c r="J4374"/>
      <c r="K4374"/>
      <c r="L4374"/>
      <c r="M4374"/>
      <c r="N4374"/>
      <c r="O4374"/>
      <c r="P4374" s="225"/>
      <c r="Q4374" s="225"/>
      <c r="R4374"/>
      <c r="S4374"/>
      <c r="T4374"/>
      <c r="U4374"/>
      <c r="V4374"/>
      <c r="W4374"/>
      <c r="X4374"/>
    </row>
    <row r="4375" spans="5:24" x14ac:dyDescent="0.3">
      <c r="E4375" s="173"/>
      <c r="F4375" s="173"/>
      <c r="I4375"/>
      <c r="J4375"/>
      <c r="K4375"/>
      <c r="L4375"/>
      <c r="M4375"/>
      <c r="N4375"/>
      <c r="O4375"/>
      <c r="P4375" s="225"/>
      <c r="Q4375" s="225"/>
      <c r="R4375"/>
      <c r="S4375"/>
      <c r="T4375"/>
      <c r="U4375"/>
      <c r="V4375"/>
      <c r="W4375"/>
      <c r="X4375"/>
    </row>
    <row r="4376" spans="5:24" x14ac:dyDescent="0.3">
      <c r="E4376" s="173"/>
      <c r="F4376" s="173"/>
      <c r="I4376"/>
      <c r="J4376"/>
      <c r="K4376"/>
      <c r="L4376"/>
      <c r="M4376"/>
      <c r="N4376"/>
      <c r="O4376"/>
      <c r="P4376" s="225"/>
      <c r="Q4376" s="225"/>
      <c r="R4376"/>
      <c r="S4376"/>
      <c r="T4376"/>
      <c r="U4376"/>
      <c r="V4376"/>
      <c r="W4376"/>
      <c r="X4376"/>
    </row>
    <row r="4377" spans="5:24" x14ac:dyDescent="0.3">
      <c r="E4377" s="173"/>
      <c r="F4377" s="173"/>
      <c r="I4377"/>
      <c r="J4377"/>
      <c r="K4377"/>
      <c r="L4377"/>
      <c r="M4377"/>
      <c r="N4377"/>
      <c r="O4377"/>
      <c r="P4377" s="225"/>
      <c r="Q4377" s="225"/>
      <c r="R4377"/>
      <c r="S4377"/>
      <c r="T4377"/>
      <c r="U4377"/>
      <c r="V4377"/>
      <c r="W4377"/>
      <c r="X4377"/>
    </row>
    <row r="4378" spans="5:24" x14ac:dyDescent="0.3">
      <c r="E4378" s="173"/>
      <c r="F4378" s="173"/>
      <c r="I4378"/>
      <c r="J4378"/>
      <c r="K4378"/>
      <c r="L4378"/>
      <c r="M4378"/>
      <c r="N4378"/>
      <c r="O4378"/>
      <c r="P4378" s="225"/>
      <c r="Q4378" s="225"/>
      <c r="R4378"/>
      <c r="S4378"/>
      <c r="T4378"/>
      <c r="U4378"/>
      <c r="V4378"/>
      <c r="W4378"/>
      <c r="X4378"/>
    </row>
    <row r="4379" spans="5:24" x14ac:dyDescent="0.3">
      <c r="E4379" s="173"/>
      <c r="F4379" s="173"/>
      <c r="I4379"/>
      <c r="J4379"/>
      <c r="K4379"/>
      <c r="L4379"/>
      <c r="M4379"/>
      <c r="N4379"/>
      <c r="O4379"/>
      <c r="P4379" s="225"/>
      <c r="Q4379" s="225"/>
      <c r="R4379"/>
      <c r="S4379"/>
      <c r="T4379"/>
      <c r="U4379"/>
      <c r="V4379"/>
      <c r="W4379"/>
      <c r="X4379"/>
    </row>
    <row r="4380" spans="5:24" x14ac:dyDescent="0.3">
      <c r="E4380" s="173"/>
      <c r="F4380" s="173"/>
      <c r="I4380"/>
      <c r="J4380"/>
      <c r="K4380"/>
      <c r="L4380"/>
      <c r="M4380"/>
      <c r="N4380"/>
      <c r="O4380"/>
      <c r="P4380" s="225"/>
      <c r="Q4380" s="225"/>
      <c r="R4380"/>
      <c r="S4380"/>
      <c r="T4380"/>
      <c r="U4380"/>
      <c r="V4380"/>
      <c r="W4380"/>
      <c r="X4380"/>
    </row>
    <row r="4381" spans="5:24" x14ac:dyDescent="0.3">
      <c r="E4381" s="173"/>
      <c r="F4381" s="173"/>
      <c r="I4381"/>
      <c r="J4381"/>
      <c r="K4381"/>
      <c r="L4381"/>
      <c r="M4381"/>
      <c r="N4381"/>
      <c r="O4381"/>
      <c r="P4381" s="225"/>
      <c r="Q4381" s="225"/>
      <c r="R4381"/>
      <c r="S4381"/>
      <c r="T4381"/>
      <c r="U4381"/>
      <c r="V4381"/>
      <c r="W4381"/>
      <c r="X4381"/>
    </row>
    <row r="4382" spans="5:24" x14ac:dyDescent="0.3">
      <c r="E4382" s="173"/>
      <c r="F4382" s="173"/>
      <c r="I4382"/>
      <c r="J4382"/>
      <c r="K4382"/>
      <c r="L4382"/>
      <c r="M4382"/>
      <c r="N4382"/>
      <c r="O4382"/>
      <c r="P4382" s="225"/>
      <c r="Q4382" s="225"/>
      <c r="R4382"/>
      <c r="S4382"/>
      <c r="T4382"/>
      <c r="U4382"/>
      <c r="V4382"/>
      <c r="W4382"/>
      <c r="X4382"/>
    </row>
    <row r="4383" spans="5:24" x14ac:dyDescent="0.3">
      <c r="E4383" s="173"/>
      <c r="F4383" s="173"/>
      <c r="I4383"/>
      <c r="J4383"/>
      <c r="K4383"/>
      <c r="L4383"/>
      <c r="M4383"/>
      <c r="N4383"/>
      <c r="O4383"/>
      <c r="P4383" s="225"/>
      <c r="Q4383" s="225"/>
      <c r="R4383"/>
      <c r="S4383"/>
      <c r="T4383"/>
      <c r="U4383"/>
      <c r="V4383"/>
      <c r="W4383"/>
      <c r="X4383"/>
    </row>
    <row r="4384" spans="5:24" x14ac:dyDescent="0.3">
      <c r="E4384" s="173"/>
      <c r="F4384" s="173"/>
      <c r="I4384"/>
      <c r="J4384"/>
      <c r="K4384"/>
      <c r="L4384"/>
      <c r="M4384"/>
      <c r="N4384"/>
      <c r="O4384"/>
      <c r="P4384" s="225"/>
      <c r="Q4384" s="225"/>
      <c r="R4384"/>
      <c r="S4384"/>
      <c r="T4384"/>
      <c r="U4384"/>
      <c r="V4384"/>
      <c r="W4384"/>
      <c r="X4384"/>
    </row>
    <row r="4385" spans="5:24" x14ac:dyDescent="0.3">
      <c r="E4385" s="173"/>
      <c r="F4385" s="173"/>
      <c r="I4385"/>
      <c r="J4385"/>
      <c r="K4385"/>
      <c r="L4385"/>
      <c r="M4385"/>
      <c r="N4385"/>
      <c r="O4385"/>
      <c r="P4385" s="225"/>
      <c r="Q4385" s="225"/>
      <c r="R4385"/>
      <c r="S4385"/>
      <c r="T4385"/>
      <c r="U4385"/>
      <c r="V4385"/>
      <c r="W4385"/>
      <c r="X4385"/>
    </row>
    <row r="4386" spans="5:24" x14ac:dyDescent="0.3">
      <c r="E4386" s="173"/>
      <c r="F4386" s="173"/>
      <c r="I4386"/>
      <c r="J4386"/>
      <c r="K4386"/>
      <c r="L4386"/>
      <c r="M4386"/>
      <c r="N4386"/>
      <c r="O4386"/>
      <c r="P4386" s="225"/>
      <c r="Q4386" s="225"/>
      <c r="R4386"/>
      <c r="S4386"/>
      <c r="T4386"/>
      <c r="U4386"/>
      <c r="V4386"/>
      <c r="W4386"/>
      <c r="X4386"/>
    </row>
    <row r="4387" spans="5:24" x14ac:dyDescent="0.3">
      <c r="E4387" s="173"/>
      <c r="F4387" s="173"/>
      <c r="I4387"/>
      <c r="J4387"/>
      <c r="K4387"/>
      <c r="L4387"/>
      <c r="M4387"/>
      <c r="N4387"/>
      <c r="O4387"/>
      <c r="P4387" s="225"/>
      <c r="Q4387" s="225"/>
      <c r="R4387"/>
      <c r="S4387"/>
      <c r="T4387"/>
      <c r="U4387"/>
      <c r="V4387"/>
      <c r="W4387"/>
      <c r="X4387"/>
    </row>
    <row r="4388" spans="5:24" x14ac:dyDescent="0.3">
      <c r="E4388" s="173"/>
      <c r="F4388" s="173"/>
      <c r="I4388"/>
      <c r="J4388"/>
      <c r="K4388"/>
      <c r="L4388"/>
      <c r="M4388"/>
      <c r="N4388"/>
      <c r="O4388"/>
      <c r="P4388" s="225"/>
      <c r="Q4388" s="225"/>
      <c r="R4388"/>
      <c r="S4388"/>
      <c r="T4388"/>
      <c r="U4388"/>
      <c r="V4388"/>
      <c r="W4388"/>
      <c r="X4388"/>
    </row>
    <row r="4389" spans="5:24" x14ac:dyDescent="0.3">
      <c r="E4389" s="173"/>
      <c r="F4389" s="173"/>
      <c r="I4389"/>
      <c r="J4389"/>
      <c r="K4389"/>
      <c r="L4389"/>
      <c r="M4389"/>
      <c r="N4389"/>
      <c r="O4389"/>
      <c r="P4389" s="225"/>
      <c r="Q4389" s="225"/>
      <c r="R4389"/>
      <c r="S4389"/>
      <c r="T4389"/>
      <c r="U4389"/>
      <c r="V4389"/>
      <c r="W4389"/>
      <c r="X4389"/>
    </row>
    <row r="4390" spans="5:24" x14ac:dyDescent="0.3">
      <c r="E4390" s="173"/>
      <c r="F4390" s="173"/>
      <c r="I4390"/>
      <c r="J4390"/>
      <c r="K4390"/>
      <c r="L4390"/>
      <c r="M4390"/>
      <c r="N4390"/>
      <c r="O4390"/>
      <c r="P4390" s="225"/>
      <c r="Q4390" s="225"/>
      <c r="R4390"/>
      <c r="S4390"/>
      <c r="T4390"/>
      <c r="U4390"/>
      <c r="V4390"/>
      <c r="W4390"/>
      <c r="X4390"/>
    </row>
    <row r="4391" spans="5:24" x14ac:dyDescent="0.3">
      <c r="E4391" s="173"/>
      <c r="F4391" s="173"/>
      <c r="I4391"/>
      <c r="J4391"/>
      <c r="K4391"/>
      <c r="L4391"/>
      <c r="M4391"/>
      <c r="N4391"/>
      <c r="O4391"/>
      <c r="P4391" s="225"/>
      <c r="Q4391" s="225"/>
      <c r="R4391"/>
      <c r="S4391"/>
      <c r="T4391"/>
      <c r="U4391"/>
      <c r="V4391"/>
      <c r="W4391"/>
      <c r="X4391"/>
    </row>
    <row r="4392" spans="5:24" x14ac:dyDescent="0.3">
      <c r="E4392" s="173"/>
      <c r="F4392" s="173"/>
      <c r="I4392"/>
      <c r="J4392"/>
      <c r="K4392"/>
      <c r="L4392"/>
      <c r="M4392"/>
      <c r="N4392"/>
      <c r="O4392"/>
      <c r="P4392" s="225"/>
      <c r="Q4392" s="225"/>
      <c r="R4392"/>
      <c r="S4392"/>
      <c r="T4392"/>
      <c r="U4392"/>
      <c r="V4392"/>
      <c r="W4392"/>
      <c r="X4392"/>
    </row>
    <row r="4393" spans="5:24" x14ac:dyDescent="0.3">
      <c r="E4393" s="173"/>
      <c r="F4393" s="173"/>
      <c r="I4393"/>
      <c r="J4393"/>
      <c r="K4393"/>
      <c r="L4393"/>
      <c r="M4393"/>
      <c r="N4393"/>
      <c r="O4393"/>
      <c r="P4393" s="225"/>
      <c r="Q4393" s="225"/>
      <c r="R4393"/>
      <c r="S4393"/>
      <c r="T4393"/>
      <c r="U4393"/>
      <c r="V4393"/>
      <c r="W4393"/>
      <c r="X4393"/>
    </row>
    <row r="4394" spans="5:24" x14ac:dyDescent="0.3">
      <c r="E4394" s="173"/>
      <c r="F4394" s="173"/>
      <c r="I4394"/>
      <c r="J4394"/>
      <c r="K4394"/>
      <c r="L4394"/>
      <c r="M4394"/>
      <c r="N4394"/>
      <c r="O4394"/>
      <c r="P4394" s="225"/>
      <c r="Q4394" s="225"/>
      <c r="R4394"/>
      <c r="S4394"/>
      <c r="T4394"/>
      <c r="U4394"/>
      <c r="V4394"/>
      <c r="W4394"/>
      <c r="X4394"/>
    </row>
    <row r="4395" spans="5:24" x14ac:dyDescent="0.3">
      <c r="E4395" s="173"/>
      <c r="F4395" s="173"/>
      <c r="I4395"/>
      <c r="J4395"/>
      <c r="K4395"/>
      <c r="L4395"/>
      <c r="M4395"/>
      <c r="N4395"/>
      <c r="O4395"/>
      <c r="P4395" s="225"/>
      <c r="Q4395" s="225"/>
      <c r="R4395"/>
      <c r="S4395"/>
      <c r="T4395"/>
      <c r="U4395"/>
      <c r="V4395"/>
      <c r="W4395"/>
      <c r="X4395"/>
    </row>
    <row r="4396" spans="5:24" x14ac:dyDescent="0.3">
      <c r="E4396" s="173"/>
      <c r="F4396" s="173"/>
      <c r="I4396"/>
      <c r="J4396"/>
      <c r="K4396"/>
      <c r="L4396"/>
      <c r="M4396"/>
      <c r="N4396"/>
      <c r="O4396"/>
      <c r="P4396" s="225"/>
      <c r="Q4396" s="225"/>
      <c r="R4396"/>
      <c r="S4396"/>
      <c r="T4396"/>
      <c r="U4396"/>
      <c r="V4396"/>
      <c r="W4396"/>
      <c r="X4396"/>
    </row>
    <row r="4397" spans="5:24" x14ac:dyDescent="0.3">
      <c r="E4397" s="173"/>
      <c r="F4397" s="173"/>
      <c r="I4397"/>
      <c r="J4397"/>
      <c r="K4397"/>
      <c r="L4397"/>
      <c r="M4397"/>
      <c r="N4397"/>
      <c r="O4397"/>
      <c r="P4397" s="225"/>
      <c r="Q4397" s="225"/>
      <c r="R4397"/>
      <c r="S4397"/>
      <c r="T4397"/>
      <c r="U4397"/>
      <c r="V4397"/>
      <c r="W4397"/>
      <c r="X4397"/>
    </row>
    <row r="4398" spans="5:24" x14ac:dyDescent="0.3">
      <c r="E4398" s="173"/>
      <c r="F4398" s="173"/>
      <c r="I4398"/>
      <c r="J4398"/>
      <c r="K4398"/>
      <c r="L4398"/>
      <c r="M4398"/>
      <c r="N4398"/>
      <c r="O4398"/>
      <c r="P4398" s="225"/>
      <c r="Q4398" s="225"/>
      <c r="R4398"/>
      <c r="S4398"/>
      <c r="T4398"/>
      <c r="U4398"/>
      <c r="V4398"/>
      <c r="W4398"/>
      <c r="X4398"/>
    </row>
    <row r="4399" spans="5:24" x14ac:dyDescent="0.3">
      <c r="E4399" s="173"/>
      <c r="F4399" s="173"/>
      <c r="I4399"/>
      <c r="J4399"/>
      <c r="K4399"/>
      <c r="L4399"/>
      <c r="M4399"/>
      <c r="N4399"/>
      <c r="O4399"/>
      <c r="P4399" s="225"/>
      <c r="Q4399" s="225"/>
      <c r="R4399"/>
      <c r="S4399"/>
      <c r="T4399"/>
      <c r="U4399"/>
      <c r="V4399"/>
      <c r="W4399"/>
      <c r="X4399"/>
    </row>
    <row r="4400" spans="5:24" x14ac:dyDescent="0.3">
      <c r="E4400" s="173"/>
      <c r="F4400" s="173"/>
      <c r="I4400"/>
      <c r="J4400"/>
      <c r="K4400"/>
      <c r="L4400"/>
      <c r="M4400"/>
      <c r="N4400"/>
      <c r="O4400"/>
      <c r="P4400" s="225"/>
      <c r="Q4400" s="225"/>
      <c r="R4400"/>
      <c r="S4400"/>
      <c r="T4400"/>
      <c r="U4400"/>
      <c r="V4400"/>
      <c r="W4400"/>
      <c r="X4400"/>
    </row>
    <row r="4401" spans="5:24" x14ac:dyDescent="0.3">
      <c r="E4401" s="173"/>
      <c r="F4401" s="173"/>
      <c r="I4401"/>
      <c r="J4401"/>
      <c r="K4401"/>
      <c r="L4401"/>
      <c r="M4401"/>
      <c r="N4401"/>
      <c r="O4401"/>
      <c r="P4401" s="225"/>
      <c r="Q4401" s="225"/>
      <c r="R4401"/>
      <c r="S4401"/>
      <c r="T4401"/>
      <c r="U4401"/>
      <c r="V4401"/>
      <c r="W4401"/>
      <c r="X4401"/>
    </row>
    <row r="4402" spans="5:24" x14ac:dyDescent="0.3">
      <c r="E4402" s="173"/>
      <c r="F4402" s="173"/>
      <c r="I4402"/>
      <c r="J4402"/>
      <c r="K4402"/>
      <c r="L4402"/>
      <c r="M4402"/>
      <c r="N4402"/>
      <c r="O4402"/>
      <c r="P4402" s="225"/>
      <c r="Q4402" s="225"/>
      <c r="R4402"/>
      <c r="S4402"/>
      <c r="T4402"/>
      <c r="U4402"/>
      <c r="V4402"/>
      <c r="W4402"/>
      <c r="X4402"/>
    </row>
    <row r="4403" spans="5:24" x14ac:dyDescent="0.3">
      <c r="E4403" s="173"/>
      <c r="F4403" s="173"/>
      <c r="I4403"/>
      <c r="J4403"/>
      <c r="K4403"/>
      <c r="L4403"/>
      <c r="M4403"/>
      <c r="N4403"/>
      <c r="O4403"/>
      <c r="P4403" s="225"/>
      <c r="Q4403" s="225"/>
      <c r="R4403"/>
      <c r="S4403"/>
      <c r="T4403"/>
      <c r="U4403"/>
      <c r="V4403"/>
      <c r="W4403"/>
      <c r="X4403"/>
    </row>
    <row r="4404" spans="5:24" x14ac:dyDescent="0.3">
      <c r="E4404" s="173"/>
      <c r="F4404" s="173"/>
      <c r="I4404"/>
      <c r="J4404"/>
      <c r="K4404"/>
      <c r="L4404"/>
      <c r="M4404"/>
      <c r="N4404"/>
      <c r="O4404"/>
      <c r="P4404" s="225"/>
      <c r="Q4404" s="225"/>
      <c r="R4404"/>
      <c r="S4404"/>
      <c r="T4404"/>
      <c r="U4404"/>
      <c r="V4404"/>
      <c r="W4404"/>
      <c r="X4404"/>
    </row>
    <row r="4405" spans="5:24" x14ac:dyDescent="0.3">
      <c r="E4405" s="173"/>
      <c r="F4405" s="173"/>
      <c r="I4405"/>
      <c r="J4405"/>
      <c r="K4405"/>
      <c r="L4405"/>
      <c r="M4405"/>
      <c r="N4405"/>
      <c r="O4405"/>
      <c r="P4405" s="225"/>
      <c r="Q4405" s="225"/>
      <c r="R4405"/>
      <c r="S4405"/>
      <c r="T4405"/>
      <c r="U4405"/>
      <c r="V4405"/>
      <c r="W4405"/>
      <c r="X4405"/>
    </row>
    <row r="4406" spans="5:24" x14ac:dyDescent="0.3">
      <c r="E4406" s="173"/>
      <c r="F4406" s="173"/>
      <c r="I4406"/>
      <c r="J4406"/>
      <c r="K4406"/>
      <c r="L4406"/>
      <c r="M4406"/>
      <c r="N4406"/>
      <c r="O4406"/>
      <c r="P4406" s="225"/>
      <c r="Q4406" s="225"/>
      <c r="R4406"/>
      <c r="S4406"/>
      <c r="T4406"/>
      <c r="U4406"/>
      <c r="V4406"/>
      <c r="W4406"/>
      <c r="X4406"/>
    </row>
    <row r="4407" spans="5:24" x14ac:dyDescent="0.3">
      <c r="E4407" s="173"/>
      <c r="F4407" s="173"/>
      <c r="I4407"/>
      <c r="J4407"/>
      <c r="K4407"/>
      <c r="L4407"/>
      <c r="M4407"/>
      <c r="N4407"/>
      <c r="O4407"/>
      <c r="P4407" s="225"/>
      <c r="Q4407" s="225"/>
      <c r="R4407"/>
      <c r="S4407"/>
      <c r="T4407"/>
      <c r="U4407"/>
      <c r="V4407"/>
      <c r="W4407"/>
      <c r="X4407"/>
    </row>
    <row r="4408" spans="5:24" x14ac:dyDescent="0.3">
      <c r="E4408" s="173"/>
      <c r="F4408" s="173"/>
      <c r="I4408"/>
      <c r="J4408"/>
      <c r="K4408"/>
      <c r="L4408"/>
      <c r="M4408"/>
      <c r="N4408"/>
      <c r="O4408"/>
      <c r="P4408" s="225"/>
      <c r="Q4408" s="225"/>
      <c r="R4408"/>
      <c r="S4408"/>
      <c r="T4408"/>
      <c r="U4408"/>
      <c r="V4408"/>
      <c r="W4408"/>
      <c r="X4408"/>
    </row>
    <row r="4409" spans="5:24" x14ac:dyDescent="0.3">
      <c r="E4409" s="173"/>
      <c r="F4409" s="173"/>
      <c r="I4409"/>
      <c r="J4409"/>
      <c r="K4409"/>
      <c r="L4409"/>
      <c r="M4409"/>
      <c r="N4409"/>
      <c r="O4409"/>
      <c r="P4409" s="225"/>
      <c r="Q4409" s="225"/>
      <c r="R4409"/>
      <c r="S4409"/>
      <c r="T4409"/>
      <c r="U4409"/>
      <c r="V4409"/>
      <c r="W4409"/>
      <c r="X4409"/>
    </row>
    <row r="4410" spans="5:24" x14ac:dyDescent="0.3">
      <c r="E4410" s="173"/>
      <c r="F4410" s="173"/>
      <c r="I4410"/>
      <c r="J4410"/>
      <c r="K4410"/>
      <c r="L4410"/>
      <c r="M4410"/>
      <c r="N4410"/>
      <c r="O4410"/>
      <c r="P4410" s="225"/>
      <c r="Q4410" s="225"/>
      <c r="R4410"/>
      <c r="S4410"/>
      <c r="T4410"/>
      <c r="U4410"/>
      <c r="V4410"/>
      <c r="W4410"/>
      <c r="X4410"/>
    </row>
    <row r="4411" spans="5:24" x14ac:dyDescent="0.3">
      <c r="E4411" s="173"/>
      <c r="F4411" s="173"/>
      <c r="I4411"/>
      <c r="J4411"/>
      <c r="K4411"/>
      <c r="L4411"/>
      <c r="M4411"/>
      <c r="N4411"/>
      <c r="O4411"/>
      <c r="P4411" s="225"/>
      <c r="Q4411" s="225"/>
      <c r="R4411"/>
      <c r="S4411"/>
      <c r="T4411"/>
      <c r="U4411"/>
      <c r="V4411"/>
      <c r="W4411"/>
      <c r="X4411"/>
    </row>
    <row r="4412" spans="5:24" x14ac:dyDescent="0.3">
      <c r="E4412" s="173"/>
      <c r="F4412" s="173"/>
      <c r="I4412"/>
      <c r="J4412"/>
      <c r="K4412"/>
      <c r="L4412"/>
      <c r="M4412"/>
      <c r="N4412"/>
      <c r="O4412"/>
      <c r="P4412" s="225"/>
      <c r="Q4412" s="225"/>
      <c r="R4412"/>
      <c r="S4412"/>
      <c r="T4412"/>
      <c r="U4412"/>
      <c r="V4412"/>
      <c r="W4412"/>
      <c r="X4412"/>
    </row>
    <row r="4413" spans="5:24" x14ac:dyDescent="0.3">
      <c r="E4413" s="173"/>
      <c r="F4413" s="173"/>
      <c r="I4413"/>
      <c r="J4413"/>
      <c r="K4413"/>
      <c r="L4413"/>
      <c r="M4413"/>
      <c r="N4413"/>
      <c r="O4413"/>
      <c r="P4413" s="225"/>
      <c r="Q4413" s="225"/>
      <c r="R4413"/>
      <c r="S4413"/>
      <c r="T4413"/>
      <c r="U4413"/>
      <c r="V4413"/>
      <c r="W4413"/>
      <c r="X4413"/>
    </row>
    <row r="4414" spans="5:24" x14ac:dyDescent="0.3">
      <c r="E4414" s="173"/>
      <c r="F4414" s="173"/>
      <c r="I4414"/>
      <c r="J4414"/>
      <c r="K4414"/>
      <c r="L4414"/>
      <c r="M4414"/>
      <c r="N4414"/>
      <c r="O4414"/>
      <c r="P4414" s="225"/>
      <c r="Q4414" s="225"/>
      <c r="R4414"/>
      <c r="S4414"/>
      <c r="T4414"/>
      <c r="U4414"/>
      <c r="V4414"/>
      <c r="W4414"/>
      <c r="X4414"/>
    </row>
    <row r="4415" spans="5:24" x14ac:dyDescent="0.3">
      <c r="E4415" s="173"/>
      <c r="F4415" s="173"/>
      <c r="I4415"/>
      <c r="J4415"/>
      <c r="K4415"/>
      <c r="L4415"/>
      <c r="M4415"/>
      <c r="N4415"/>
      <c r="O4415"/>
      <c r="P4415" s="225"/>
      <c r="Q4415" s="225"/>
      <c r="R4415"/>
      <c r="S4415"/>
      <c r="T4415"/>
      <c r="U4415"/>
      <c r="V4415"/>
      <c r="W4415"/>
      <c r="X4415"/>
    </row>
    <row r="4416" spans="5:24" x14ac:dyDescent="0.3">
      <c r="E4416" s="173"/>
      <c r="F4416" s="173"/>
      <c r="I4416"/>
      <c r="J4416"/>
      <c r="K4416"/>
      <c r="L4416"/>
      <c r="M4416"/>
      <c r="N4416"/>
      <c r="O4416"/>
      <c r="P4416" s="225"/>
      <c r="Q4416" s="225"/>
      <c r="R4416"/>
      <c r="S4416"/>
      <c r="T4416"/>
      <c r="U4416"/>
      <c r="V4416"/>
      <c r="W4416"/>
      <c r="X4416"/>
    </row>
    <row r="4417" spans="5:24" x14ac:dyDescent="0.3">
      <c r="E4417" s="173"/>
      <c r="F4417" s="173"/>
      <c r="I4417"/>
      <c r="J4417"/>
      <c r="K4417"/>
      <c r="L4417"/>
      <c r="M4417"/>
      <c r="N4417"/>
      <c r="O4417"/>
      <c r="P4417" s="225"/>
      <c r="Q4417" s="225"/>
      <c r="R4417"/>
      <c r="S4417"/>
      <c r="T4417"/>
      <c r="U4417"/>
      <c r="V4417"/>
      <c r="W4417"/>
      <c r="X4417"/>
    </row>
    <row r="4418" spans="5:24" x14ac:dyDescent="0.3">
      <c r="E4418" s="173"/>
      <c r="F4418" s="173"/>
      <c r="I4418"/>
      <c r="J4418"/>
      <c r="K4418"/>
      <c r="L4418"/>
      <c r="M4418"/>
      <c r="N4418"/>
      <c r="O4418"/>
      <c r="P4418" s="225"/>
      <c r="Q4418" s="225"/>
      <c r="R4418"/>
      <c r="S4418"/>
      <c r="T4418"/>
      <c r="U4418"/>
      <c r="V4418"/>
      <c r="W4418"/>
      <c r="X4418"/>
    </row>
    <row r="4419" spans="5:24" x14ac:dyDescent="0.3">
      <c r="E4419" s="173"/>
      <c r="F4419" s="173"/>
      <c r="I4419"/>
      <c r="J4419"/>
      <c r="K4419"/>
      <c r="L4419"/>
      <c r="M4419"/>
      <c r="N4419"/>
      <c r="O4419"/>
      <c r="P4419" s="225"/>
      <c r="Q4419" s="225"/>
      <c r="R4419"/>
      <c r="S4419"/>
      <c r="T4419"/>
      <c r="U4419"/>
      <c r="V4419"/>
      <c r="W4419"/>
      <c r="X4419"/>
    </row>
    <row r="4420" spans="5:24" x14ac:dyDescent="0.3">
      <c r="E4420" s="173"/>
      <c r="F4420" s="173"/>
      <c r="I4420"/>
      <c r="J4420"/>
      <c r="K4420"/>
      <c r="L4420"/>
      <c r="M4420"/>
      <c r="N4420"/>
      <c r="O4420"/>
      <c r="P4420" s="225"/>
      <c r="Q4420" s="225"/>
      <c r="R4420"/>
      <c r="S4420"/>
      <c r="T4420"/>
      <c r="U4420"/>
      <c r="V4420"/>
      <c r="W4420"/>
      <c r="X4420"/>
    </row>
    <row r="4421" spans="5:24" x14ac:dyDescent="0.3">
      <c r="E4421" s="173"/>
      <c r="F4421" s="173"/>
      <c r="I4421"/>
      <c r="J4421"/>
      <c r="K4421"/>
      <c r="L4421"/>
      <c r="M4421"/>
      <c r="N4421"/>
      <c r="O4421"/>
      <c r="P4421" s="225"/>
      <c r="Q4421" s="225"/>
      <c r="R4421"/>
      <c r="S4421"/>
      <c r="T4421"/>
      <c r="U4421"/>
      <c r="V4421"/>
      <c r="W4421"/>
      <c r="X4421"/>
    </row>
    <row r="4422" spans="5:24" x14ac:dyDescent="0.3">
      <c r="E4422" s="173"/>
      <c r="F4422" s="173"/>
      <c r="I4422"/>
      <c r="J4422"/>
      <c r="K4422"/>
      <c r="L4422"/>
      <c r="M4422"/>
      <c r="N4422"/>
      <c r="O4422"/>
      <c r="P4422" s="225"/>
      <c r="Q4422" s="225"/>
      <c r="R4422"/>
      <c r="S4422"/>
      <c r="T4422"/>
      <c r="U4422"/>
      <c r="V4422"/>
      <c r="W4422"/>
      <c r="X4422"/>
    </row>
    <row r="4423" spans="5:24" x14ac:dyDescent="0.3">
      <c r="E4423" s="173"/>
      <c r="F4423" s="173"/>
      <c r="I4423"/>
      <c r="J4423"/>
      <c r="K4423"/>
      <c r="L4423"/>
      <c r="M4423"/>
      <c r="N4423"/>
      <c r="O4423"/>
      <c r="P4423" s="225"/>
      <c r="Q4423" s="225"/>
      <c r="R4423"/>
      <c r="S4423"/>
      <c r="T4423"/>
      <c r="U4423"/>
      <c r="V4423"/>
      <c r="W4423"/>
      <c r="X4423"/>
    </row>
    <row r="4424" spans="5:24" x14ac:dyDescent="0.3">
      <c r="E4424" s="173"/>
      <c r="F4424" s="173"/>
      <c r="I4424"/>
      <c r="J4424"/>
      <c r="K4424"/>
      <c r="L4424"/>
      <c r="M4424"/>
      <c r="N4424"/>
      <c r="O4424"/>
      <c r="P4424" s="225"/>
      <c r="Q4424" s="225"/>
      <c r="R4424"/>
      <c r="S4424"/>
      <c r="T4424"/>
      <c r="U4424"/>
      <c r="V4424"/>
      <c r="W4424"/>
      <c r="X4424"/>
    </row>
    <row r="4425" spans="5:24" x14ac:dyDescent="0.3">
      <c r="E4425" s="173"/>
      <c r="F4425" s="173"/>
      <c r="I4425"/>
      <c r="J4425"/>
      <c r="K4425"/>
      <c r="L4425"/>
      <c r="M4425"/>
      <c r="N4425"/>
      <c r="O4425"/>
      <c r="P4425" s="225"/>
      <c r="Q4425" s="225"/>
      <c r="R4425"/>
      <c r="S4425"/>
      <c r="T4425"/>
      <c r="U4425"/>
      <c r="V4425"/>
      <c r="W4425"/>
      <c r="X4425"/>
    </row>
    <row r="4426" spans="5:24" x14ac:dyDescent="0.3">
      <c r="E4426" s="173"/>
      <c r="F4426" s="173"/>
      <c r="I4426"/>
      <c r="J4426"/>
      <c r="K4426"/>
      <c r="L4426"/>
      <c r="M4426"/>
      <c r="N4426"/>
      <c r="O4426"/>
      <c r="P4426" s="225"/>
      <c r="Q4426" s="225"/>
      <c r="R4426"/>
      <c r="S4426"/>
      <c r="T4426"/>
      <c r="U4426"/>
      <c r="V4426"/>
      <c r="W4426"/>
      <c r="X4426"/>
    </row>
    <row r="4427" spans="5:24" x14ac:dyDescent="0.3">
      <c r="E4427" s="173"/>
      <c r="F4427" s="173"/>
      <c r="I4427"/>
      <c r="J4427"/>
      <c r="K4427"/>
      <c r="L4427"/>
      <c r="M4427"/>
      <c r="N4427"/>
      <c r="O4427"/>
      <c r="P4427" s="225"/>
      <c r="Q4427" s="225"/>
      <c r="R4427"/>
      <c r="S4427"/>
      <c r="T4427"/>
      <c r="U4427"/>
      <c r="V4427"/>
      <c r="W4427"/>
      <c r="X4427"/>
    </row>
    <row r="4428" spans="5:24" x14ac:dyDescent="0.3">
      <c r="E4428" s="173"/>
      <c r="F4428" s="173"/>
      <c r="I4428"/>
      <c r="J4428"/>
      <c r="K4428"/>
      <c r="L4428"/>
      <c r="M4428"/>
      <c r="N4428"/>
      <c r="O4428"/>
      <c r="P4428" s="225"/>
      <c r="Q4428" s="225"/>
      <c r="R4428"/>
      <c r="S4428"/>
      <c r="T4428"/>
      <c r="U4428"/>
      <c r="V4428"/>
      <c r="W4428"/>
      <c r="X4428"/>
    </row>
    <row r="4429" spans="5:24" x14ac:dyDescent="0.3">
      <c r="E4429" s="173"/>
      <c r="F4429" s="173"/>
      <c r="I4429"/>
      <c r="J4429"/>
      <c r="K4429"/>
      <c r="L4429"/>
      <c r="M4429"/>
      <c r="N4429"/>
      <c r="O4429"/>
      <c r="P4429" s="225"/>
      <c r="Q4429" s="225"/>
      <c r="R4429"/>
      <c r="S4429"/>
      <c r="T4429"/>
      <c r="U4429"/>
      <c r="V4429"/>
      <c r="W4429"/>
      <c r="X4429"/>
    </row>
    <row r="4430" spans="5:24" x14ac:dyDescent="0.3">
      <c r="E4430" s="173"/>
      <c r="F4430" s="173"/>
      <c r="I4430"/>
      <c r="J4430"/>
      <c r="K4430"/>
      <c r="L4430"/>
      <c r="M4430"/>
      <c r="N4430"/>
      <c r="O4430"/>
      <c r="P4430" s="225"/>
      <c r="Q4430" s="225"/>
      <c r="R4430"/>
      <c r="S4430"/>
      <c r="T4430"/>
      <c r="U4430"/>
      <c r="V4430"/>
      <c r="W4430"/>
      <c r="X4430"/>
    </row>
    <row r="4431" spans="5:24" x14ac:dyDescent="0.3">
      <c r="E4431" s="173"/>
      <c r="F4431" s="173"/>
      <c r="I4431"/>
      <c r="J4431"/>
      <c r="K4431"/>
      <c r="L4431"/>
      <c r="M4431"/>
      <c r="N4431"/>
      <c r="O4431"/>
      <c r="P4431" s="225"/>
      <c r="Q4431" s="225"/>
      <c r="R4431"/>
      <c r="S4431"/>
      <c r="T4431"/>
      <c r="U4431"/>
      <c r="V4431"/>
      <c r="W4431"/>
      <c r="X4431"/>
    </row>
    <row r="4432" spans="5:24" x14ac:dyDescent="0.3">
      <c r="E4432" s="173"/>
      <c r="F4432" s="173"/>
      <c r="I4432"/>
      <c r="J4432"/>
      <c r="K4432"/>
      <c r="L4432"/>
      <c r="M4432"/>
      <c r="N4432"/>
      <c r="O4432"/>
      <c r="P4432" s="225"/>
      <c r="Q4432" s="225"/>
      <c r="R4432"/>
      <c r="S4432"/>
      <c r="T4432"/>
      <c r="U4432"/>
      <c r="V4432"/>
      <c r="W4432"/>
      <c r="X4432"/>
    </row>
    <row r="4433" spans="5:24" x14ac:dyDescent="0.3">
      <c r="E4433" s="173"/>
      <c r="F4433" s="173"/>
      <c r="I4433"/>
      <c r="J4433"/>
      <c r="K4433"/>
      <c r="L4433"/>
      <c r="M4433"/>
      <c r="N4433"/>
      <c r="O4433"/>
      <c r="P4433" s="225"/>
      <c r="Q4433" s="225"/>
      <c r="R4433"/>
      <c r="S4433"/>
      <c r="T4433"/>
      <c r="U4433"/>
      <c r="V4433"/>
      <c r="W4433"/>
      <c r="X4433"/>
    </row>
    <row r="4434" spans="5:24" x14ac:dyDescent="0.3">
      <c r="E4434" s="173"/>
      <c r="F4434" s="173"/>
      <c r="I4434"/>
      <c r="J4434"/>
      <c r="K4434"/>
      <c r="L4434"/>
      <c r="M4434"/>
      <c r="N4434"/>
      <c r="O4434"/>
      <c r="P4434" s="225"/>
      <c r="Q4434" s="225"/>
      <c r="R4434"/>
      <c r="S4434"/>
      <c r="T4434"/>
      <c r="U4434"/>
      <c r="V4434"/>
      <c r="W4434"/>
      <c r="X4434"/>
    </row>
    <row r="4435" spans="5:24" x14ac:dyDescent="0.3">
      <c r="E4435" s="173"/>
      <c r="F4435" s="173"/>
      <c r="I4435"/>
      <c r="J4435"/>
      <c r="K4435"/>
      <c r="L4435"/>
      <c r="M4435"/>
      <c r="N4435"/>
      <c r="O4435"/>
      <c r="P4435" s="225"/>
      <c r="Q4435" s="225"/>
      <c r="R4435"/>
      <c r="S4435"/>
      <c r="T4435"/>
      <c r="U4435"/>
      <c r="V4435"/>
      <c r="W4435"/>
      <c r="X4435"/>
    </row>
    <row r="4436" spans="5:24" x14ac:dyDescent="0.3">
      <c r="E4436" s="173"/>
      <c r="F4436" s="173"/>
      <c r="I4436"/>
      <c r="J4436"/>
      <c r="K4436"/>
      <c r="L4436"/>
      <c r="M4436"/>
      <c r="N4436"/>
      <c r="O4436"/>
      <c r="P4436" s="225"/>
      <c r="Q4436" s="225"/>
      <c r="R4436"/>
      <c r="S4436"/>
      <c r="T4436"/>
      <c r="U4436"/>
      <c r="V4436"/>
      <c r="W4436"/>
      <c r="X4436"/>
    </row>
    <row r="4437" spans="5:24" x14ac:dyDescent="0.3">
      <c r="E4437" s="173"/>
      <c r="F4437" s="173"/>
      <c r="I4437"/>
      <c r="J4437"/>
      <c r="K4437"/>
      <c r="L4437"/>
      <c r="M4437"/>
      <c r="N4437"/>
      <c r="O4437"/>
      <c r="P4437" s="225"/>
      <c r="Q4437" s="225"/>
      <c r="R4437"/>
      <c r="S4437"/>
      <c r="T4437"/>
      <c r="U4437"/>
      <c r="V4437"/>
      <c r="W4437"/>
      <c r="X4437"/>
    </row>
    <row r="4438" spans="5:24" x14ac:dyDescent="0.3">
      <c r="E4438" s="173"/>
      <c r="F4438" s="173"/>
      <c r="I4438"/>
      <c r="J4438"/>
      <c r="K4438"/>
      <c r="L4438"/>
      <c r="M4438"/>
      <c r="N4438"/>
      <c r="O4438"/>
      <c r="P4438" s="225"/>
      <c r="Q4438" s="225"/>
      <c r="R4438"/>
      <c r="S4438"/>
      <c r="T4438"/>
      <c r="U4438"/>
      <c r="V4438"/>
      <c r="W4438"/>
      <c r="X4438"/>
    </row>
    <row r="4439" spans="5:24" x14ac:dyDescent="0.3">
      <c r="E4439" s="173"/>
      <c r="F4439" s="173"/>
      <c r="I4439"/>
      <c r="J4439"/>
      <c r="K4439"/>
      <c r="L4439"/>
      <c r="M4439"/>
      <c r="N4439"/>
      <c r="O4439"/>
      <c r="P4439" s="225"/>
      <c r="Q4439" s="225"/>
      <c r="R4439"/>
      <c r="S4439"/>
      <c r="T4439"/>
      <c r="U4439"/>
      <c r="V4439"/>
      <c r="W4439"/>
      <c r="X4439"/>
    </row>
    <row r="4440" spans="5:24" x14ac:dyDescent="0.3">
      <c r="E4440" s="173"/>
      <c r="F4440" s="173"/>
      <c r="I4440"/>
      <c r="J4440"/>
      <c r="K4440"/>
      <c r="L4440"/>
      <c r="M4440"/>
      <c r="N4440"/>
      <c r="O4440"/>
      <c r="P4440" s="225"/>
      <c r="Q4440" s="225"/>
      <c r="R4440"/>
      <c r="S4440"/>
      <c r="T4440"/>
      <c r="U4440"/>
      <c r="V4440"/>
      <c r="W4440"/>
      <c r="X4440"/>
    </row>
    <row r="4441" spans="5:24" x14ac:dyDescent="0.3">
      <c r="E4441" s="173"/>
      <c r="F4441" s="173"/>
      <c r="I4441"/>
      <c r="J4441"/>
      <c r="K4441"/>
      <c r="L4441"/>
      <c r="M4441"/>
      <c r="N4441"/>
      <c r="O4441"/>
      <c r="P4441" s="225"/>
      <c r="Q4441" s="225"/>
      <c r="R4441"/>
      <c r="S4441"/>
      <c r="T4441"/>
      <c r="U4441"/>
      <c r="V4441"/>
      <c r="W4441"/>
      <c r="X4441"/>
    </row>
    <row r="4442" spans="5:24" x14ac:dyDescent="0.3">
      <c r="E4442" s="173"/>
      <c r="F4442" s="173"/>
      <c r="I4442"/>
      <c r="J4442"/>
      <c r="K4442"/>
      <c r="L4442"/>
      <c r="M4442"/>
      <c r="N4442"/>
      <c r="O4442"/>
      <c r="P4442" s="225"/>
      <c r="Q4442" s="225"/>
      <c r="R4442"/>
      <c r="S4442"/>
      <c r="T4442"/>
      <c r="U4442"/>
      <c r="V4442"/>
      <c r="W4442"/>
      <c r="X4442"/>
    </row>
    <row r="4443" spans="5:24" x14ac:dyDescent="0.3">
      <c r="E4443" s="173"/>
      <c r="F4443" s="173"/>
      <c r="I4443"/>
      <c r="J4443"/>
      <c r="K4443"/>
      <c r="L4443"/>
      <c r="M4443"/>
      <c r="N4443"/>
      <c r="O4443"/>
      <c r="P4443" s="225"/>
      <c r="Q4443" s="225"/>
      <c r="R4443"/>
      <c r="S4443"/>
      <c r="T4443"/>
      <c r="U4443"/>
      <c r="V4443"/>
      <c r="W4443"/>
      <c r="X4443"/>
    </row>
    <row r="4444" spans="5:24" x14ac:dyDescent="0.3">
      <c r="E4444" s="173"/>
      <c r="F4444" s="173"/>
      <c r="I4444"/>
      <c r="J4444"/>
      <c r="K4444"/>
      <c r="L4444"/>
      <c r="M4444"/>
      <c r="N4444"/>
      <c r="O4444"/>
      <c r="P4444" s="225"/>
      <c r="Q4444" s="225"/>
      <c r="R4444"/>
      <c r="S4444"/>
      <c r="T4444"/>
      <c r="U4444"/>
      <c r="V4444"/>
      <c r="W4444"/>
      <c r="X4444"/>
    </row>
    <row r="4445" spans="5:24" x14ac:dyDescent="0.3">
      <c r="E4445" s="173"/>
      <c r="F4445" s="173"/>
      <c r="I4445"/>
      <c r="J4445"/>
      <c r="K4445"/>
      <c r="L4445"/>
      <c r="M4445"/>
      <c r="N4445"/>
      <c r="O4445"/>
      <c r="P4445" s="225"/>
      <c r="Q4445" s="225"/>
      <c r="R4445"/>
      <c r="S4445"/>
      <c r="T4445"/>
      <c r="U4445"/>
      <c r="V4445"/>
      <c r="W4445"/>
      <c r="X4445"/>
    </row>
    <row r="4446" spans="5:24" x14ac:dyDescent="0.3">
      <c r="E4446" s="173"/>
      <c r="F4446" s="173"/>
      <c r="I4446"/>
      <c r="J4446"/>
      <c r="K4446"/>
      <c r="L4446"/>
      <c r="M4446"/>
      <c r="N4446"/>
      <c r="O4446"/>
      <c r="P4446" s="225"/>
      <c r="Q4446" s="225"/>
      <c r="R4446"/>
      <c r="S4446"/>
      <c r="T4446"/>
      <c r="U4446"/>
      <c r="V4446"/>
      <c r="W4446"/>
      <c r="X4446"/>
    </row>
    <row r="4447" spans="5:24" x14ac:dyDescent="0.3">
      <c r="E4447" s="173"/>
      <c r="F4447" s="173"/>
      <c r="I4447"/>
      <c r="J4447"/>
      <c r="K4447"/>
      <c r="L4447"/>
      <c r="M4447"/>
      <c r="N4447"/>
      <c r="O4447"/>
      <c r="P4447" s="225"/>
      <c r="Q4447" s="225"/>
      <c r="R4447"/>
      <c r="S4447"/>
      <c r="T4447"/>
      <c r="U4447"/>
      <c r="V4447"/>
      <c r="W4447"/>
      <c r="X4447"/>
    </row>
    <row r="4448" spans="5:24" x14ac:dyDescent="0.3">
      <c r="E4448" s="173"/>
      <c r="F4448" s="173"/>
      <c r="I4448"/>
      <c r="J4448"/>
      <c r="K4448"/>
      <c r="L4448"/>
      <c r="M4448"/>
      <c r="N4448"/>
      <c r="O4448"/>
      <c r="P4448" s="225"/>
      <c r="Q4448" s="225"/>
      <c r="R4448"/>
      <c r="S4448"/>
      <c r="T4448"/>
      <c r="U4448"/>
      <c r="V4448"/>
      <c r="W4448"/>
      <c r="X4448"/>
    </row>
    <row r="4449" spans="5:24" x14ac:dyDescent="0.3">
      <c r="E4449" s="173"/>
      <c r="F4449" s="173"/>
      <c r="I4449"/>
      <c r="J4449"/>
      <c r="K4449"/>
      <c r="L4449"/>
      <c r="M4449"/>
      <c r="N4449"/>
      <c r="O4449"/>
      <c r="P4449" s="225"/>
      <c r="Q4449" s="225"/>
      <c r="R4449"/>
      <c r="S4449"/>
      <c r="T4449"/>
      <c r="U4449"/>
      <c r="V4449"/>
      <c r="W4449"/>
      <c r="X4449"/>
    </row>
    <row r="4450" spans="5:24" x14ac:dyDescent="0.3">
      <c r="E4450" s="173"/>
      <c r="F4450" s="173"/>
      <c r="I4450"/>
      <c r="J4450"/>
      <c r="K4450"/>
      <c r="L4450"/>
      <c r="M4450"/>
      <c r="N4450"/>
      <c r="O4450"/>
      <c r="P4450" s="225"/>
      <c r="Q4450" s="225"/>
      <c r="R4450"/>
      <c r="S4450"/>
      <c r="T4450"/>
      <c r="U4450"/>
      <c r="V4450"/>
      <c r="W4450"/>
      <c r="X4450"/>
    </row>
    <row r="4451" spans="5:24" x14ac:dyDescent="0.3">
      <c r="E4451" s="173"/>
      <c r="F4451" s="173"/>
      <c r="I4451"/>
      <c r="J4451"/>
      <c r="K4451"/>
      <c r="L4451"/>
      <c r="M4451"/>
      <c r="N4451"/>
      <c r="O4451"/>
      <c r="P4451" s="225"/>
      <c r="Q4451" s="225"/>
      <c r="R4451"/>
      <c r="S4451"/>
      <c r="T4451"/>
      <c r="U4451"/>
      <c r="V4451"/>
      <c r="W4451"/>
      <c r="X4451"/>
    </row>
    <row r="4452" spans="5:24" x14ac:dyDescent="0.3">
      <c r="E4452" s="173"/>
      <c r="F4452" s="173"/>
      <c r="I4452"/>
      <c r="J4452"/>
      <c r="K4452"/>
      <c r="L4452"/>
      <c r="M4452"/>
      <c r="N4452"/>
      <c r="O4452"/>
      <c r="P4452" s="225"/>
      <c r="Q4452" s="225"/>
      <c r="R4452"/>
      <c r="S4452"/>
      <c r="T4452"/>
      <c r="U4452"/>
      <c r="V4452"/>
      <c r="W4452"/>
      <c r="X4452"/>
    </row>
    <row r="4453" spans="5:24" x14ac:dyDescent="0.3">
      <c r="E4453" s="173"/>
      <c r="F4453" s="173"/>
      <c r="I4453"/>
      <c r="J4453"/>
      <c r="K4453"/>
      <c r="L4453"/>
      <c r="M4453"/>
      <c r="N4453"/>
      <c r="O4453"/>
      <c r="P4453" s="225"/>
      <c r="Q4453" s="225"/>
      <c r="R4453"/>
      <c r="S4453"/>
      <c r="T4453"/>
      <c r="U4453"/>
      <c r="V4453"/>
      <c r="W4453"/>
      <c r="X4453"/>
    </row>
    <row r="4454" spans="5:24" x14ac:dyDescent="0.3">
      <c r="E4454" s="173"/>
      <c r="F4454" s="173"/>
      <c r="I4454"/>
      <c r="J4454"/>
      <c r="K4454"/>
      <c r="L4454"/>
      <c r="M4454"/>
      <c r="N4454"/>
      <c r="O4454"/>
      <c r="P4454" s="225"/>
      <c r="Q4454" s="225"/>
      <c r="R4454"/>
      <c r="S4454"/>
      <c r="T4454"/>
      <c r="U4454"/>
      <c r="V4454"/>
      <c r="W4454"/>
      <c r="X4454"/>
    </row>
    <row r="4455" spans="5:24" x14ac:dyDescent="0.3">
      <c r="E4455" s="173"/>
      <c r="F4455" s="173"/>
      <c r="I4455"/>
      <c r="J4455"/>
      <c r="K4455"/>
      <c r="L4455"/>
      <c r="M4455"/>
      <c r="N4455"/>
      <c r="O4455"/>
      <c r="P4455" s="225"/>
      <c r="Q4455" s="225"/>
      <c r="R4455"/>
      <c r="S4455"/>
      <c r="T4455"/>
      <c r="U4455"/>
      <c r="V4455"/>
      <c r="W4455"/>
      <c r="X4455"/>
    </row>
    <row r="4456" spans="5:24" x14ac:dyDescent="0.3">
      <c r="E4456" s="173"/>
      <c r="F4456" s="173"/>
      <c r="I4456"/>
      <c r="J4456"/>
      <c r="K4456"/>
      <c r="L4456"/>
      <c r="M4456"/>
      <c r="N4456"/>
      <c r="O4456"/>
      <c r="P4456" s="225"/>
      <c r="Q4456" s="225"/>
      <c r="R4456"/>
      <c r="S4456"/>
      <c r="T4456"/>
      <c r="U4456"/>
      <c r="V4456"/>
      <c r="W4456"/>
      <c r="X4456"/>
    </row>
    <row r="4457" spans="5:24" x14ac:dyDescent="0.3">
      <c r="E4457" s="173"/>
      <c r="F4457" s="173"/>
      <c r="I4457"/>
      <c r="J4457"/>
      <c r="K4457"/>
      <c r="L4457"/>
      <c r="M4457"/>
      <c r="N4457"/>
      <c r="O4457"/>
      <c r="P4457" s="225"/>
      <c r="Q4457" s="225"/>
      <c r="R4457"/>
      <c r="S4457"/>
      <c r="T4457"/>
      <c r="U4457"/>
      <c r="V4457"/>
      <c r="W4457"/>
      <c r="X4457"/>
    </row>
    <row r="4458" spans="5:24" x14ac:dyDescent="0.3">
      <c r="E4458" s="173"/>
      <c r="F4458" s="173"/>
      <c r="I4458"/>
      <c r="J4458"/>
      <c r="K4458"/>
      <c r="L4458"/>
      <c r="M4458"/>
      <c r="N4458"/>
      <c r="O4458"/>
      <c r="P4458" s="225"/>
      <c r="Q4458" s="225"/>
      <c r="R4458"/>
      <c r="S4458"/>
      <c r="T4458"/>
      <c r="U4458"/>
      <c r="V4458"/>
      <c r="W4458"/>
      <c r="X4458"/>
    </row>
    <row r="4459" spans="5:24" x14ac:dyDescent="0.3">
      <c r="E4459" s="173"/>
      <c r="F4459" s="173"/>
      <c r="I4459"/>
      <c r="J4459"/>
      <c r="K4459"/>
      <c r="L4459"/>
      <c r="M4459"/>
      <c r="N4459"/>
      <c r="O4459"/>
      <c r="P4459" s="225"/>
      <c r="Q4459" s="225"/>
      <c r="R4459"/>
      <c r="S4459"/>
      <c r="T4459"/>
      <c r="U4459"/>
      <c r="V4459"/>
      <c r="W4459"/>
      <c r="X4459"/>
    </row>
    <row r="4460" spans="5:24" x14ac:dyDescent="0.3">
      <c r="E4460" s="173"/>
      <c r="F4460" s="173"/>
      <c r="I4460"/>
      <c r="J4460"/>
      <c r="K4460"/>
      <c r="L4460"/>
      <c r="M4460"/>
      <c r="N4460"/>
      <c r="O4460"/>
      <c r="P4460" s="225"/>
      <c r="Q4460" s="225"/>
      <c r="R4460"/>
      <c r="S4460"/>
      <c r="T4460"/>
      <c r="U4460"/>
      <c r="V4460"/>
      <c r="W4460"/>
      <c r="X4460"/>
    </row>
    <row r="4461" spans="5:24" x14ac:dyDescent="0.3">
      <c r="E4461" s="173"/>
      <c r="F4461" s="173"/>
      <c r="I4461"/>
      <c r="J4461"/>
      <c r="K4461"/>
      <c r="L4461"/>
      <c r="M4461"/>
      <c r="N4461"/>
      <c r="O4461"/>
      <c r="P4461" s="225"/>
      <c r="Q4461" s="225"/>
      <c r="R4461"/>
      <c r="S4461"/>
      <c r="T4461"/>
      <c r="U4461"/>
      <c r="V4461"/>
      <c r="W4461"/>
      <c r="X4461"/>
    </row>
    <row r="4462" spans="5:24" x14ac:dyDescent="0.3">
      <c r="E4462" s="173"/>
      <c r="F4462" s="173"/>
      <c r="I4462"/>
      <c r="J4462"/>
      <c r="K4462"/>
      <c r="L4462"/>
      <c r="M4462"/>
      <c r="N4462"/>
      <c r="O4462"/>
      <c r="P4462" s="225"/>
      <c r="Q4462" s="225"/>
      <c r="R4462"/>
      <c r="S4462"/>
      <c r="T4462"/>
      <c r="U4462"/>
      <c r="V4462"/>
      <c r="W4462"/>
      <c r="X4462"/>
    </row>
    <row r="4463" spans="5:24" x14ac:dyDescent="0.3">
      <c r="E4463" s="173"/>
      <c r="F4463" s="173"/>
      <c r="I4463"/>
      <c r="J4463"/>
      <c r="K4463"/>
      <c r="L4463"/>
      <c r="M4463"/>
      <c r="N4463"/>
      <c r="O4463"/>
      <c r="P4463" s="225"/>
      <c r="Q4463" s="225"/>
      <c r="R4463"/>
      <c r="S4463"/>
      <c r="T4463"/>
      <c r="U4463"/>
      <c r="V4463"/>
      <c r="W4463"/>
      <c r="X4463"/>
    </row>
    <row r="4464" spans="5:24" x14ac:dyDescent="0.3">
      <c r="E4464" s="173"/>
      <c r="F4464" s="173"/>
      <c r="I4464"/>
      <c r="J4464"/>
      <c r="K4464"/>
      <c r="L4464"/>
      <c r="M4464"/>
      <c r="N4464"/>
      <c r="O4464"/>
      <c r="P4464" s="225"/>
      <c r="Q4464" s="225"/>
      <c r="R4464"/>
      <c r="S4464"/>
      <c r="T4464"/>
      <c r="U4464"/>
      <c r="V4464"/>
      <c r="W4464"/>
      <c r="X4464"/>
    </row>
    <row r="4465" spans="5:24" x14ac:dyDescent="0.3">
      <c r="E4465" s="173"/>
      <c r="F4465" s="173"/>
      <c r="I4465"/>
      <c r="J4465"/>
      <c r="K4465"/>
      <c r="L4465"/>
      <c r="M4465"/>
      <c r="N4465"/>
      <c r="O4465"/>
      <c r="P4465" s="225"/>
      <c r="Q4465" s="225"/>
      <c r="R4465"/>
      <c r="S4465"/>
      <c r="T4465"/>
      <c r="U4465"/>
      <c r="V4465"/>
      <c r="W4465"/>
      <c r="X4465"/>
    </row>
    <row r="4466" spans="5:24" x14ac:dyDescent="0.3">
      <c r="E4466" s="173"/>
      <c r="F4466" s="173"/>
      <c r="I4466"/>
      <c r="J4466"/>
      <c r="K4466"/>
      <c r="L4466"/>
      <c r="M4466"/>
      <c r="N4466"/>
      <c r="O4466"/>
      <c r="P4466" s="225"/>
      <c r="Q4466" s="225"/>
      <c r="R4466"/>
      <c r="S4466"/>
      <c r="T4466"/>
      <c r="U4466"/>
      <c r="V4466"/>
      <c r="W4466"/>
      <c r="X4466"/>
    </row>
    <row r="4467" spans="5:24" x14ac:dyDescent="0.3">
      <c r="E4467" s="173"/>
      <c r="F4467" s="173"/>
      <c r="I4467"/>
      <c r="J4467"/>
      <c r="K4467"/>
      <c r="L4467"/>
      <c r="M4467"/>
      <c r="N4467"/>
      <c r="O4467"/>
      <c r="P4467" s="225"/>
      <c r="Q4467" s="225"/>
      <c r="R4467"/>
      <c r="S4467"/>
      <c r="T4467"/>
      <c r="U4467"/>
      <c r="V4467"/>
      <c r="W4467"/>
      <c r="X4467"/>
    </row>
    <row r="4468" spans="5:24" x14ac:dyDescent="0.3">
      <c r="E4468" s="173"/>
      <c r="F4468" s="173"/>
      <c r="I4468"/>
      <c r="J4468"/>
      <c r="K4468"/>
      <c r="L4468"/>
      <c r="M4468"/>
      <c r="N4468"/>
      <c r="O4468"/>
      <c r="P4468" s="225"/>
      <c r="Q4468" s="225"/>
      <c r="R4468"/>
      <c r="S4468"/>
      <c r="T4468"/>
      <c r="U4468"/>
      <c r="V4468"/>
      <c r="W4468"/>
      <c r="X4468"/>
    </row>
    <row r="4469" spans="5:24" x14ac:dyDescent="0.3">
      <c r="E4469" s="173"/>
      <c r="F4469" s="173"/>
      <c r="I4469"/>
      <c r="J4469"/>
      <c r="K4469"/>
      <c r="L4469"/>
      <c r="M4469"/>
      <c r="N4469"/>
      <c r="O4469"/>
      <c r="P4469" s="225"/>
      <c r="Q4469" s="225"/>
      <c r="R4469"/>
      <c r="S4469"/>
      <c r="T4469"/>
      <c r="U4469"/>
      <c r="V4469"/>
      <c r="W4469"/>
      <c r="X4469"/>
    </row>
    <row r="4470" spans="5:24" x14ac:dyDescent="0.3">
      <c r="E4470" s="173"/>
      <c r="F4470" s="173"/>
      <c r="I4470"/>
      <c r="J4470"/>
      <c r="K4470"/>
      <c r="L4470"/>
      <c r="M4470"/>
      <c r="N4470"/>
      <c r="O4470"/>
      <c r="P4470" s="225"/>
      <c r="Q4470" s="225"/>
      <c r="R4470"/>
      <c r="S4470"/>
      <c r="T4470"/>
      <c r="U4470"/>
      <c r="V4470"/>
      <c r="W4470"/>
      <c r="X4470"/>
    </row>
    <row r="4471" spans="5:24" x14ac:dyDescent="0.3">
      <c r="E4471" s="173"/>
      <c r="F4471" s="173"/>
      <c r="I4471"/>
      <c r="J4471"/>
      <c r="K4471"/>
      <c r="L4471"/>
      <c r="M4471"/>
      <c r="N4471"/>
      <c r="O4471"/>
      <c r="P4471" s="225"/>
      <c r="Q4471" s="225"/>
      <c r="R4471"/>
      <c r="S4471"/>
      <c r="T4471"/>
      <c r="U4471"/>
      <c r="V4471"/>
      <c r="W4471"/>
      <c r="X4471"/>
    </row>
    <row r="4472" spans="5:24" x14ac:dyDescent="0.3">
      <c r="E4472" s="173"/>
      <c r="F4472" s="173"/>
      <c r="I4472"/>
      <c r="J4472"/>
      <c r="K4472"/>
      <c r="L4472"/>
      <c r="M4472"/>
      <c r="N4472"/>
      <c r="O4472"/>
      <c r="P4472" s="225"/>
      <c r="Q4472" s="225"/>
      <c r="R4472"/>
      <c r="S4472"/>
      <c r="T4472"/>
      <c r="U4472"/>
      <c r="V4472"/>
      <c r="W4472"/>
      <c r="X4472"/>
    </row>
    <row r="4473" spans="5:24" x14ac:dyDescent="0.3">
      <c r="E4473" s="173"/>
      <c r="F4473" s="173"/>
      <c r="I4473"/>
      <c r="J4473"/>
      <c r="K4473"/>
      <c r="L4473"/>
      <c r="M4473"/>
      <c r="N4473"/>
      <c r="O4473"/>
      <c r="P4473" s="225"/>
      <c r="Q4473" s="225"/>
      <c r="R4473"/>
      <c r="S4473"/>
      <c r="T4473"/>
      <c r="U4473"/>
      <c r="V4473"/>
      <c r="W4473"/>
      <c r="X4473"/>
    </row>
    <row r="4474" spans="5:24" x14ac:dyDescent="0.3">
      <c r="E4474" s="173"/>
      <c r="F4474" s="173"/>
      <c r="I4474"/>
      <c r="J4474"/>
      <c r="K4474"/>
      <c r="L4474"/>
      <c r="M4474"/>
      <c r="N4474"/>
      <c r="O4474"/>
      <c r="P4474" s="225"/>
      <c r="Q4474" s="225"/>
      <c r="R4474"/>
      <c r="S4474"/>
      <c r="T4474"/>
      <c r="U4474"/>
      <c r="V4474"/>
      <c r="W4474"/>
      <c r="X4474"/>
    </row>
    <row r="4475" spans="5:24" x14ac:dyDescent="0.3">
      <c r="E4475" s="173"/>
      <c r="F4475" s="173"/>
      <c r="I4475"/>
      <c r="J4475"/>
      <c r="K4475"/>
      <c r="L4475"/>
      <c r="M4475"/>
      <c r="N4475"/>
      <c r="O4475"/>
      <c r="P4475" s="225"/>
      <c r="Q4475" s="225"/>
      <c r="R4475"/>
      <c r="S4475"/>
      <c r="T4475"/>
      <c r="U4475"/>
      <c r="V4475"/>
      <c r="W4475"/>
      <c r="X4475"/>
    </row>
    <row r="4476" spans="5:24" x14ac:dyDescent="0.3">
      <c r="E4476" s="173"/>
      <c r="F4476" s="173"/>
      <c r="I4476"/>
      <c r="J4476"/>
      <c r="K4476"/>
      <c r="L4476"/>
      <c r="M4476"/>
      <c r="N4476"/>
      <c r="O4476"/>
      <c r="P4476" s="225"/>
      <c r="Q4476" s="225"/>
      <c r="R4476"/>
      <c r="S4476"/>
      <c r="T4476"/>
      <c r="U4476"/>
      <c r="V4476"/>
      <c r="W4476"/>
      <c r="X4476"/>
    </row>
    <row r="4477" spans="5:24" x14ac:dyDescent="0.3">
      <c r="E4477" s="173"/>
      <c r="F4477" s="173"/>
      <c r="I4477"/>
      <c r="J4477"/>
      <c r="K4477"/>
      <c r="L4477"/>
      <c r="M4477"/>
      <c r="N4477"/>
      <c r="O4477"/>
      <c r="P4477" s="225"/>
      <c r="Q4477" s="225"/>
      <c r="R4477"/>
      <c r="S4477"/>
      <c r="T4477"/>
      <c r="U4477"/>
      <c r="V4477"/>
      <c r="W4477"/>
      <c r="X4477"/>
    </row>
    <row r="4478" spans="5:24" x14ac:dyDescent="0.3">
      <c r="E4478" s="173"/>
      <c r="F4478" s="173"/>
      <c r="I4478"/>
      <c r="J4478"/>
      <c r="K4478"/>
      <c r="L4478"/>
      <c r="M4478"/>
      <c r="N4478"/>
      <c r="O4478"/>
      <c r="P4478" s="225"/>
      <c r="Q4478" s="225"/>
      <c r="R4478"/>
      <c r="S4478"/>
      <c r="T4478"/>
      <c r="U4478"/>
      <c r="V4478"/>
      <c r="W4478"/>
      <c r="X4478"/>
    </row>
    <row r="4479" spans="5:24" x14ac:dyDescent="0.3">
      <c r="E4479" s="173"/>
      <c r="F4479" s="173"/>
      <c r="I4479"/>
      <c r="J4479"/>
      <c r="K4479"/>
      <c r="L4479"/>
      <c r="M4479"/>
      <c r="N4479"/>
      <c r="O4479"/>
      <c r="P4479" s="225"/>
      <c r="Q4479" s="225"/>
      <c r="R4479"/>
      <c r="S4479"/>
      <c r="T4479"/>
      <c r="U4479"/>
      <c r="V4479"/>
      <c r="W4479"/>
      <c r="X4479"/>
    </row>
    <row r="4480" spans="5:24" x14ac:dyDescent="0.3">
      <c r="E4480" s="173"/>
      <c r="F4480" s="173"/>
      <c r="I4480"/>
      <c r="J4480"/>
      <c r="K4480"/>
      <c r="L4480"/>
      <c r="M4480"/>
      <c r="N4480"/>
      <c r="O4480"/>
      <c r="P4480" s="225"/>
      <c r="Q4480" s="225"/>
      <c r="R4480"/>
      <c r="S4480"/>
      <c r="T4480"/>
      <c r="U4480"/>
      <c r="V4480"/>
      <c r="W4480"/>
      <c r="X4480"/>
    </row>
    <row r="4481" spans="5:24" x14ac:dyDescent="0.3">
      <c r="E4481" s="173"/>
      <c r="F4481" s="173"/>
      <c r="I4481"/>
      <c r="J4481"/>
      <c r="K4481"/>
      <c r="L4481"/>
      <c r="M4481"/>
      <c r="N4481"/>
      <c r="O4481"/>
      <c r="P4481" s="225"/>
      <c r="Q4481" s="225"/>
      <c r="R4481"/>
      <c r="S4481"/>
      <c r="T4481"/>
      <c r="U4481"/>
      <c r="V4481"/>
      <c r="W4481"/>
      <c r="X4481"/>
    </row>
    <row r="4482" spans="5:24" x14ac:dyDescent="0.3">
      <c r="E4482" s="173"/>
      <c r="F4482" s="173"/>
      <c r="I4482"/>
      <c r="J4482"/>
      <c r="K4482"/>
      <c r="L4482"/>
      <c r="M4482"/>
      <c r="N4482"/>
      <c r="O4482"/>
      <c r="P4482" s="225"/>
      <c r="Q4482" s="225"/>
      <c r="R4482"/>
      <c r="S4482"/>
      <c r="T4482"/>
      <c r="U4482"/>
      <c r="V4482"/>
      <c r="W4482"/>
      <c r="X4482"/>
    </row>
    <row r="4483" spans="5:24" x14ac:dyDescent="0.3">
      <c r="E4483" s="173"/>
      <c r="F4483" s="173"/>
      <c r="I4483"/>
      <c r="J4483"/>
      <c r="K4483"/>
      <c r="L4483"/>
      <c r="M4483"/>
      <c r="N4483"/>
      <c r="O4483"/>
      <c r="P4483" s="225"/>
      <c r="Q4483" s="225"/>
      <c r="R4483"/>
      <c r="S4483"/>
      <c r="T4483"/>
      <c r="U4483"/>
      <c r="V4483"/>
      <c r="W4483"/>
      <c r="X4483"/>
    </row>
    <row r="4484" spans="5:24" x14ac:dyDescent="0.3">
      <c r="E4484" s="173"/>
      <c r="F4484" s="173"/>
      <c r="I4484"/>
      <c r="J4484"/>
      <c r="K4484"/>
      <c r="L4484"/>
      <c r="M4484"/>
      <c r="N4484"/>
      <c r="O4484"/>
      <c r="P4484" s="225"/>
      <c r="Q4484" s="225"/>
      <c r="R4484"/>
      <c r="S4484"/>
      <c r="T4484"/>
      <c r="U4484"/>
      <c r="V4484"/>
      <c r="W4484"/>
      <c r="X4484"/>
    </row>
    <row r="4485" spans="5:24" x14ac:dyDescent="0.3">
      <c r="E4485" s="173"/>
      <c r="F4485" s="173"/>
      <c r="I4485"/>
      <c r="J4485"/>
      <c r="K4485"/>
      <c r="L4485"/>
      <c r="M4485"/>
      <c r="N4485"/>
      <c r="O4485"/>
      <c r="P4485" s="225"/>
      <c r="Q4485" s="225"/>
      <c r="R4485"/>
      <c r="S4485"/>
      <c r="T4485"/>
      <c r="U4485"/>
      <c r="V4485"/>
      <c r="W4485"/>
      <c r="X4485"/>
    </row>
    <row r="4486" spans="5:24" x14ac:dyDescent="0.3">
      <c r="E4486" s="173"/>
      <c r="F4486" s="173"/>
      <c r="I4486"/>
      <c r="J4486"/>
      <c r="K4486"/>
      <c r="L4486"/>
      <c r="M4486"/>
      <c r="N4486"/>
      <c r="O4486"/>
      <c r="P4486" s="225"/>
      <c r="Q4486" s="225"/>
      <c r="R4486"/>
      <c r="S4486"/>
      <c r="T4486"/>
      <c r="U4486"/>
      <c r="V4486"/>
      <c r="W4486"/>
      <c r="X4486"/>
    </row>
    <row r="4487" spans="5:24" x14ac:dyDescent="0.3">
      <c r="E4487" s="173"/>
      <c r="F4487" s="173"/>
      <c r="I4487"/>
      <c r="J4487"/>
      <c r="K4487"/>
      <c r="L4487"/>
      <c r="M4487"/>
      <c r="N4487"/>
      <c r="O4487"/>
      <c r="P4487" s="225"/>
      <c r="Q4487" s="225"/>
      <c r="R4487"/>
      <c r="S4487"/>
      <c r="T4487"/>
      <c r="U4487"/>
      <c r="V4487"/>
      <c r="W4487"/>
      <c r="X4487"/>
    </row>
    <row r="4488" spans="5:24" x14ac:dyDescent="0.3">
      <c r="E4488" s="173"/>
      <c r="F4488" s="173"/>
      <c r="I4488"/>
      <c r="J4488"/>
      <c r="K4488"/>
      <c r="L4488"/>
      <c r="M4488"/>
      <c r="N4488"/>
      <c r="O4488"/>
      <c r="P4488" s="225"/>
      <c r="Q4488" s="225"/>
      <c r="R4488"/>
      <c r="S4488"/>
      <c r="T4488"/>
      <c r="U4488"/>
      <c r="V4488"/>
      <c r="W4488"/>
      <c r="X4488"/>
    </row>
    <row r="4489" spans="5:24" x14ac:dyDescent="0.3">
      <c r="E4489" s="173"/>
      <c r="F4489" s="173"/>
      <c r="I4489"/>
      <c r="J4489"/>
      <c r="K4489"/>
      <c r="L4489"/>
      <c r="M4489"/>
      <c r="N4489"/>
      <c r="O4489"/>
      <c r="P4489" s="225"/>
      <c r="Q4489" s="225"/>
      <c r="R4489"/>
      <c r="S4489"/>
      <c r="T4489"/>
      <c r="U4489"/>
      <c r="V4489"/>
      <c r="W4489"/>
      <c r="X4489"/>
    </row>
    <row r="4490" spans="5:24" x14ac:dyDescent="0.3">
      <c r="E4490" s="173"/>
      <c r="F4490" s="173"/>
      <c r="I4490"/>
      <c r="J4490"/>
      <c r="K4490"/>
      <c r="L4490"/>
      <c r="M4490"/>
      <c r="N4490"/>
      <c r="O4490"/>
      <c r="P4490" s="225"/>
      <c r="Q4490" s="225"/>
      <c r="R4490"/>
      <c r="S4490"/>
      <c r="T4490"/>
      <c r="U4490"/>
      <c r="V4490"/>
      <c r="W4490"/>
      <c r="X4490"/>
    </row>
    <row r="4491" spans="5:24" x14ac:dyDescent="0.3">
      <c r="E4491" s="173"/>
      <c r="F4491" s="173"/>
      <c r="I4491"/>
      <c r="J4491"/>
      <c r="K4491"/>
      <c r="L4491"/>
      <c r="M4491"/>
      <c r="N4491"/>
      <c r="O4491"/>
      <c r="P4491" s="225"/>
      <c r="Q4491" s="225"/>
      <c r="R4491"/>
      <c r="S4491"/>
      <c r="T4491"/>
      <c r="U4491"/>
      <c r="V4491"/>
      <c r="W4491"/>
      <c r="X4491"/>
    </row>
    <row r="4492" spans="5:24" x14ac:dyDescent="0.3">
      <c r="E4492" s="173"/>
      <c r="F4492" s="173"/>
      <c r="I4492"/>
      <c r="J4492"/>
      <c r="K4492"/>
      <c r="L4492"/>
      <c r="M4492"/>
      <c r="N4492"/>
      <c r="O4492"/>
      <c r="P4492" s="225"/>
      <c r="Q4492" s="225"/>
      <c r="R4492"/>
      <c r="S4492"/>
      <c r="T4492"/>
      <c r="U4492"/>
      <c r="V4492"/>
      <c r="W4492"/>
      <c r="X4492"/>
    </row>
    <row r="4493" spans="5:24" x14ac:dyDescent="0.3">
      <c r="E4493" s="173"/>
      <c r="F4493" s="173"/>
      <c r="I4493"/>
      <c r="J4493"/>
      <c r="K4493"/>
      <c r="L4493"/>
      <c r="M4493"/>
      <c r="N4493"/>
      <c r="O4493"/>
      <c r="P4493" s="225"/>
      <c r="Q4493" s="225"/>
      <c r="R4493"/>
      <c r="S4493"/>
      <c r="T4493"/>
      <c r="U4493"/>
      <c r="V4493"/>
      <c r="W4493"/>
      <c r="X4493"/>
    </row>
    <row r="4494" spans="5:24" x14ac:dyDescent="0.3">
      <c r="E4494" s="173"/>
      <c r="F4494" s="173"/>
      <c r="I4494"/>
      <c r="J4494"/>
      <c r="K4494"/>
      <c r="L4494"/>
      <c r="M4494"/>
      <c r="N4494"/>
      <c r="O4494"/>
      <c r="P4494" s="225"/>
      <c r="Q4494" s="225"/>
      <c r="R4494"/>
      <c r="S4494"/>
      <c r="T4494"/>
      <c r="U4494"/>
      <c r="V4494"/>
      <c r="W4494"/>
      <c r="X4494"/>
    </row>
    <row r="4495" spans="5:24" x14ac:dyDescent="0.3">
      <c r="E4495" s="173"/>
      <c r="F4495" s="173"/>
      <c r="I4495"/>
      <c r="J4495"/>
      <c r="K4495"/>
      <c r="L4495"/>
      <c r="M4495"/>
      <c r="N4495"/>
      <c r="O4495"/>
      <c r="P4495" s="225"/>
      <c r="Q4495" s="225"/>
      <c r="R4495"/>
      <c r="S4495"/>
      <c r="T4495"/>
      <c r="U4495"/>
      <c r="V4495"/>
      <c r="W4495"/>
      <c r="X4495"/>
    </row>
    <row r="4496" spans="5:24" x14ac:dyDescent="0.3">
      <c r="E4496" s="173"/>
      <c r="F4496" s="173"/>
      <c r="I4496"/>
      <c r="J4496"/>
      <c r="K4496"/>
      <c r="L4496"/>
      <c r="M4496"/>
      <c r="N4496"/>
      <c r="O4496"/>
      <c r="P4496" s="225"/>
      <c r="Q4496" s="225"/>
      <c r="R4496"/>
      <c r="S4496"/>
      <c r="T4496"/>
      <c r="U4496"/>
      <c r="V4496"/>
      <c r="W4496"/>
      <c r="X4496"/>
    </row>
    <row r="4497" spans="5:24" x14ac:dyDescent="0.3">
      <c r="E4497" s="173"/>
      <c r="F4497" s="173"/>
      <c r="I4497"/>
      <c r="J4497"/>
      <c r="K4497"/>
      <c r="L4497"/>
      <c r="M4497"/>
      <c r="N4497"/>
      <c r="O4497"/>
      <c r="P4497" s="225"/>
      <c r="Q4497" s="225"/>
      <c r="R4497"/>
      <c r="S4497"/>
      <c r="T4497"/>
      <c r="U4497"/>
      <c r="V4497"/>
      <c r="W4497"/>
      <c r="X4497"/>
    </row>
    <row r="4498" spans="5:24" x14ac:dyDescent="0.3">
      <c r="E4498" s="173"/>
      <c r="F4498" s="173"/>
      <c r="I4498"/>
      <c r="J4498"/>
      <c r="K4498"/>
      <c r="L4498"/>
      <c r="M4498"/>
      <c r="N4498"/>
      <c r="O4498"/>
      <c r="P4498" s="225"/>
      <c r="Q4498" s="225"/>
      <c r="R4498"/>
      <c r="S4498"/>
      <c r="T4498"/>
      <c r="U4498"/>
      <c r="V4498"/>
      <c r="W4498"/>
      <c r="X4498"/>
    </row>
    <row r="4499" spans="5:24" x14ac:dyDescent="0.3">
      <c r="E4499" s="173"/>
      <c r="F4499" s="173"/>
      <c r="I4499"/>
      <c r="J4499"/>
      <c r="K4499"/>
      <c r="L4499"/>
      <c r="M4499"/>
      <c r="N4499"/>
      <c r="O4499"/>
      <c r="P4499" s="225"/>
      <c r="Q4499" s="225"/>
      <c r="R4499"/>
      <c r="S4499"/>
      <c r="T4499"/>
      <c r="U4499"/>
      <c r="V4499"/>
      <c r="W4499"/>
      <c r="X4499"/>
    </row>
    <row r="4500" spans="5:24" x14ac:dyDescent="0.3">
      <c r="E4500" s="173"/>
      <c r="F4500" s="173"/>
      <c r="I4500"/>
      <c r="J4500"/>
      <c r="K4500"/>
      <c r="L4500"/>
      <c r="M4500"/>
      <c r="N4500"/>
      <c r="O4500"/>
      <c r="P4500" s="225"/>
      <c r="Q4500" s="225"/>
      <c r="R4500"/>
      <c r="S4500"/>
      <c r="T4500"/>
      <c r="U4500"/>
      <c r="V4500"/>
      <c r="W4500"/>
      <c r="X4500"/>
    </row>
    <row r="4501" spans="5:24" x14ac:dyDescent="0.3">
      <c r="E4501" s="173"/>
      <c r="F4501" s="173"/>
      <c r="I4501"/>
      <c r="J4501"/>
      <c r="K4501"/>
      <c r="L4501"/>
      <c r="M4501"/>
      <c r="N4501"/>
      <c r="O4501"/>
      <c r="P4501" s="225"/>
      <c r="Q4501" s="225"/>
      <c r="R4501"/>
      <c r="S4501"/>
      <c r="T4501"/>
      <c r="U4501"/>
      <c r="V4501"/>
      <c r="W4501"/>
      <c r="X4501"/>
    </row>
    <row r="4502" spans="5:24" x14ac:dyDescent="0.3">
      <c r="E4502" s="173"/>
      <c r="F4502" s="173"/>
      <c r="I4502"/>
      <c r="J4502"/>
      <c r="K4502"/>
      <c r="L4502"/>
      <c r="M4502"/>
      <c r="N4502"/>
      <c r="O4502"/>
      <c r="P4502" s="225"/>
      <c r="Q4502" s="225"/>
      <c r="R4502"/>
      <c r="S4502"/>
      <c r="T4502"/>
      <c r="U4502"/>
      <c r="V4502"/>
      <c r="W4502"/>
      <c r="X4502"/>
    </row>
    <row r="4503" spans="5:24" x14ac:dyDescent="0.3">
      <c r="E4503" s="173"/>
      <c r="F4503" s="173"/>
      <c r="I4503"/>
      <c r="J4503"/>
      <c r="K4503"/>
      <c r="L4503"/>
      <c r="M4503"/>
      <c r="N4503"/>
      <c r="O4503"/>
      <c r="P4503" s="225"/>
      <c r="Q4503" s="225"/>
      <c r="R4503"/>
      <c r="S4503"/>
      <c r="T4503"/>
      <c r="U4503"/>
      <c r="V4503"/>
      <c r="W4503"/>
      <c r="X4503"/>
    </row>
    <row r="4504" spans="5:24" x14ac:dyDescent="0.3">
      <c r="E4504" s="173"/>
      <c r="F4504" s="173"/>
      <c r="I4504"/>
      <c r="J4504"/>
      <c r="K4504"/>
      <c r="L4504"/>
      <c r="M4504"/>
      <c r="N4504"/>
      <c r="O4504"/>
      <c r="P4504" s="225"/>
      <c r="Q4504" s="225"/>
      <c r="R4504"/>
      <c r="S4504"/>
      <c r="T4504"/>
      <c r="U4504"/>
      <c r="V4504"/>
      <c r="W4504"/>
      <c r="X4504"/>
    </row>
    <row r="4505" spans="5:24" x14ac:dyDescent="0.3">
      <c r="E4505" s="173"/>
      <c r="F4505" s="173"/>
      <c r="I4505"/>
      <c r="J4505"/>
      <c r="K4505"/>
      <c r="L4505"/>
      <c r="M4505"/>
      <c r="N4505"/>
      <c r="O4505"/>
      <c r="P4505" s="225"/>
      <c r="Q4505" s="225"/>
      <c r="R4505"/>
      <c r="S4505"/>
      <c r="T4505"/>
      <c r="U4505"/>
      <c r="V4505"/>
      <c r="W4505"/>
      <c r="X4505"/>
    </row>
    <row r="4506" spans="5:24" x14ac:dyDescent="0.3">
      <c r="E4506" s="173"/>
      <c r="F4506" s="173"/>
      <c r="I4506"/>
      <c r="J4506"/>
      <c r="K4506"/>
      <c r="L4506"/>
      <c r="M4506"/>
      <c r="N4506"/>
      <c r="O4506"/>
      <c r="P4506" s="225"/>
      <c r="Q4506" s="225"/>
      <c r="R4506"/>
      <c r="S4506"/>
      <c r="T4506"/>
      <c r="U4506"/>
      <c r="V4506"/>
      <c r="W4506"/>
      <c r="X4506"/>
    </row>
    <row r="4507" spans="5:24" x14ac:dyDescent="0.3">
      <c r="E4507" s="173"/>
      <c r="F4507" s="173"/>
      <c r="I4507"/>
      <c r="J4507"/>
      <c r="K4507"/>
      <c r="L4507"/>
      <c r="M4507"/>
      <c r="N4507"/>
      <c r="O4507"/>
      <c r="P4507" s="225"/>
      <c r="Q4507" s="225"/>
      <c r="R4507"/>
      <c r="S4507"/>
      <c r="T4507"/>
      <c r="U4507"/>
      <c r="V4507"/>
      <c r="W4507"/>
      <c r="X4507"/>
    </row>
    <row r="4508" spans="5:24" x14ac:dyDescent="0.3">
      <c r="E4508" s="173"/>
      <c r="F4508" s="173"/>
      <c r="I4508"/>
      <c r="J4508"/>
      <c r="K4508"/>
      <c r="L4508"/>
      <c r="M4508"/>
      <c r="N4508"/>
      <c r="O4508"/>
      <c r="P4508" s="225"/>
      <c r="Q4508" s="225"/>
      <c r="R4508"/>
      <c r="S4508"/>
      <c r="T4508"/>
      <c r="U4508"/>
      <c r="V4508"/>
      <c r="W4508"/>
      <c r="X4508"/>
    </row>
    <row r="4509" spans="5:24" x14ac:dyDescent="0.3">
      <c r="E4509" s="173"/>
      <c r="F4509" s="173"/>
      <c r="I4509"/>
      <c r="J4509"/>
      <c r="K4509"/>
      <c r="L4509"/>
      <c r="M4509"/>
      <c r="N4509"/>
      <c r="O4509"/>
      <c r="P4509" s="225"/>
      <c r="Q4509" s="225"/>
      <c r="R4509"/>
      <c r="S4509"/>
      <c r="T4509"/>
      <c r="U4509"/>
      <c r="V4509"/>
      <c r="W4509"/>
      <c r="X4509"/>
    </row>
    <row r="4510" spans="5:24" x14ac:dyDescent="0.3">
      <c r="E4510" s="173"/>
      <c r="F4510" s="173"/>
      <c r="I4510"/>
      <c r="J4510"/>
      <c r="K4510"/>
      <c r="L4510"/>
      <c r="M4510"/>
      <c r="N4510"/>
      <c r="O4510"/>
      <c r="P4510" s="225"/>
      <c r="Q4510" s="225"/>
      <c r="R4510"/>
      <c r="S4510"/>
      <c r="T4510"/>
      <c r="U4510"/>
      <c r="V4510"/>
      <c r="W4510"/>
      <c r="X4510"/>
    </row>
    <row r="4511" spans="5:24" x14ac:dyDescent="0.3">
      <c r="E4511" s="173"/>
      <c r="F4511" s="173"/>
      <c r="I4511"/>
      <c r="J4511"/>
      <c r="K4511"/>
      <c r="L4511"/>
      <c r="M4511"/>
      <c r="N4511"/>
      <c r="O4511"/>
      <c r="P4511" s="225"/>
      <c r="Q4511" s="225"/>
      <c r="R4511"/>
      <c r="S4511"/>
      <c r="T4511"/>
      <c r="U4511"/>
      <c r="V4511"/>
      <c r="W4511"/>
      <c r="X4511"/>
    </row>
    <row r="4512" spans="5:24" x14ac:dyDescent="0.3">
      <c r="E4512" s="173"/>
      <c r="F4512" s="173"/>
      <c r="I4512"/>
      <c r="J4512"/>
      <c r="K4512"/>
      <c r="L4512"/>
      <c r="M4512"/>
      <c r="N4512"/>
      <c r="O4512"/>
      <c r="P4512" s="225"/>
      <c r="Q4512" s="225"/>
      <c r="R4512"/>
      <c r="S4512"/>
      <c r="T4512"/>
      <c r="U4512"/>
      <c r="V4512"/>
      <c r="W4512"/>
      <c r="X4512"/>
    </row>
    <row r="4513" spans="5:24" x14ac:dyDescent="0.3">
      <c r="E4513" s="173"/>
      <c r="F4513" s="173"/>
      <c r="I4513"/>
      <c r="J4513"/>
      <c r="K4513"/>
      <c r="L4513"/>
      <c r="M4513"/>
      <c r="N4513"/>
      <c r="O4513"/>
      <c r="P4513" s="225"/>
      <c r="Q4513" s="225"/>
      <c r="R4513"/>
      <c r="S4513"/>
      <c r="T4513"/>
      <c r="U4513"/>
      <c r="V4513"/>
      <c r="W4513"/>
      <c r="X4513"/>
    </row>
    <row r="4514" spans="5:24" x14ac:dyDescent="0.3">
      <c r="E4514" s="173"/>
      <c r="F4514" s="173"/>
      <c r="I4514"/>
      <c r="J4514"/>
      <c r="K4514"/>
      <c r="L4514"/>
      <c r="M4514"/>
      <c r="N4514"/>
      <c r="O4514"/>
      <c r="P4514" s="225"/>
      <c r="Q4514" s="225"/>
      <c r="R4514"/>
      <c r="S4514"/>
      <c r="T4514"/>
      <c r="U4514"/>
      <c r="V4514"/>
      <c r="W4514"/>
      <c r="X4514"/>
    </row>
    <row r="4515" spans="5:24" x14ac:dyDescent="0.3">
      <c r="E4515" s="173"/>
      <c r="F4515" s="173"/>
      <c r="I4515"/>
      <c r="J4515"/>
      <c r="K4515"/>
      <c r="L4515"/>
      <c r="M4515"/>
      <c r="N4515"/>
      <c r="O4515"/>
      <c r="P4515" s="225"/>
      <c r="Q4515" s="225"/>
      <c r="R4515"/>
      <c r="S4515"/>
      <c r="T4515"/>
      <c r="U4515"/>
      <c r="V4515"/>
      <c r="W4515"/>
      <c r="X4515"/>
    </row>
    <row r="4516" spans="5:24" x14ac:dyDescent="0.3">
      <c r="E4516" s="173"/>
      <c r="F4516" s="173"/>
      <c r="I4516"/>
      <c r="J4516"/>
      <c r="K4516"/>
      <c r="L4516"/>
      <c r="M4516"/>
      <c r="N4516"/>
      <c r="O4516"/>
      <c r="P4516" s="225"/>
      <c r="Q4516" s="225"/>
      <c r="R4516"/>
      <c r="S4516"/>
      <c r="T4516"/>
      <c r="U4516"/>
      <c r="V4516"/>
      <c r="W4516"/>
      <c r="X4516"/>
    </row>
    <row r="4517" spans="5:24" x14ac:dyDescent="0.3">
      <c r="E4517" s="173"/>
      <c r="F4517" s="173"/>
      <c r="I4517"/>
      <c r="J4517"/>
      <c r="K4517"/>
      <c r="L4517"/>
      <c r="M4517"/>
      <c r="N4517"/>
      <c r="O4517"/>
      <c r="P4517" s="225"/>
      <c r="Q4517" s="225"/>
      <c r="R4517"/>
      <c r="S4517"/>
      <c r="T4517"/>
      <c r="U4517"/>
      <c r="V4517"/>
      <c r="W4517"/>
      <c r="X4517"/>
    </row>
    <row r="4518" spans="5:24" x14ac:dyDescent="0.3">
      <c r="E4518" s="173"/>
      <c r="F4518" s="173"/>
      <c r="I4518"/>
      <c r="J4518"/>
      <c r="K4518"/>
      <c r="L4518"/>
      <c r="M4518"/>
      <c r="N4518"/>
      <c r="O4518"/>
      <c r="P4518" s="225"/>
      <c r="Q4518" s="225"/>
      <c r="R4518"/>
      <c r="S4518"/>
      <c r="T4518"/>
      <c r="U4518"/>
      <c r="V4518"/>
      <c r="W4518"/>
      <c r="X4518"/>
    </row>
    <row r="4519" spans="5:24" x14ac:dyDescent="0.3">
      <c r="E4519" s="173"/>
      <c r="F4519" s="173"/>
      <c r="I4519"/>
      <c r="J4519"/>
      <c r="K4519"/>
      <c r="L4519"/>
      <c r="M4519"/>
      <c r="N4519"/>
      <c r="O4519"/>
      <c r="P4519" s="225"/>
      <c r="Q4519" s="225"/>
      <c r="R4519"/>
      <c r="S4519"/>
      <c r="T4519"/>
      <c r="U4519"/>
      <c r="V4519"/>
      <c r="W4519"/>
      <c r="X4519"/>
    </row>
    <row r="4520" spans="5:24" x14ac:dyDescent="0.3">
      <c r="E4520" s="173"/>
      <c r="F4520" s="173"/>
      <c r="I4520"/>
      <c r="J4520"/>
      <c r="K4520"/>
      <c r="L4520"/>
      <c r="M4520"/>
      <c r="N4520"/>
      <c r="O4520"/>
      <c r="P4520" s="225"/>
      <c r="Q4520" s="225"/>
      <c r="R4520"/>
      <c r="S4520"/>
      <c r="T4520"/>
      <c r="U4520"/>
      <c r="V4520"/>
      <c r="W4520"/>
      <c r="X4520"/>
    </row>
    <row r="4521" spans="5:24" x14ac:dyDescent="0.3">
      <c r="E4521" s="173"/>
      <c r="F4521" s="173"/>
      <c r="I4521"/>
      <c r="J4521"/>
      <c r="K4521"/>
      <c r="L4521"/>
      <c r="M4521"/>
      <c r="N4521"/>
      <c r="O4521"/>
      <c r="P4521" s="225"/>
      <c r="Q4521" s="225"/>
      <c r="R4521"/>
      <c r="S4521"/>
      <c r="T4521"/>
      <c r="U4521"/>
      <c r="V4521"/>
      <c r="W4521"/>
      <c r="X4521"/>
    </row>
    <row r="4522" spans="5:24" x14ac:dyDescent="0.3">
      <c r="E4522" s="173"/>
      <c r="F4522" s="173"/>
      <c r="I4522"/>
      <c r="J4522"/>
      <c r="K4522"/>
      <c r="L4522"/>
      <c r="M4522"/>
      <c r="N4522"/>
      <c r="O4522"/>
      <c r="P4522" s="225"/>
      <c r="Q4522" s="225"/>
      <c r="R4522"/>
      <c r="S4522"/>
      <c r="T4522"/>
      <c r="U4522"/>
      <c r="V4522"/>
      <c r="W4522"/>
      <c r="X4522"/>
    </row>
    <row r="4523" spans="5:24" x14ac:dyDescent="0.3">
      <c r="E4523" s="173"/>
      <c r="F4523" s="173"/>
      <c r="I4523"/>
      <c r="J4523"/>
      <c r="K4523"/>
      <c r="L4523"/>
      <c r="M4523"/>
      <c r="N4523"/>
      <c r="O4523"/>
      <c r="P4523" s="225"/>
      <c r="Q4523" s="225"/>
      <c r="R4523"/>
      <c r="S4523"/>
      <c r="T4523"/>
      <c r="U4523"/>
      <c r="V4523"/>
      <c r="W4523"/>
      <c r="X4523"/>
    </row>
    <row r="4524" spans="5:24" x14ac:dyDescent="0.3">
      <c r="E4524" s="173"/>
      <c r="F4524" s="173"/>
      <c r="I4524"/>
      <c r="J4524"/>
      <c r="K4524"/>
      <c r="L4524"/>
      <c r="M4524"/>
      <c r="N4524"/>
      <c r="O4524"/>
      <c r="P4524" s="225"/>
      <c r="Q4524" s="225"/>
      <c r="R4524"/>
      <c r="S4524"/>
      <c r="T4524"/>
      <c r="U4524"/>
      <c r="V4524"/>
      <c r="W4524"/>
      <c r="X4524"/>
    </row>
    <row r="4525" spans="5:24" x14ac:dyDescent="0.3">
      <c r="E4525" s="173"/>
      <c r="F4525" s="173"/>
      <c r="I4525"/>
      <c r="J4525"/>
      <c r="K4525"/>
      <c r="L4525"/>
      <c r="M4525"/>
      <c r="N4525"/>
      <c r="O4525"/>
      <c r="P4525" s="225"/>
      <c r="Q4525" s="225"/>
      <c r="R4525"/>
      <c r="S4525"/>
      <c r="T4525"/>
      <c r="U4525"/>
      <c r="V4525"/>
      <c r="W4525"/>
      <c r="X4525"/>
    </row>
    <row r="4526" spans="5:24" x14ac:dyDescent="0.3">
      <c r="E4526" s="173"/>
      <c r="F4526" s="173"/>
      <c r="I4526"/>
      <c r="J4526"/>
      <c r="K4526"/>
      <c r="L4526"/>
      <c r="M4526"/>
      <c r="N4526"/>
      <c r="O4526"/>
      <c r="P4526" s="225"/>
      <c r="Q4526" s="225"/>
      <c r="R4526"/>
      <c r="S4526"/>
      <c r="T4526"/>
      <c r="U4526"/>
      <c r="V4526"/>
      <c r="W4526"/>
      <c r="X4526"/>
    </row>
    <row r="4527" spans="5:24" x14ac:dyDescent="0.3">
      <c r="E4527" s="173"/>
      <c r="F4527" s="173"/>
      <c r="I4527"/>
      <c r="J4527"/>
      <c r="K4527"/>
      <c r="L4527"/>
      <c r="M4527"/>
      <c r="N4527"/>
      <c r="O4527"/>
      <c r="P4527" s="225"/>
      <c r="Q4527" s="225"/>
      <c r="R4527"/>
      <c r="S4527"/>
      <c r="T4527"/>
      <c r="U4527"/>
      <c r="V4527"/>
      <c r="W4527"/>
      <c r="X4527"/>
    </row>
    <row r="4528" spans="5:24" x14ac:dyDescent="0.3">
      <c r="E4528" s="173"/>
      <c r="F4528" s="173"/>
      <c r="I4528"/>
      <c r="J4528"/>
      <c r="K4528"/>
      <c r="L4528"/>
      <c r="M4528"/>
      <c r="N4528"/>
      <c r="O4528"/>
      <c r="P4528" s="225"/>
      <c r="Q4528" s="225"/>
      <c r="R4528"/>
      <c r="S4528"/>
      <c r="T4528"/>
      <c r="U4528"/>
      <c r="V4528"/>
      <c r="W4528"/>
      <c r="X4528"/>
    </row>
    <row r="4529" spans="5:24" x14ac:dyDescent="0.3">
      <c r="E4529" s="173"/>
      <c r="F4529" s="173"/>
      <c r="I4529"/>
      <c r="J4529"/>
      <c r="K4529"/>
      <c r="L4529"/>
      <c r="M4529"/>
      <c r="N4529"/>
      <c r="O4529"/>
      <c r="P4529" s="225"/>
      <c r="Q4529" s="225"/>
      <c r="R4529"/>
      <c r="S4529"/>
      <c r="T4529"/>
      <c r="U4529"/>
      <c r="V4529"/>
      <c r="W4529"/>
      <c r="X4529"/>
    </row>
    <row r="4530" spans="5:24" x14ac:dyDescent="0.3">
      <c r="E4530" s="173"/>
      <c r="F4530" s="173"/>
      <c r="I4530"/>
      <c r="J4530"/>
      <c r="K4530"/>
      <c r="L4530"/>
      <c r="M4530"/>
      <c r="N4530"/>
      <c r="O4530"/>
      <c r="P4530" s="225"/>
      <c r="Q4530" s="225"/>
      <c r="R4530"/>
      <c r="S4530"/>
      <c r="T4530"/>
      <c r="U4530"/>
      <c r="V4530"/>
      <c r="W4530"/>
      <c r="X4530"/>
    </row>
    <row r="4531" spans="5:24" x14ac:dyDescent="0.3">
      <c r="E4531" s="173"/>
      <c r="F4531" s="173"/>
      <c r="I4531"/>
      <c r="J4531"/>
      <c r="K4531"/>
      <c r="L4531"/>
      <c r="M4531"/>
      <c r="N4531"/>
      <c r="O4531"/>
      <c r="P4531" s="225"/>
      <c r="Q4531" s="225"/>
      <c r="R4531"/>
      <c r="S4531"/>
      <c r="T4531"/>
      <c r="U4531"/>
      <c r="V4531"/>
      <c r="W4531"/>
      <c r="X4531"/>
    </row>
    <row r="4532" spans="5:24" x14ac:dyDescent="0.3">
      <c r="E4532" s="173"/>
      <c r="F4532" s="173"/>
      <c r="I4532"/>
      <c r="J4532"/>
      <c r="K4532"/>
      <c r="L4532"/>
      <c r="M4532"/>
      <c r="N4532"/>
      <c r="O4532"/>
      <c r="P4532" s="225"/>
      <c r="Q4532" s="225"/>
      <c r="R4532"/>
      <c r="S4532"/>
      <c r="T4532"/>
      <c r="U4532"/>
      <c r="V4532"/>
      <c r="W4532"/>
      <c r="X4532"/>
    </row>
    <row r="4533" spans="5:24" x14ac:dyDescent="0.3">
      <c r="E4533" s="173"/>
      <c r="F4533" s="173"/>
      <c r="I4533"/>
      <c r="J4533"/>
      <c r="K4533"/>
      <c r="L4533"/>
      <c r="M4533"/>
      <c r="N4533"/>
      <c r="O4533"/>
      <c r="P4533" s="225"/>
      <c r="Q4533" s="225"/>
      <c r="R4533"/>
      <c r="S4533"/>
      <c r="T4533"/>
      <c r="U4533"/>
      <c r="V4533"/>
      <c r="W4533"/>
      <c r="X4533"/>
    </row>
    <row r="4534" spans="5:24" x14ac:dyDescent="0.3">
      <c r="E4534" s="173"/>
      <c r="F4534" s="173"/>
      <c r="I4534"/>
      <c r="J4534"/>
      <c r="K4534"/>
      <c r="L4534"/>
      <c r="M4534"/>
      <c r="N4534"/>
      <c r="O4534"/>
      <c r="P4534" s="225"/>
      <c r="Q4534" s="225"/>
      <c r="R4534"/>
      <c r="S4534"/>
      <c r="T4534"/>
      <c r="U4534"/>
      <c r="V4534"/>
      <c r="W4534"/>
      <c r="X4534"/>
    </row>
    <row r="4535" spans="5:24" x14ac:dyDescent="0.3">
      <c r="E4535" s="173"/>
      <c r="F4535" s="173"/>
      <c r="I4535"/>
      <c r="J4535"/>
      <c r="K4535"/>
      <c r="L4535"/>
      <c r="M4535"/>
      <c r="N4535"/>
      <c r="O4535"/>
      <c r="P4535" s="225"/>
      <c r="Q4535" s="225"/>
      <c r="R4535"/>
      <c r="S4535"/>
      <c r="T4535"/>
      <c r="U4535"/>
      <c r="V4535"/>
      <c r="W4535"/>
      <c r="X4535"/>
    </row>
    <row r="4536" spans="5:24" x14ac:dyDescent="0.3">
      <c r="E4536" s="173"/>
      <c r="F4536" s="173"/>
      <c r="I4536"/>
      <c r="J4536"/>
      <c r="K4536"/>
      <c r="L4536"/>
      <c r="M4536"/>
      <c r="N4536"/>
      <c r="O4536"/>
      <c r="P4536" s="225"/>
      <c r="Q4536" s="225"/>
      <c r="R4536"/>
      <c r="S4536"/>
      <c r="T4536"/>
      <c r="U4536"/>
      <c r="V4536"/>
      <c r="W4536"/>
      <c r="X4536"/>
    </row>
    <row r="4537" spans="5:24" x14ac:dyDescent="0.3">
      <c r="E4537" s="173"/>
      <c r="F4537" s="173"/>
      <c r="I4537"/>
      <c r="J4537"/>
      <c r="K4537"/>
      <c r="L4537"/>
      <c r="M4537"/>
      <c r="N4537"/>
      <c r="O4537"/>
      <c r="P4537" s="225"/>
      <c r="Q4537" s="225"/>
      <c r="R4537"/>
      <c r="S4537"/>
      <c r="T4537"/>
      <c r="U4537"/>
      <c r="V4537"/>
      <c r="W4537"/>
      <c r="X4537"/>
    </row>
    <row r="4538" spans="5:24" x14ac:dyDescent="0.3">
      <c r="E4538" s="173"/>
      <c r="F4538" s="173"/>
      <c r="I4538"/>
      <c r="J4538"/>
      <c r="K4538"/>
      <c r="L4538"/>
      <c r="M4538"/>
      <c r="N4538"/>
      <c r="O4538"/>
      <c r="P4538" s="225"/>
      <c r="Q4538" s="225"/>
      <c r="R4538"/>
      <c r="S4538"/>
      <c r="T4538"/>
      <c r="U4538"/>
      <c r="V4538"/>
      <c r="W4538"/>
      <c r="X4538"/>
    </row>
    <row r="4539" spans="5:24" x14ac:dyDescent="0.3">
      <c r="E4539" s="173"/>
      <c r="F4539" s="173"/>
      <c r="I4539"/>
      <c r="J4539"/>
      <c r="K4539"/>
      <c r="L4539"/>
      <c r="M4539"/>
      <c r="N4539"/>
      <c r="O4539"/>
      <c r="P4539" s="225"/>
      <c r="Q4539" s="225"/>
      <c r="R4539"/>
      <c r="S4539"/>
      <c r="T4539"/>
      <c r="U4539"/>
      <c r="V4539"/>
      <c r="W4539"/>
      <c r="X4539"/>
    </row>
    <row r="4540" spans="5:24" x14ac:dyDescent="0.3">
      <c r="E4540" s="173"/>
      <c r="F4540" s="173"/>
      <c r="I4540"/>
      <c r="J4540"/>
      <c r="K4540"/>
      <c r="L4540"/>
      <c r="M4540"/>
      <c r="N4540"/>
      <c r="O4540"/>
      <c r="P4540" s="225"/>
      <c r="Q4540" s="225"/>
      <c r="R4540"/>
      <c r="S4540"/>
      <c r="T4540"/>
      <c r="U4540"/>
      <c r="V4540"/>
      <c r="W4540"/>
      <c r="X4540"/>
    </row>
    <row r="4541" spans="5:24" x14ac:dyDescent="0.3">
      <c r="E4541" s="173"/>
      <c r="F4541" s="173"/>
      <c r="I4541"/>
      <c r="J4541"/>
      <c r="K4541"/>
      <c r="L4541"/>
      <c r="M4541"/>
      <c r="N4541"/>
      <c r="O4541"/>
      <c r="P4541" s="225"/>
      <c r="Q4541" s="225"/>
      <c r="R4541"/>
      <c r="S4541"/>
      <c r="T4541"/>
      <c r="U4541"/>
      <c r="V4541"/>
      <c r="W4541"/>
      <c r="X4541"/>
    </row>
    <row r="4542" spans="5:24" x14ac:dyDescent="0.3">
      <c r="E4542" s="173"/>
      <c r="F4542" s="173"/>
      <c r="I4542"/>
      <c r="J4542"/>
      <c r="K4542"/>
      <c r="L4542"/>
      <c r="M4542"/>
      <c r="N4542"/>
      <c r="O4542"/>
      <c r="P4542" s="225"/>
      <c r="Q4542" s="225"/>
      <c r="R4542"/>
      <c r="S4542"/>
      <c r="T4542"/>
      <c r="U4542"/>
      <c r="V4542"/>
      <c r="W4542"/>
      <c r="X4542"/>
    </row>
    <row r="4543" spans="5:24" x14ac:dyDescent="0.3">
      <c r="E4543" s="173"/>
      <c r="F4543" s="173"/>
      <c r="I4543"/>
      <c r="J4543"/>
      <c r="K4543"/>
      <c r="L4543"/>
      <c r="M4543"/>
      <c r="N4543"/>
      <c r="O4543"/>
      <c r="P4543" s="225"/>
      <c r="Q4543" s="225"/>
      <c r="R4543"/>
      <c r="S4543"/>
      <c r="T4543"/>
      <c r="U4543"/>
      <c r="V4543"/>
      <c r="W4543"/>
      <c r="X4543"/>
    </row>
    <row r="4544" spans="5:24" x14ac:dyDescent="0.3">
      <c r="E4544" s="173"/>
      <c r="F4544" s="173"/>
      <c r="I4544"/>
      <c r="J4544"/>
      <c r="K4544"/>
      <c r="L4544"/>
      <c r="M4544"/>
      <c r="N4544"/>
      <c r="O4544"/>
      <c r="P4544" s="225"/>
      <c r="Q4544" s="225"/>
      <c r="R4544"/>
      <c r="S4544"/>
      <c r="T4544"/>
      <c r="U4544"/>
      <c r="V4544"/>
      <c r="W4544"/>
      <c r="X4544"/>
    </row>
    <row r="4545" spans="5:24" x14ac:dyDescent="0.3">
      <c r="E4545" s="173"/>
      <c r="F4545" s="173"/>
      <c r="I4545"/>
      <c r="J4545"/>
      <c r="K4545"/>
      <c r="L4545"/>
      <c r="M4545"/>
      <c r="N4545"/>
      <c r="O4545"/>
      <c r="P4545" s="225"/>
      <c r="Q4545" s="225"/>
      <c r="R4545"/>
      <c r="S4545"/>
      <c r="T4545"/>
      <c r="U4545"/>
      <c r="V4545"/>
      <c r="W4545"/>
      <c r="X4545"/>
    </row>
    <row r="4546" spans="5:24" x14ac:dyDescent="0.3">
      <c r="E4546" s="173"/>
      <c r="F4546" s="173"/>
      <c r="I4546"/>
      <c r="J4546"/>
      <c r="K4546"/>
      <c r="L4546"/>
      <c r="M4546"/>
      <c r="N4546"/>
      <c r="O4546"/>
      <c r="P4546" s="225"/>
      <c r="Q4546" s="225"/>
      <c r="R4546"/>
      <c r="S4546"/>
      <c r="T4546"/>
      <c r="U4546"/>
      <c r="V4546"/>
      <c r="W4546"/>
      <c r="X4546"/>
    </row>
    <row r="4547" spans="5:24" x14ac:dyDescent="0.3">
      <c r="E4547" s="173"/>
      <c r="F4547" s="173"/>
      <c r="I4547"/>
      <c r="J4547"/>
      <c r="K4547"/>
      <c r="L4547"/>
      <c r="M4547"/>
      <c r="N4547"/>
      <c r="O4547"/>
      <c r="P4547" s="225"/>
      <c r="Q4547" s="225"/>
      <c r="R4547"/>
      <c r="S4547"/>
      <c r="T4547"/>
      <c r="U4547"/>
      <c r="V4547"/>
      <c r="W4547"/>
      <c r="X4547"/>
    </row>
    <row r="4548" spans="5:24" x14ac:dyDescent="0.3">
      <c r="E4548" s="173"/>
      <c r="F4548" s="173"/>
      <c r="I4548"/>
      <c r="J4548"/>
      <c r="K4548"/>
      <c r="L4548"/>
      <c r="M4548"/>
      <c r="N4548"/>
      <c r="O4548"/>
      <c r="P4548" s="225"/>
      <c r="Q4548" s="225"/>
      <c r="R4548"/>
      <c r="S4548"/>
      <c r="T4548"/>
      <c r="U4548"/>
      <c r="V4548"/>
      <c r="W4548"/>
      <c r="X4548"/>
    </row>
    <row r="4549" spans="5:24" x14ac:dyDescent="0.3">
      <c r="E4549" s="173"/>
      <c r="F4549" s="173"/>
      <c r="I4549"/>
      <c r="J4549"/>
      <c r="K4549"/>
      <c r="L4549"/>
      <c r="M4549"/>
      <c r="N4549"/>
      <c r="O4549"/>
      <c r="P4549" s="225"/>
      <c r="Q4549" s="225"/>
      <c r="R4549"/>
      <c r="S4549"/>
      <c r="T4549"/>
      <c r="U4549"/>
      <c r="V4549"/>
      <c r="W4549"/>
      <c r="X4549"/>
    </row>
    <row r="4550" spans="5:24" x14ac:dyDescent="0.3">
      <c r="E4550" s="173"/>
      <c r="F4550" s="173"/>
      <c r="I4550"/>
      <c r="J4550"/>
      <c r="K4550"/>
      <c r="L4550"/>
      <c r="M4550"/>
      <c r="N4550"/>
      <c r="O4550"/>
      <c r="P4550" s="225"/>
      <c r="Q4550" s="225"/>
      <c r="R4550"/>
      <c r="S4550"/>
      <c r="T4550"/>
      <c r="U4550"/>
      <c r="V4550"/>
      <c r="W4550"/>
      <c r="X4550"/>
    </row>
    <row r="4551" spans="5:24" x14ac:dyDescent="0.3">
      <c r="E4551" s="173"/>
      <c r="F4551" s="173"/>
      <c r="I4551"/>
      <c r="J4551"/>
      <c r="K4551"/>
      <c r="L4551"/>
      <c r="M4551"/>
      <c r="N4551"/>
      <c r="O4551"/>
      <c r="P4551" s="225"/>
      <c r="Q4551" s="225"/>
      <c r="R4551"/>
      <c r="S4551"/>
      <c r="T4551"/>
      <c r="U4551"/>
      <c r="V4551"/>
      <c r="W4551"/>
      <c r="X4551"/>
    </row>
    <row r="4552" spans="5:24" x14ac:dyDescent="0.3">
      <c r="E4552" s="173"/>
      <c r="F4552" s="173"/>
      <c r="I4552"/>
      <c r="J4552"/>
      <c r="K4552"/>
      <c r="L4552"/>
      <c r="M4552"/>
      <c r="N4552"/>
      <c r="O4552"/>
      <c r="P4552" s="225"/>
      <c r="Q4552" s="225"/>
      <c r="R4552"/>
      <c r="S4552"/>
      <c r="T4552"/>
      <c r="U4552"/>
      <c r="V4552"/>
      <c r="W4552"/>
      <c r="X4552"/>
    </row>
    <row r="4553" spans="5:24" x14ac:dyDescent="0.3">
      <c r="E4553" s="173"/>
      <c r="F4553" s="173"/>
      <c r="I4553"/>
      <c r="J4553"/>
      <c r="K4553"/>
      <c r="L4553"/>
      <c r="M4553"/>
      <c r="N4553"/>
      <c r="O4553"/>
      <c r="P4553" s="225"/>
      <c r="Q4553" s="225"/>
      <c r="R4553"/>
      <c r="S4553"/>
      <c r="T4553"/>
      <c r="U4553"/>
      <c r="V4553"/>
      <c r="W4553"/>
      <c r="X4553"/>
    </row>
    <row r="4554" spans="5:24" x14ac:dyDescent="0.3">
      <c r="E4554" s="173"/>
      <c r="F4554" s="173"/>
      <c r="I4554"/>
      <c r="J4554"/>
      <c r="K4554"/>
      <c r="L4554"/>
      <c r="M4554"/>
      <c r="N4554"/>
      <c r="O4554"/>
      <c r="P4554" s="225"/>
      <c r="Q4554" s="225"/>
      <c r="R4554"/>
      <c r="S4554"/>
      <c r="T4554"/>
      <c r="U4554"/>
      <c r="V4554"/>
      <c r="W4554"/>
      <c r="X4554"/>
    </row>
    <row r="4555" spans="5:24" x14ac:dyDescent="0.3">
      <c r="E4555" s="173"/>
      <c r="F4555" s="173"/>
      <c r="I4555"/>
      <c r="J4555"/>
      <c r="K4555"/>
      <c r="L4555"/>
      <c r="M4555"/>
      <c r="N4555"/>
      <c r="O4555"/>
      <c r="P4555" s="225"/>
      <c r="Q4555" s="225"/>
      <c r="R4555"/>
      <c r="S4555"/>
      <c r="T4555"/>
      <c r="U4555"/>
      <c r="V4555"/>
      <c r="W4555"/>
      <c r="X4555"/>
    </row>
    <row r="4556" spans="5:24" x14ac:dyDescent="0.3">
      <c r="E4556" s="173"/>
      <c r="F4556" s="173"/>
      <c r="I4556"/>
      <c r="J4556"/>
      <c r="K4556"/>
      <c r="L4556"/>
      <c r="M4556"/>
      <c r="N4556"/>
      <c r="O4556"/>
      <c r="P4556" s="225"/>
      <c r="Q4556" s="225"/>
      <c r="R4556"/>
      <c r="S4556"/>
      <c r="T4556"/>
      <c r="U4556"/>
      <c r="V4556"/>
      <c r="W4556"/>
      <c r="X4556"/>
    </row>
    <row r="4557" spans="5:24" x14ac:dyDescent="0.3">
      <c r="E4557" s="173"/>
      <c r="F4557" s="173"/>
      <c r="I4557"/>
      <c r="J4557"/>
      <c r="K4557"/>
      <c r="L4557"/>
      <c r="M4557"/>
      <c r="N4557"/>
      <c r="O4557"/>
      <c r="P4557" s="225"/>
      <c r="Q4557" s="225"/>
      <c r="R4557"/>
      <c r="S4557"/>
      <c r="T4557"/>
      <c r="U4557"/>
      <c r="V4557"/>
      <c r="W4557"/>
      <c r="X4557"/>
    </row>
    <row r="4558" spans="5:24" x14ac:dyDescent="0.3">
      <c r="E4558" s="173"/>
      <c r="F4558" s="173"/>
      <c r="I4558"/>
      <c r="J4558"/>
      <c r="K4558"/>
      <c r="L4558"/>
      <c r="M4558"/>
      <c r="N4558"/>
      <c r="O4558"/>
      <c r="P4558" s="225"/>
      <c r="Q4558" s="225"/>
      <c r="R4558"/>
      <c r="S4558"/>
      <c r="T4558"/>
      <c r="U4558"/>
      <c r="V4558"/>
      <c r="W4558"/>
      <c r="X4558"/>
    </row>
    <row r="4559" spans="5:24" x14ac:dyDescent="0.3">
      <c r="E4559" s="173"/>
      <c r="F4559" s="173"/>
      <c r="I4559"/>
      <c r="J4559"/>
      <c r="K4559"/>
      <c r="L4559"/>
      <c r="M4559"/>
      <c r="N4559"/>
      <c r="O4559"/>
      <c r="P4559" s="225"/>
      <c r="Q4559" s="225"/>
      <c r="R4559"/>
      <c r="S4559"/>
      <c r="T4559"/>
      <c r="U4559"/>
      <c r="V4559"/>
      <c r="W4559"/>
      <c r="X4559"/>
    </row>
    <row r="4560" spans="5:24" x14ac:dyDescent="0.3">
      <c r="E4560" s="173"/>
      <c r="F4560" s="173"/>
      <c r="I4560"/>
      <c r="J4560"/>
      <c r="K4560"/>
      <c r="L4560"/>
      <c r="M4560"/>
      <c r="N4560"/>
      <c r="O4560"/>
      <c r="P4560" s="225"/>
      <c r="Q4560" s="225"/>
      <c r="R4560"/>
      <c r="S4560"/>
      <c r="T4560"/>
      <c r="U4560"/>
      <c r="V4560"/>
      <c r="W4560"/>
      <c r="X4560"/>
    </row>
    <row r="4561" spans="5:24" x14ac:dyDescent="0.3">
      <c r="E4561" s="173"/>
      <c r="F4561" s="173"/>
      <c r="I4561"/>
      <c r="J4561"/>
      <c r="K4561"/>
      <c r="L4561"/>
      <c r="M4561"/>
      <c r="N4561"/>
      <c r="O4561"/>
      <c r="P4561" s="225"/>
      <c r="Q4561" s="225"/>
      <c r="R4561"/>
      <c r="S4561"/>
      <c r="T4561"/>
      <c r="U4561"/>
      <c r="V4561"/>
      <c r="W4561"/>
      <c r="X4561"/>
    </row>
    <row r="4562" spans="5:24" x14ac:dyDescent="0.3">
      <c r="E4562" s="173"/>
      <c r="F4562" s="173"/>
      <c r="I4562"/>
      <c r="J4562"/>
      <c r="K4562"/>
      <c r="L4562"/>
      <c r="M4562"/>
      <c r="N4562"/>
      <c r="O4562"/>
      <c r="P4562" s="225"/>
      <c r="Q4562" s="225"/>
      <c r="R4562"/>
      <c r="S4562"/>
      <c r="T4562"/>
      <c r="U4562"/>
      <c r="V4562"/>
      <c r="W4562"/>
      <c r="X4562"/>
    </row>
    <row r="4563" spans="5:24" x14ac:dyDescent="0.3">
      <c r="E4563" s="173"/>
      <c r="F4563" s="173"/>
      <c r="I4563"/>
      <c r="J4563"/>
      <c r="K4563"/>
      <c r="L4563"/>
      <c r="M4563"/>
      <c r="N4563"/>
      <c r="O4563"/>
      <c r="P4563" s="225"/>
      <c r="Q4563" s="225"/>
      <c r="R4563"/>
      <c r="S4563"/>
      <c r="T4563"/>
      <c r="U4563"/>
      <c r="V4563"/>
      <c r="W4563"/>
      <c r="X4563"/>
    </row>
    <row r="4564" spans="5:24" x14ac:dyDescent="0.3">
      <c r="E4564" s="173"/>
      <c r="F4564" s="173"/>
      <c r="I4564"/>
      <c r="J4564"/>
      <c r="K4564"/>
      <c r="L4564"/>
      <c r="M4564"/>
      <c r="N4564"/>
      <c r="O4564"/>
      <c r="P4564" s="225"/>
      <c r="Q4564" s="225"/>
      <c r="R4564"/>
      <c r="S4564"/>
      <c r="T4564"/>
      <c r="U4564"/>
      <c r="V4564"/>
      <c r="W4564"/>
      <c r="X4564"/>
    </row>
    <row r="4565" spans="5:24" x14ac:dyDescent="0.3">
      <c r="E4565" s="173"/>
      <c r="F4565" s="173"/>
      <c r="I4565"/>
      <c r="J4565"/>
      <c r="K4565"/>
      <c r="L4565"/>
      <c r="M4565"/>
      <c r="N4565"/>
      <c r="O4565"/>
      <c r="P4565" s="225"/>
      <c r="Q4565" s="225"/>
      <c r="R4565"/>
      <c r="S4565"/>
      <c r="T4565"/>
      <c r="U4565"/>
      <c r="V4565"/>
      <c r="W4565"/>
      <c r="X4565"/>
    </row>
    <row r="4566" spans="5:24" x14ac:dyDescent="0.3">
      <c r="E4566" s="173"/>
      <c r="F4566" s="173"/>
      <c r="I4566"/>
      <c r="J4566"/>
      <c r="K4566"/>
      <c r="L4566"/>
      <c r="M4566"/>
      <c r="N4566"/>
      <c r="O4566"/>
      <c r="P4566" s="225"/>
      <c r="Q4566" s="225"/>
      <c r="R4566"/>
      <c r="S4566"/>
      <c r="T4566"/>
      <c r="U4566"/>
      <c r="V4566"/>
      <c r="W4566"/>
      <c r="X4566"/>
    </row>
    <row r="4567" spans="5:24" x14ac:dyDescent="0.3">
      <c r="E4567" s="173"/>
      <c r="F4567" s="173"/>
      <c r="I4567"/>
      <c r="J4567"/>
      <c r="K4567"/>
      <c r="L4567"/>
      <c r="M4567"/>
      <c r="N4567"/>
      <c r="O4567"/>
      <c r="P4567" s="225"/>
      <c r="Q4567" s="225"/>
      <c r="R4567"/>
      <c r="S4567"/>
      <c r="T4567"/>
      <c r="U4567"/>
      <c r="V4567"/>
      <c r="W4567"/>
      <c r="X4567"/>
    </row>
    <row r="4568" spans="5:24" x14ac:dyDescent="0.3">
      <c r="E4568" s="173"/>
      <c r="F4568" s="173"/>
      <c r="I4568"/>
      <c r="J4568"/>
      <c r="K4568"/>
      <c r="L4568"/>
      <c r="M4568"/>
      <c r="N4568"/>
      <c r="O4568"/>
      <c r="P4568" s="225"/>
      <c r="Q4568" s="225"/>
      <c r="R4568"/>
      <c r="S4568"/>
      <c r="T4568"/>
      <c r="U4568"/>
      <c r="V4568"/>
      <c r="W4568"/>
      <c r="X4568"/>
    </row>
    <row r="4569" spans="5:24" x14ac:dyDescent="0.3">
      <c r="E4569" s="173"/>
      <c r="F4569" s="173"/>
      <c r="I4569"/>
      <c r="J4569"/>
      <c r="K4569"/>
      <c r="L4569"/>
      <c r="M4569"/>
      <c r="N4569"/>
      <c r="O4569"/>
      <c r="P4569" s="225"/>
      <c r="Q4569" s="225"/>
      <c r="R4569"/>
      <c r="S4569"/>
      <c r="T4569"/>
      <c r="U4569"/>
      <c r="V4569"/>
      <c r="W4569"/>
      <c r="X4569"/>
    </row>
    <row r="4570" spans="5:24" x14ac:dyDescent="0.3">
      <c r="E4570" s="173"/>
      <c r="F4570" s="173"/>
      <c r="I4570"/>
      <c r="J4570"/>
      <c r="K4570"/>
      <c r="L4570"/>
      <c r="M4570"/>
      <c r="N4570"/>
      <c r="O4570"/>
      <c r="P4570" s="225"/>
      <c r="Q4570" s="225"/>
      <c r="R4570"/>
      <c r="S4570"/>
      <c r="T4570"/>
      <c r="U4570"/>
      <c r="V4570"/>
      <c r="W4570"/>
      <c r="X4570"/>
    </row>
    <row r="4571" spans="5:24" x14ac:dyDescent="0.3">
      <c r="E4571" s="173"/>
      <c r="F4571" s="173"/>
      <c r="I4571"/>
      <c r="J4571"/>
      <c r="K4571"/>
      <c r="L4571"/>
      <c r="M4571"/>
      <c r="N4571"/>
      <c r="O4571"/>
      <c r="P4571" s="225"/>
      <c r="Q4571" s="225"/>
      <c r="R4571"/>
      <c r="S4571"/>
      <c r="T4571"/>
      <c r="U4571"/>
      <c r="V4571"/>
      <c r="W4571"/>
      <c r="X4571"/>
    </row>
    <row r="4572" spans="5:24" x14ac:dyDescent="0.3">
      <c r="E4572" s="173"/>
      <c r="F4572" s="173"/>
      <c r="I4572"/>
      <c r="J4572"/>
      <c r="K4572"/>
      <c r="L4572"/>
      <c r="M4572"/>
      <c r="N4572"/>
      <c r="O4572"/>
      <c r="P4572" s="225"/>
      <c r="Q4572" s="225"/>
      <c r="R4572"/>
      <c r="S4572"/>
      <c r="T4572"/>
      <c r="U4572"/>
      <c r="V4572"/>
      <c r="W4572"/>
      <c r="X4572"/>
    </row>
    <row r="4573" spans="5:24" x14ac:dyDescent="0.3">
      <c r="E4573" s="173"/>
      <c r="F4573" s="173"/>
      <c r="I4573"/>
      <c r="J4573"/>
      <c r="K4573"/>
      <c r="L4573"/>
      <c r="M4573"/>
      <c r="N4573"/>
      <c r="O4573"/>
      <c r="P4573" s="225"/>
      <c r="Q4573" s="225"/>
      <c r="R4573"/>
      <c r="S4573"/>
      <c r="T4573"/>
      <c r="U4573"/>
      <c r="V4573"/>
      <c r="W4573"/>
      <c r="X4573"/>
    </row>
    <row r="4574" spans="5:24" x14ac:dyDescent="0.3">
      <c r="E4574" s="173"/>
      <c r="F4574" s="173"/>
      <c r="I4574"/>
      <c r="J4574"/>
      <c r="K4574"/>
      <c r="L4574"/>
      <c r="M4574"/>
      <c r="N4574"/>
      <c r="O4574"/>
      <c r="P4574" s="225"/>
      <c r="Q4574" s="225"/>
      <c r="R4574"/>
      <c r="S4574"/>
      <c r="T4574"/>
      <c r="U4574"/>
      <c r="V4574"/>
      <c r="W4574"/>
      <c r="X4574"/>
    </row>
    <row r="4575" spans="5:24" x14ac:dyDescent="0.3">
      <c r="E4575" s="173"/>
      <c r="F4575" s="173"/>
      <c r="I4575"/>
      <c r="J4575"/>
      <c r="K4575"/>
      <c r="L4575"/>
      <c r="M4575"/>
      <c r="N4575"/>
      <c r="O4575"/>
      <c r="P4575" s="225"/>
      <c r="Q4575" s="225"/>
      <c r="R4575"/>
      <c r="S4575"/>
      <c r="T4575"/>
      <c r="U4575"/>
      <c r="V4575"/>
      <c r="W4575"/>
      <c r="X4575"/>
    </row>
    <row r="4576" spans="5:24" x14ac:dyDescent="0.3">
      <c r="E4576" s="173"/>
      <c r="F4576" s="173"/>
      <c r="I4576"/>
      <c r="J4576"/>
      <c r="K4576"/>
      <c r="L4576"/>
      <c r="M4576"/>
      <c r="N4576"/>
      <c r="O4576"/>
      <c r="P4576" s="225"/>
      <c r="Q4576" s="225"/>
      <c r="R4576"/>
      <c r="S4576"/>
      <c r="T4576"/>
      <c r="U4576"/>
      <c r="V4576"/>
      <c r="W4576"/>
      <c r="X4576"/>
    </row>
    <row r="4577" spans="5:24" x14ac:dyDescent="0.3">
      <c r="E4577" s="173"/>
      <c r="F4577" s="173"/>
      <c r="I4577"/>
      <c r="J4577"/>
      <c r="K4577"/>
      <c r="L4577"/>
      <c r="M4577"/>
      <c r="N4577"/>
      <c r="O4577"/>
      <c r="P4577" s="225"/>
      <c r="Q4577" s="225"/>
      <c r="R4577"/>
      <c r="S4577"/>
      <c r="T4577"/>
      <c r="U4577"/>
      <c r="V4577"/>
      <c r="W4577"/>
      <c r="X4577"/>
    </row>
    <row r="4578" spans="5:24" x14ac:dyDescent="0.3">
      <c r="E4578" s="173"/>
      <c r="F4578" s="173"/>
      <c r="I4578"/>
      <c r="J4578"/>
      <c r="K4578"/>
      <c r="L4578"/>
      <c r="M4578"/>
      <c r="N4578"/>
      <c r="O4578"/>
      <c r="P4578" s="225"/>
      <c r="Q4578" s="225"/>
      <c r="R4578"/>
      <c r="S4578"/>
      <c r="T4578"/>
      <c r="U4578"/>
      <c r="V4578"/>
      <c r="W4578"/>
      <c r="X4578"/>
    </row>
    <row r="4579" spans="5:24" x14ac:dyDescent="0.3">
      <c r="E4579" s="173"/>
      <c r="F4579" s="173"/>
      <c r="I4579"/>
      <c r="J4579"/>
      <c r="K4579"/>
      <c r="L4579"/>
      <c r="M4579"/>
      <c r="N4579"/>
      <c r="O4579"/>
      <c r="P4579" s="225"/>
      <c r="Q4579" s="225"/>
      <c r="R4579"/>
      <c r="S4579"/>
      <c r="T4579"/>
      <c r="U4579"/>
      <c r="V4579"/>
      <c r="W4579"/>
      <c r="X4579"/>
    </row>
    <row r="4580" spans="5:24" x14ac:dyDescent="0.3">
      <c r="E4580" s="173"/>
      <c r="F4580" s="173"/>
      <c r="I4580"/>
      <c r="J4580"/>
      <c r="K4580"/>
      <c r="L4580"/>
      <c r="M4580"/>
      <c r="N4580"/>
      <c r="O4580"/>
      <c r="P4580" s="225"/>
      <c r="Q4580" s="225"/>
      <c r="R4580"/>
      <c r="S4580"/>
      <c r="T4580"/>
      <c r="U4580"/>
      <c r="V4580"/>
      <c r="W4580"/>
      <c r="X4580"/>
    </row>
    <row r="4581" spans="5:24" x14ac:dyDescent="0.3">
      <c r="E4581" s="173"/>
      <c r="F4581" s="173"/>
      <c r="I4581"/>
      <c r="J4581"/>
      <c r="K4581"/>
      <c r="L4581"/>
      <c r="M4581"/>
      <c r="N4581"/>
      <c r="O4581"/>
      <c r="P4581" s="225"/>
      <c r="Q4581" s="225"/>
      <c r="R4581"/>
      <c r="S4581"/>
      <c r="T4581"/>
      <c r="U4581"/>
      <c r="V4581"/>
      <c r="W4581"/>
      <c r="X4581"/>
    </row>
    <row r="4582" spans="5:24" x14ac:dyDescent="0.3">
      <c r="E4582" s="173"/>
      <c r="F4582" s="173"/>
      <c r="I4582"/>
      <c r="J4582"/>
      <c r="K4582"/>
      <c r="L4582"/>
      <c r="M4582"/>
      <c r="N4582"/>
      <c r="O4582"/>
      <c r="P4582" s="225"/>
      <c r="Q4582" s="225"/>
      <c r="R4582"/>
      <c r="S4582"/>
      <c r="T4582"/>
      <c r="U4582"/>
      <c r="V4582"/>
      <c r="W4582"/>
      <c r="X4582"/>
    </row>
    <row r="4583" spans="5:24" x14ac:dyDescent="0.3">
      <c r="E4583" s="173"/>
      <c r="F4583" s="173"/>
      <c r="I4583"/>
      <c r="J4583"/>
      <c r="K4583"/>
      <c r="L4583"/>
      <c r="M4583"/>
      <c r="N4583"/>
      <c r="O4583"/>
      <c r="P4583" s="225"/>
      <c r="Q4583" s="225"/>
      <c r="R4583"/>
      <c r="S4583"/>
      <c r="T4583"/>
      <c r="U4583"/>
      <c r="V4583"/>
      <c r="W4583"/>
      <c r="X4583"/>
    </row>
    <row r="4584" spans="5:24" x14ac:dyDescent="0.3">
      <c r="E4584" s="173"/>
      <c r="F4584" s="173"/>
      <c r="I4584"/>
      <c r="J4584"/>
      <c r="K4584"/>
      <c r="L4584"/>
      <c r="M4584"/>
      <c r="N4584"/>
      <c r="O4584"/>
      <c r="P4584" s="225"/>
      <c r="Q4584" s="225"/>
      <c r="R4584"/>
      <c r="S4584"/>
      <c r="T4584"/>
      <c r="U4584"/>
      <c r="V4584"/>
      <c r="W4584"/>
      <c r="X4584"/>
    </row>
    <row r="4585" spans="5:24" x14ac:dyDescent="0.3">
      <c r="E4585" s="173"/>
      <c r="F4585" s="173"/>
      <c r="I4585"/>
      <c r="J4585"/>
      <c r="K4585"/>
      <c r="L4585"/>
      <c r="M4585"/>
      <c r="N4585"/>
      <c r="O4585"/>
      <c r="P4585" s="225"/>
      <c r="Q4585" s="225"/>
      <c r="R4585"/>
      <c r="S4585"/>
      <c r="T4585"/>
      <c r="U4585"/>
      <c r="V4585"/>
      <c r="W4585"/>
      <c r="X4585"/>
    </row>
    <row r="4586" spans="5:24" x14ac:dyDescent="0.3">
      <c r="E4586" s="173"/>
      <c r="F4586" s="173"/>
      <c r="I4586"/>
      <c r="J4586"/>
      <c r="K4586"/>
      <c r="L4586"/>
      <c r="M4586"/>
      <c r="N4586"/>
      <c r="O4586"/>
      <c r="P4586" s="225"/>
      <c r="Q4586" s="225"/>
      <c r="R4586"/>
      <c r="S4586"/>
      <c r="T4586"/>
      <c r="U4586"/>
      <c r="V4586"/>
      <c r="W4586"/>
      <c r="X4586"/>
    </row>
    <row r="4587" spans="5:24" x14ac:dyDescent="0.3">
      <c r="E4587" s="173"/>
      <c r="F4587" s="173"/>
      <c r="I4587"/>
      <c r="J4587"/>
      <c r="K4587"/>
      <c r="L4587"/>
      <c r="M4587"/>
      <c r="N4587"/>
      <c r="O4587"/>
      <c r="P4587" s="225"/>
      <c r="Q4587" s="225"/>
      <c r="R4587"/>
      <c r="S4587"/>
      <c r="T4587"/>
      <c r="U4587"/>
      <c r="V4587"/>
      <c r="W4587"/>
      <c r="X4587"/>
    </row>
    <row r="4588" spans="5:24" x14ac:dyDescent="0.3">
      <c r="E4588" s="173"/>
      <c r="F4588" s="173"/>
      <c r="I4588"/>
      <c r="J4588"/>
      <c r="K4588"/>
      <c r="L4588"/>
      <c r="M4588"/>
      <c r="N4588"/>
      <c r="O4588"/>
      <c r="P4588" s="225"/>
      <c r="Q4588" s="225"/>
      <c r="R4588"/>
      <c r="S4588"/>
      <c r="T4588"/>
      <c r="U4588"/>
      <c r="V4588"/>
      <c r="W4588"/>
      <c r="X4588"/>
    </row>
    <row r="4589" spans="5:24" x14ac:dyDescent="0.3">
      <c r="E4589" s="173"/>
      <c r="F4589" s="173"/>
      <c r="I4589"/>
      <c r="J4589"/>
      <c r="K4589"/>
      <c r="L4589"/>
      <c r="M4589"/>
      <c r="N4589"/>
      <c r="O4589"/>
      <c r="P4589" s="225"/>
      <c r="Q4589" s="225"/>
      <c r="R4589"/>
      <c r="S4589"/>
      <c r="T4589"/>
      <c r="U4589"/>
      <c r="V4589"/>
      <c r="W4589"/>
      <c r="X4589"/>
    </row>
    <row r="4590" spans="5:24" x14ac:dyDescent="0.3">
      <c r="E4590" s="173"/>
      <c r="F4590" s="173"/>
      <c r="I4590"/>
      <c r="J4590"/>
      <c r="K4590"/>
      <c r="L4590"/>
      <c r="M4590"/>
      <c r="N4590"/>
      <c r="O4590"/>
      <c r="P4590" s="225"/>
      <c r="Q4590" s="225"/>
      <c r="R4590"/>
      <c r="S4590"/>
      <c r="T4590"/>
      <c r="U4590"/>
      <c r="V4590"/>
      <c r="W4590"/>
      <c r="X4590"/>
    </row>
    <row r="4591" spans="5:24" x14ac:dyDescent="0.3">
      <c r="E4591" s="173"/>
      <c r="F4591" s="173"/>
      <c r="I4591"/>
      <c r="J4591"/>
      <c r="K4591"/>
      <c r="L4591"/>
      <c r="M4591"/>
      <c r="N4591"/>
      <c r="O4591"/>
      <c r="P4591" s="225"/>
      <c r="Q4591" s="225"/>
      <c r="R4591"/>
      <c r="S4591"/>
      <c r="T4591"/>
      <c r="U4591"/>
      <c r="V4591"/>
      <c r="W4591"/>
      <c r="X4591"/>
    </row>
    <row r="4592" spans="5:24" x14ac:dyDescent="0.3">
      <c r="E4592" s="173"/>
      <c r="F4592" s="173"/>
      <c r="I4592"/>
      <c r="J4592"/>
      <c r="K4592"/>
      <c r="L4592"/>
      <c r="M4592"/>
      <c r="N4592"/>
      <c r="O4592"/>
      <c r="P4592" s="225"/>
      <c r="Q4592" s="225"/>
      <c r="R4592"/>
      <c r="S4592"/>
      <c r="T4592"/>
      <c r="U4592"/>
      <c r="V4592"/>
      <c r="W4592"/>
      <c r="X4592"/>
    </row>
    <row r="4593" spans="5:24" x14ac:dyDescent="0.3">
      <c r="E4593" s="173"/>
      <c r="F4593" s="173"/>
      <c r="I4593"/>
      <c r="J4593"/>
      <c r="K4593"/>
      <c r="L4593"/>
      <c r="M4593"/>
      <c r="N4593"/>
      <c r="O4593"/>
      <c r="P4593" s="225"/>
      <c r="Q4593" s="225"/>
      <c r="R4593"/>
      <c r="S4593"/>
      <c r="T4593"/>
      <c r="U4593"/>
      <c r="V4593"/>
      <c r="W4593"/>
      <c r="X4593"/>
    </row>
    <row r="4594" spans="5:24" x14ac:dyDescent="0.3">
      <c r="E4594" s="173"/>
      <c r="F4594" s="173"/>
      <c r="I4594"/>
      <c r="J4594"/>
      <c r="K4594"/>
      <c r="L4594"/>
      <c r="M4594"/>
      <c r="N4594"/>
      <c r="O4594"/>
      <c r="P4594" s="225"/>
      <c r="Q4594" s="225"/>
      <c r="R4594"/>
      <c r="S4594"/>
      <c r="T4594"/>
      <c r="U4594"/>
      <c r="V4594"/>
      <c r="W4594"/>
      <c r="X4594"/>
    </row>
    <row r="4595" spans="5:24" x14ac:dyDescent="0.3">
      <c r="E4595" s="173"/>
      <c r="F4595" s="173"/>
      <c r="I4595"/>
      <c r="J4595"/>
      <c r="K4595"/>
      <c r="L4595"/>
      <c r="M4595"/>
      <c r="N4595"/>
      <c r="O4595"/>
      <c r="P4595" s="225"/>
      <c r="Q4595" s="225"/>
      <c r="R4595"/>
      <c r="S4595"/>
      <c r="T4595"/>
      <c r="U4595"/>
      <c r="V4595"/>
      <c r="W4595"/>
      <c r="X4595"/>
    </row>
    <row r="4596" spans="5:24" x14ac:dyDescent="0.3">
      <c r="E4596" s="173"/>
      <c r="F4596" s="173"/>
      <c r="I4596"/>
      <c r="J4596"/>
      <c r="K4596"/>
      <c r="L4596"/>
      <c r="M4596"/>
      <c r="N4596"/>
      <c r="O4596"/>
      <c r="P4596" s="225"/>
      <c r="Q4596" s="225"/>
      <c r="R4596"/>
      <c r="S4596"/>
      <c r="T4596"/>
      <c r="U4596"/>
      <c r="V4596"/>
      <c r="W4596"/>
      <c r="X4596"/>
    </row>
    <row r="4597" spans="5:24" x14ac:dyDescent="0.3">
      <c r="E4597" s="173"/>
      <c r="F4597" s="173"/>
      <c r="I4597"/>
      <c r="J4597"/>
      <c r="K4597"/>
      <c r="L4597"/>
      <c r="M4597"/>
      <c r="N4597"/>
      <c r="O4597"/>
      <c r="P4597" s="225"/>
      <c r="Q4597" s="225"/>
      <c r="R4597"/>
      <c r="S4597"/>
      <c r="T4597"/>
      <c r="U4597"/>
      <c r="V4597"/>
      <c r="W4597"/>
      <c r="X4597"/>
    </row>
    <row r="4598" spans="5:24" x14ac:dyDescent="0.3">
      <c r="E4598" s="173"/>
      <c r="F4598" s="173"/>
      <c r="I4598"/>
      <c r="J4598"/>
      <c r="K4598"/>
      <c r="L4598"/>
      <c r="M4598"/>
      <c r="N4598"/>
      <c r="O4598"/>
      <c r="P4598" s="225"/>
      <c r="Q4598" s="225"/>
      <c r="R4598"/>
      <c r="S4598"/>
      <c r="T4598"/>
      <c r="U4598"/>
      <c r="V4598"/>
      <c r="W4598"/>
      <c r="X4598"/>
    </row>
    <row r="4599" spans="5:24" x14ac:dyDescent="0.3">
      <c r="E4599" s="173"/>
      <c r="F4599" s="173"/>
      <c r="I4599"/>
      <c r="J4599"/>
      <c r="K4599"/>
      <c r="L4599"/>
      <c r="M4599"/>
      <c r="N4599"/>
      <c r="O4599"/>
      <c r="P4599" s="225"/>
      <c r="Q4599" s="225"/>
      <c r="R4599"/>
      <c r="S4599"/>
      <c r="T4599"/>
      <c r="U4599"/>
      <c r="V4599"/>
      <c r="W4599"/>
      <c r="X4599"/>
    </row>
    <row r="4600" spans="5:24" x14ac:dyDescent="0.3">
      <c r="E4600" s="173"/>
      <c r="F4600" s="173"/>
      <c r="I4600"/>
      <c r="J4600"/>
      <c r="K4600"/>
      <c r="L4600"/>
      <c r="M4600"/>
      <c r="N4600"/>
      <c r="O4600"/>
      <c r="P4600" s="225"/>
      <c r="Q4600" s="225"/>
      <c r="R4600"/>
      <c r="S4600"/>
      <c r="T4600"/>
      <c r="U4600"/>
      <c r="V4600"/>
      <c r="W4600"/>
      <c r="X4600"/>
    </row>
    <row r="4601" spans="5:24" x14ac:dyDescent="0.3">
      <c r="E4601" s="173"/>
      <c r="F4601" s="173"/>
      <c r="I4601"/>
      <c r="J4601"/>
      <c r="K4601"/>
      <c r="L4601"/>
      <c r="M4601"/>
      <c r="N4601"/>
      <c r="O4601"/>
      <c r="P4601" s="225"/>
      <c r="Q4601" s="225"/>
      <c r="R4601"/>
      <c r="S4601"/>
      <c r="T4601"/>
      <c r="U4601"/>
      <c r="V4601"/>
      <c r="W4601"/>
      <c r="X4601"/>
    </row>
    <row r="4602" spans="5:24" x14ac:dyDescent="0.3">
      <c r="E4602" s="173"/>
      <c r="F4602" s="173"/>
      <c r="I4602"/>
      <c r="J4602"/>
      <c r="K4602"/>
      <c r="L4602"/>
      <c r="M4602"/>
      <c r="N4602"/>
      <c r="O4602"/>
      <c r="P4602" s="225"/>
      <c r="Q4602" s="225"/>
      <c r="R4602"/>
      <c r="S4602"/>
      <c r="T4602"/>
      <c r="U4602"/>
      <c r="V4602"/>
      <c r="W4602"/>
      <c r="X4602"/>
    </row>
    <row r="4603" spans="5:24" x14ac:dyDescent="0.3">
      <c r="E4603" s="173"/>
      <c r="F4603" s="173"/>
      <c r="I4603"/>
      <c r="J4603"/>
      <c r="K4603"/>
      <c r="L4603"/>
      <c r="M4603"/>
      <c r="N4603"/>
      <c r="O4603"/>
      <c r="P4603" s="225"/>
      <c r="Q4603" s="225"/>
      <c r="R4603"/>
      <c r="S4603"/>
      <c r="T4603"/>
      <c r="U4603"/>
      <c r="V4603"/>
      <c r="W4603"/>
      <c r="X4603"/>
    </row>
    <row r="4604" spans="5:24" x14ac:dyDescent="0.3">
      <c r="E4604" s="173"/>
      <c r="F4604" s="173"/>
      <c r="I4604"/>
      <c r="J4604"/>
      <c r="K4604"/>
      <c r="L4604"/>
      <c r="M4604"/>
      <c r="N4604"/>
      <c r="O4604"/>
      <c r="P4604" s="225"/>
      <c r="Q4604" s="225"/>
      <c r="R4604"/>
      <c r="S4604"/>
      <c r="T4604"/>
      <c r="U4604"/>
      <c r="V4604"/>
      <c r="W4604"/>
      <c r="X4604"/>
    </row>
    <row r="4605" spans="5:24" x14ac:dyDescent="0.3">
      <c r="E4605" s="173"/>
      <c r="F4605" s="173"/>
      <c r="I4605"/>
      <c r="J4605"/>
      <c r="K4605"/>
      <c r="L4605"/>
      <c r="M4605"/>
      <c r="N4605"/>
      <c r="O4605"/>
      <c r="P4605" s="225"/>
      <c r="Q4605" s="225"/>
      <c r="R4605"/>
      <c r="S4605"/>
      <c r="T4605"/>
      <c r="U4605"/>
      <c r="V4605"/>
      <c r="W4605"/>
      <c r="X4605"/>
    </row>
    <row r="4606" spans="5:24" x14ac:dyDescent="0.3">
      <c r="E4606" s="173"/>
      <c r="F4606" s="173"/>
      <c r="I4606"/>
      <c r="J4606"/>
      <c r="K4606"/>
      <c r="L4606"/>
      <c r="M4606"/>
      <c r="N4606"/>
      <c r="O4606"/>
      <c r="P4606" s="225"/>
      <c r="Q4606" s="225"/>
      <c r="R4606"/>
      <c r="S4606"/>
      <c r="T4606"/>
      <c r="U4606"/>
      <c r="V4606"/>
      <c r="W4606"/>
      <c r="X4606"/>
    </row>
    <row r="4607" spans="5:24" x14ac:dyDescent="0.3">
      <c r="E4607" s="173"/>
      <c r="F4607" s="173"/>
      <c r="I4607"/>
      <c r="J4607"/>
      <c r="K4607"/>
      <c r="L4607"/>
      <c r="M4607"/>
      <c r="N4607"/>
      <c r="O4607"/>
      <c r="P4607" s="225"/>
      <c r="Q4607" s="225"/>
      <c r="R4607"/>
      <c r="S4607"/>
      <c r="T4607"/>
      <c r="U4607"/>
      <c r="V4607"/>
      <c r="W4607"/>
      <c r="X4607"/>
    </row>
    <row r="4608" spans="5:24" x14ac:dyDescent="0.3">
      <c r="E4608" s="173"/>
      <c r="F4608" s="173"/>
      <c r="I4608"/>
      <c r="J4608"/>
      <c r="K4608"/>
      <c r="L4608"/>
      <c r="M4608"/>
      <c r="N4608"/>
      <c r="O4608"/>
      <c r="P4608" s="225"/>
      <c r="Q4608" s="225"/>
      <c r="R4608"/>
      <c r="S4608"/>
      <c r="T4608"/>
      <c r="U4608"/>
      <c r="V4608"/>
      <c r="W4608"/>
      <c r="X4608"/>
    </row>
    <row r="4609" spans="5:24" x14ac:dyDescent="0.3">
      <c r="E4609" s="173"/>
      <c r="F4609" s="173"/>
      <c r="I4609"/>
      <c r="J4609"/>
      <c r="K4609"/>
      <c r="L4609"/>
      <c r="M4609"/>
      <c r="N4609"/>
      <c r="O4609"/>
      <c r="P4609" s="225"/>
      <c r="Q4609" s="225"/>
      <c r="R4609"/>
      <c r="S4609"/>
      <c r="T4609"/>
      <c r="U4609"/>
      <c r="V4609"/>
      <c r="W4609"/>
      <c r="X4609"/>
    </row>
    <row r="4610" spans="5:24" x14ac:dyDescent="0.3">
      <c r="E4610" s="173"/>
      <c r="F4610" s="173"/>
      <c r="I4610"/>
      <c r="J4610"/>
      <c r="K4610"/>
      <c r="L4610"/>
      <c r="M4610"/>
      <c r="N4610"/>
      <c r="O4610"/>
      <c r="P4610" s="225"/>
      <c r="Q4610" s="225"/>
      <c r="R4610"/>
      <c r="S4610"/>
      <c r="T4610"/>
      <c r="U4610"/>
      <c r="V4610"/>
      <c r="W4610"/>
      <c r="X4610"/>
    </row>
    <row r="4611" spans="5:24" x14ac:dyDescent="0.3">
      <c r="E4611" s="173"/>
      <c r="F4611" s="173"/>
      <c r="I4611"/>
      <c r="J4611"/>
      <c r="K4611"/>
      <c r="L4611"/>
      <c r="M4611"/>
      <c r="N4611"/>
      <c r="O4611"/>
      <c r="P4611" s="225"/>
      <c r="Q4611" s="225"/>
      <c r="R4611"/>
      <c r="S4611"/>
      <c r="T4611"/>
      <c r="U4611"/>
      <c r="V4611"/>
      <c r="W4611"/>
      <c r="X4611"/>
    </row>
    <row r="4612" spans="5:24" x14ac:dyDescent="0.3">
      <c r="E4612" s="173"/>
      <c r="F4612" s="173"/>
      <c r="I4612"/>
      <c r="J4612"/>
      <c r="K4612"/>
      <c r="L4612"/>
      <c r="M4612"/>
      <c r="N4612"/>
      <c r="O4612"/>
      <c r="P4612" s="225"/>
      <c r="Q4612" s="225"/>
      <c r="R4612"/>
      <c r="S4612"/>
      <c r="T4612"/>
      <c r="U4612"/>
      <c r="V4612"/>
      <c r="W4612"/>
      <c r="X4612"/>
    </row>
    <row r="4613" spans="5:24" x14ac:dyDescent="0.3">
      <c r="E4613" s="173"/>
      <c r="F4613" s="173"/>
      <c r="I4613"/>
      <c r="J4613"/>
      <c r="K4613"/>
      <c r="L4613"/>
      <c r="M4613"/>
      <c r="N4613"/>
      <c r="O4613"/>
      <c r="P4613" s="225"/>
      <c r="Q4613" s="225"/>
      <c r="R4613"/>
      <c r="S4613"/>
      <c r="T4613"/>
      <c r="U4613"/>
      <c r="V4613"/>
      <c r="W4613"/>
      <c r="X4613"/>
    </row>
    <row r="4614" spans="5:24" x14ac:dyDescent="0.3">
      <c r="E4614" s="173"/>
      <c r="F4614" s="173"/>
      <c r="I4614"/>
      <c r="J4614"/>
      <c r="K4614"/>
      <c r="L4614"/>
      <c r="M4614"/>
      <c r="N4614"/>
      <c r="O4614"/>
      <c r="P4614" s="225"/>
      <c r="Q4614" s="225"/>
      <c r="R4614"/>
      <c r="S4614"/>
      <c r="T4614"/>
      <c r="U4614"/>
      <c r="V4614"/>
      <c r="W4614"/>
      <c r="X4614"/>
    </row>
    <row r="4615" spans="5:24" x14ac:dyDescent="0.3">
      <c r="E4615" s="173"/>
      <c r="F4615" s="173"/>
      <c r="I4615"/>
      <c r="J4615"/>
      <c r="K4615"/>
      <c r="L4615"/>
      <c r="M4615"/>
      <c r="N4615"/>
      <c r="O4615"/>
      <c r="P4615" s="225"/>
      <c r="Q4615" s="225"/>
      <c r="R4615"/>
      <c r="S4615"/>
      <c r="T4615"/>
      <c r="U4615"/>
      <c r="V4615"/>
      <c r="W4615"/>
      <c r="X4615"/>
    </row>
    <row r="4616" spans="5:24" x14ac:dyDescent="0.3">
      <c r="E4616" s="173"/>
      <c r="F4616" s="173"/>
      <c r="I4616"/>
      <c r="J4616"/>
      <c r="K4616"/>
      <c r="L4616"/>
      <c r="M4616"/>
      <c r="N4616"/>
      <c r="O4616"/>
      <c r="P4616" s="225"/>
      <c r="Q4616" s="225"/>
      <c r="R4616"/>
      <c r="S4616"/>
      <c r="T4616"/>
      <c r="U4616"/>
      <c r="V4616"/>
      <c r="W4616"/>
      <c r="X4616"/>
    </row>
    <row r="4617" spans="5:24" x14ac:dyDescent="0.3">
      <c r="E4617" s="173"/>
      <c r="F4617" s="173"/>
      <c r="I4617"/>
      <c r="J4617"/>
      <c r="K4617"/>
      <c r="L4617"/>
      <c r="M4617"/>
      <c r="N4617"/>
      <c r="O4617"/>
      <c r="P4617" s="225"/>
      <c r="Q4617" s="225"/>
      <c r="R4617"/>
      <c r="S4617"/>
      <c r="T4617"/>
      <c r="U4617"/>
      <c r="V4617"/>
      <c r="W4617"/>
      <c r="X4617"/>
    </row>
    <row r="4618" spans="5:24" x14ac:dyDescent="0.3">
      <c r="E4618" s="173"/>
      <c r="F4618" s="173"/>
      <c r="I4618"/>
      <c r="J4618"/>
      <c r="K4618"/>
      <c r="L4618"/>
      <c r="M4618"/>
      <c r="N4618"/>
      <c r="O4618"/>
      <c r="P4618" s="225"/>
      <c r="Q4618" s="225"/>
      <c r="R4618"/>
      <c r="S4618"/>
      <c r="T4618"/>
      <c r="U4618"/>
      <c r="V4618"/>
      <c r="W4618"/>
      <c r="X4618"/>
    </row>
    <row r="4619" spans="5:24" x14ac:dyDescent="0.3">
      <c r="E4619" s="173"/>
      <c r="F4619" s="173"/>
      <c r="I4619"/>
      <c r="J4619"/>
      <c r="K4619"/>
      <c r="L4619"/>
      <c r="M4619"/>
      <c r="N4619"/>
      <c r="O4619"/>
      <c r="P4619" s="225"/>
      <c r="Q4619" s="225"/>
      <c r="R4619"/>
      <c r="S4619"/>
      <c r="T4619"/>
      <c r="U4619"/>
      <c r="V4619"/>
      <c r="W4619"/>
      <c r="X4619"/>
    </row>
    <row r="4620" spans="5:24" x14ac:dyDescent="0.3">
      <c r="E4620" s="173"/>
      <c r="F4620" s="173"/>
      <c r="I4620"/>
      <c r="J4620"/>
      <c r="K4620"/>
      <c r="L4620"/>
      <c r="M4620"/>
      <c r="N4620"/>
      <c r="O4620"/>
      <c r="P4620" s="225"/>
      <c r="Q4620" s="225"/>
      <c r="R4620"/>
      <c r="S4620"/>
      <c r="T4620"/>
      <c r="U4620"/>
      <c r="V4620"/>
      <c r="W4620"/>
      <c r="X4620"/>
    </row>
    <row r="4621" spans="5:24" x14ac:dyDescent="0.3">
      <c r="E4621" s="173"/>
      <c r="F4621" s="173"/>
      <c r="I4621"/>
      <c r="J4621"/>
      <c r="K4621"/>
      <c r="L4621"/>
      <c r="M4621"/>
      <c r="N4621"/>
      <c r="O4621"/>
      <c r="P4621" s="225"/>
      <c r="Q4621" s="225"/>
      <c r="R4621"/>
      <c r="S4621"/>
      <c r="T4621"/>
      <c r="U4621"/>
      <c r="V4621"/>
      <c r="W4621"/>
      <c r="X4621"/>
    </row>
    <row r="4622" spans="5:24" x14ac:dyDescent="0.3">
      <c r="E4622" s="173"/>
      <c r="F4622" s="173"/>
      <c r="I4622"/>
      <c r="J4622"/>
      <c r="K4622"/>
      <c r="L4622"/>
      <c r="M4622"/>
      <c r="N4622"/>
      <c r="O4622"/>
      <c r="P4622" s="225"/>
      <c r="Q4622" s="225"/>
      <c r="R4622"/>
      <c r="S4622"/>
      <c r="T4622"/>
      <c r="U4622"/>
      <c r="V4622"/>
      <c r="W4622"/>
      <c r="X4622"/>
    </row>
    <row r="4623" spans="5:24" x14ac:dyDescent="0.3">
      <c r="E4623" s="173"/>
      <c r="F4623" s="173"/>
      <c r="I4623"/>
      <c r="J4623"/>
      <c r="K4623"/>
      <c r="L4623"/>
      <c r="M4623"/>
      <c r="N4623"/>
      <c r="O4623"/>
      <c r="P4623" s="225"/>
      <c r="Q4623" s="225"/>
      <c r="R4623"/>
      <c r="S4623"/>
      <c r="T4623"/>
      <c r="U4623"/>
      <c r="V4623"/>
      <c r="W4623"/>
      <c r="X4623"/>
    </row>
    <row r="4624" spans="5:24" x14ac:dyDescent="0.3">
      <c r="E4624" s="173"/>
      <c r="F4624" s="173"/>
      <c r="I4624"/>
      <c r="J4624"/>
      <c r="K4624"/>
      <c r="L4624"/>
      <c r="M4624"/>
      <c r="N4624"/>
      <c r="O4624"/>
      <c r="P4624" s="225"/>
      <c r="Q4624" s="225"/>
      <c r="R4624"/>
      <c r="S4624"/>
      <c r="T4624"/>
      <c r="U4624"/>
      <c r="V4624"/>
      <c r="W4624"/>
      <c r="X4624"/>
    </row>
    <row r="4625" spans="5:24" x14ac:dyDescent="0.3">
      <c r="E4625" s="173"/>
      <c r="F4625" s="173"/>
      <c r="I4625"/>
      <c r="J4625"/>
      <c r="K4625"/>
      <c r="L4625"/>
      <c r="M4625"/>
      <c r="N4625"/>
      <c r="O4625"/>
      <c r="P4625" s="225"/>
      <c r="Q4625" s="225"/>
      <c r="R4625"/>
      <c r="S4625"/>
      <c r="T4625"/>
      <c r="U4625"/>
      <c r="V4625"/>
      <c r="W4625"/>
      <c r="X4625"/>
    </row>
    <row r="4626" spans="5:24" x14ac:dyDescent="0.3">
      <c r="E4626" s="173"/>
      <c r="F4626" s="173"/>
      <c r="I4626"/>
      <c r="J4626"/>
      <c r="K4626"/>
      <c r="L4626"/>
      <c r="M4626"/>
      <c r="N4626"/>
      <c r="O4626"/>
      <c r="P4626" s="225"/>
      <c r="Q4626" s="225"/>
      <c r="R4626"/>
      <c r="S4626"/>
      <c r="T4626"/>
      <c r="U4626"/>
      <c r="V4626"/>
      <c r="W4626"/>
      <c r="X4626"/>
    </row>
    <row r="4627" spans="5:24" x14ac:dyDescent="0.3">
      <c r="E4627" s="173"/>
      <c r="F4627" s="173"/>
      <c r="I4627"/>
      <c r="J4627"/>
      <c r="K4627"/>
      <c r="L4627"/>
      <c r="M4627"/>
      <c r="N4627"/>
      <c r="O4627"/>
      <c r="P4627" s="225"/>
      <c r="Q4627" s="225"/>
      <c r="R4627"/>
      <c r="S4627"/>
      <c r="T4627"/>
      <c r="U4627"/>
      <c r="V4627"/>
      <c r="W4627"/>
      <c r="X4627"/>
    </row>
    <row r="4628" spans="5:24" x14ac:dyDescent="0.3">
      <c r="E4628" s="173"/>
      <c r="F4628" s="173"/>
      <c r="I4628"/>
      <c r="J4628"/>
      <c r="K4628"/>
      <c r="L4628"/>
      <c r="M4628"/>
      <c r="N4628"/>
      <c r="O4628"/>
      <c r="P4628" s="225"/>
      <c r="Q4628" s="225"/>
      <c r="R4628"/>
      <c r="S4628"/>
      <c r="T4628"/>
      <c r="U4628"/>
      <c r="V4628"/>
      <c r="W4628"/>
      <c r="X4628"/>
    </row>
    <row r="4629" spans="5:24" x14ac:dyDescent="0.3">
      <c r="E4629" s="173"/>
      <c r="F4629" s="173"/>
      <c r="I4629"/>
      <c r="J4629"/>
      <c r="K4629"/>
      <c r="L4629"/>
      <c r="M4629"/>
      <c r="N4629"/>
      <c r="O4629"/>
      <c r="P4629" s="225"/>
      <c r="Q4629" s="225"/>
      <c r="R4629"/>
      <c r="S4629"/>
      <c r="T4629"/>
      <c r="U4629"/>
      <c r="V4629"/>
      <c r="W4629"/>
      <c r="X4629"/>
    </row>
    <row r="4630" spans="5:24" x14ac:dyDescent="0.3">
      <c r="E4630" s="173"/>
      <c r="F4630" s="173"/>
      <c r="I4630"/>
      <c r="J4630"/>
      <c r="K4630"/>
      <c r="L4630"/>
      <c r="M4630"/>
      <c r="N4630"/>
      <c r="O4630"/>
      <c r="P4630" s="225"/>
      <c r="Q4630" s="225"/>
      <c r="R4630"/>
      <c r="S4630"/>
      <c r="T4630"/>
      <c r="U4630"/>
      <c r="V4630"/>
      <c r="W4630"/>
      <c r="X4630"/>
    </row>
    <row r="4631" spans="5:24" x14ac:dyDescent="0.3">
      <c r="E4631" s="173"/>
      <c r="F4631" s="173"/>
      <c r="I4631"/>
      <c r="J4631"/>
      <c r="K4631"/>
      <c r="L4631"/>
      <c r="M4631"/>
      <c r="N4631"/>
      <c r="O4631"/>
      <c r="P4631" s="225"/>
      <c r="Q4631" s="225"/>
      <c r="R4631"/>
      <c r="S4631"/>
      <c r="T4631"/>
      <c r="U4631"/>
      <c r="V4631"/>
      <c r="W4631"/>
      <c r="X4631"/>
    </row>
    <row r="4632" spans="5:24" x14ac:dyDescent="0.3">
      <c r="E4632" s="173"/>
      <c r="F4632" s="173"/>
      <c r="I4632"/>
      <c r="J4632"/>
      <c r="K4632"/>
      <c r="L4632"/>
      <c r="M4632"/>
      <c r="N4632"/>
      <c r="O4632"/>
      <c r="P4632" s="225"/>
      <c r="Q4632" s="225"/>
      <c r="R4632"/>
      <c r="S4632"/>
      <c r="T4632"/>
      <c r="U4632"/>
      <c r="V4632"/>
      <c r="W4632"/>
      <c r="X4632"/>
    </row>
    <row r="4633" spans="5:24" x14ac:dyDescent="0.3">
      <c r="E4633" s="173"/>
      <c r="F4633" s="173"/>
      <c r="I4633"/>
      <c r="J4633"/>
      <c r="K4633"/>
      <c r="L4633"/>
      <c r="M4633"/>
      <c r="N4633"/>
      <c r="O4633"/>
      <c r="P4633" s="225"/>
      <c r="Q4633" s="225"/>
      <c r="R4633"/>
      <c r="S4633"/>
      <c r="T4633"/>
      <c r="U4633"/>
      <c r="V4633"/>
      <c r="W4633"/>
      <c r="X4633"/>
    </row>
    <row r="4634" spans="5:24" x14ac:dyDescent="0.3">
      <c r="E4634" s="173"/>
      <c r="F4634" s="173"/>
      <c r="I4634"/>
      <c r="J4634"/>
      <c r="K4634"/>
      <c r="L4634"/>
      <c r="M4634"/>
      <c r="N4634"/>
      <c r="O4634"/>
      <c r="P4634" s="225"/>
      <c r="Q4634" s="225"/>
      <c r="R4634"/>
      <c r="S4634"/>
      <c r="T4634"/>
      <c r="U4634"/>
      <c r="V4634"/>
      <c r="W4634"/>
      <c r="X4634"/>
    </row>
    <row r="4635" spans="5:24" x14ac:dyDescent="0.3">
      <c r="E4635" s="173"/>
      <c r="F4635" s="173"/>
      <c r="I4635"/>
      <c r="J4635"/>
      <c r="K4635"/>
      <c r="L4635"/>
      <c r="M4635"/>
      <c r="N4635"/>
      <c r="O4635"/>
      <c r="P4635" s="225"/>
      <c r="Q4635" s="225"/>
      <c r="R4635"/>
      <c r="S4635"/>
      <c r="T4635"/>
      <c r="U4635"/>
      <c r="V4635"/>
      <c r="W4635"/>
      <c r="X4635"/>
    </row>
    <row r="4636" spans="5:24" x14ac:dyDescent="0.3">
      <c r="E4636" s="173"/>
      <c r="F4636" s="173"/>
      <c r="I4636"/>
      <c r="J4636"/>
      <c r="K4636"/>
      <c r="L4636"/>
      <c r="M4636"/>
      <c r="N4636"/>
      <c r="O4636"/>
      <c r="P4636" s="225"/>
      <c r="Q4636" s="225"/>
      <c r="R4636"/>
      <c r="S4636"/>
      <c r="T4636"/>
      <c r="U4636"/>
      <c r="V4636"/>
      <c r="W4636"/>
      <c r="X4636"/>
    </row>
    <row r="4637" spans="5:24" x14ac:dyDescent="0.3">
      <c r="E4637" s="173"/>
      <c r="F4637" s="173"/>
      <c r="I4637"/>
      <c r="J4637"/>
      <c r="K4637"/>
      <c r="L4637"/>
      <c r="M4637"/>
      <c r="N4637"/>
      <c r="O4637"/>
      <c r="P4637" s="225"/>
      <c r="Q4637" s="225"/>
      <c r="R4637"/>
      <c r="S4637"/>
      <c r="T4637"/>
      <c r="U4637"/>
      <c r="V4637"/>
      <c r="W4637"/>
      <c r="X4637"/>
    </row>
    <row r="4638" spans="5:24" x14ac:dyDescent="0.3">
      <c r="E4638" s="173"/>
      <c r="F4638" s="173"/>
      <c r="I4638"/>
      <c r="J4638"/>
      <c r="K4638"/>
      <c r="L4638"/>
      <c r="M4638"/>
      <c r="N4638"/>
      <c r="O4638"/>
      <c r="P4638" s="225"/>
      <c r="Q4638" s="225"/>
      <c r="R4638"/>
      <c r="S4638"/>
      <c r="T4638"/>
      <c r="U4638"/>
      <c r="V4638"/>
      <c r="W4638"/>
      <c r="X4638"/>
    </row>
    <row r="4639" spans="5:24" x14ac:dyDescent="0.3">
      <c r="E4639" s="173"/>
      <c r="F4639" s="173"/>
      <c r="I4639"/>
      <c r="J4639"/>
      <c r="K4639"/>
      <c r="L4639"/>
      <c r="M4639"/>
      <c r="N4639"/>
      <c r="O4639"/>
      <c r="P4639" s="225"/>
      <c r="Q4639" s="225"/>
      <c r="R4639"/>
      <c r="S4639"/>
      <c r="T4639"/>
      <c r="U4639"/>
      <c r="V4639"/>
      <c r="W4639"/>
      <c r="X4639"/>
    </row>
    <row r="4640" spans="5:24" x14ac:dyDescent="0.3">
      <c r="E4640" s="173"/>
      <c r="F4640" s="173"/>
      <c r="I4640"/>
      <c r="J4640"/>
      <c r="K4640"/>
      <c r="L4640"/>
      <c r="M4640"/>
      <c r="N4640"/>
      <c r="O4640"/>
      <c r="P4640" s="225"/>
      <c r="Q4640" s="225"/>
      <c r="R4640"/>
      <c r="S4640"/>
      <c r="T4640"/>
      <c r="U4640"/>
      <c r="V4640"/>
      <c r="W4640"/>
      <c r="X4640"/>
    </row>
    <row r="4641" spans="5:24" x14ac:dyDescent="0.3">
      <c r="E4641" s="173"/>
      <c r="F4641" s="173"/>
      <c r="I4641"/>
      <c r="J4641"/>
      <c r="K4641"/>
      <c r="L4641"/>
      <c r="M4641"/>
      <c r="N4641"/>
      <c r="O4641"/>
      <c r="P4641" s="225"/>
      <c r="Q4641" s="225"/>
      <c r="R4641"/>
      <c r="S4641"/>
      <c r="T4641"/>
      <c r="U4641"/>
      <c r="V4641"/>
      <c r="W4641"/>
      <c r="X4641"/>
    </row>
    <row r="4642" spans="5:24" x14ac:dyDescent="0.3">
      <c r="E4642" s="173"/>
      <c r="F4642" s="173"/>
      <c r="I4642"/>
      <c r="J4642"/>
      <c r="K4642"/>
      <c r="L4642"/>
      <c r="M4642"/>
      <c r="N4642"/>
      <c r="O4642"/>
      <c r="P4642" s="225"/>
      <c r="Q4642" s="225"/>
      <c r="R4642"/>
      <c r="S4642"/>
      <c r="T4642"/>
      <c r="U4642"/>
      <c r="V4642"/>
      <c r="W4642"/>
      <c r="X4642"/>
    </row>
    <row r="4643" spans="5:24" x14ac:dyDescent="0.3">
      <c r="E4643" s="173"/>
      <c r="F4643" s="173"/>
      <c r="I4643"/>
      <c r="J4643"/>
      <c r="K4643"/>
      <c r="L4643"/>
      <c r="M4643"/>
      <c r="N4643"/>
      <c r="O4643"/>
      <c r="P4643" s="225"/>
      <c r="Q4643" s="225"/>
      <c r="R4643"/>
      <c r="S4643"/>
      <c r="T4643"/>
      <c r="U4643"/>
      <c r="V4643"/>
      <c r="W4643"/>
      <c r="X4643"/>
    </row>
    <row r="4644" spans="5:24" x14ac:dyDescent="0.3">
      <c r="E4644" s="173"/>
      <c r="F4644" s="173"/>
      <c r="I4644"/>
      <c r="J4644"/>
      <c r="K4644"/>
      <c r="L4644"/>
      <c r="M4644"/>
      <c r="N4644"/>
      <c r="O4644"/>
      <c r="P4644" s="225"/>
      <c r="Q4644" s="225"/>
      <c r="R4644"/>
      <c r="S4644"/>
      <c r="T4644"/>
      <c r="U4644"/>
      <c r="V4644"/>
      <c r="W4644"/>
      <c r="X4644"/>
    </row>
    <row r="4645" spans="5:24" x14ac:dyDescent="0.3">
      <c r="E4645" s="173"/>
      <c r="F4645" s="173"/>
      <c r="I4645"/>
      <c r="J4645"/>
      <c r="K4645"/>
      <c r="L4645"/>
      <c r="M4645"/>
      <c r="N4645"/>
      <c r="O4645"/>
      <c r="P4645" s="225"/>
      <c r="Q4645" s="225"/>
      <c r="R4645"/>
      <c r="S4645"/>
      <c r="T4645"/>
      <c r="U4645"/>
      <c r="V4645"/>
      <c r="W4645"/>
      <c r="X4645"/>
    </row>
    <row r="4646" spans="5:24" x14ac:dyDescent="0.3">
      <c r="E4646" s="173"/>
      <c r="F4646" s="173"/>
      <c r="I4646"/>
      <c r="J4646"/>
      <c r="K4646"/>
      <c r="L4646"/>
      <c r="M4646"/>
      <c r="N4646"/>
      <c r="O4646"/>
      <c r="P4646" s="225"/>
      <c r="Q4646" s="225"/>
      <c r="R4646"/>
      <c r="S4646"/>
      <c r="T4646"/>
      <c r="U4646"/>
      <c r="V4646"/>
      <c r="W4646"/>
      <c r="X4646"/>
    </row>
    <row r="4647" spans="5:24" x14ac:dyDescent="0.3">
      <c r="E4647" s="173"/>
      <c r="F4647" s="173"/>
      <c r="I4647"/>
      <c r="J4647"/>
      <c r="K4647"/>
      <c r="L4647"/>
      <c r="M4647"/>
      <c r="N4647"/>
      <c r="O4647"/>
      <c r="P4647" s="225"/>
      <c r="Q4647" s="225"/>
      <c r="R4647"/>
      <c r="S4647"/>
      <c r="T4647"/>
      <c r="U4647"/>
      <c r="V4647"/>
      <c r="W4647"/>
      <c r="X4647"/>
    </row>
    <row r="4648" spans="5:24" x14ac:dyDescent="0.3">
      <c r="E4648" s="173"/>
      <c r="F4648" s="173"/>
      <c r="I4648"/>
      <c r="J4648"/>
      <c r="K4648"/>
      <c r="L4648"/>
      <c r="M4648"/>
      <c r="N4648"/>
      <c r="O4648"/>
      <c r="P4648" s="225"/>
      <c r="Q4648" s="225"/>
      <c r="R4648"/>
      <c r="S4648"/>
      <c r="T4648"/>
      <c r="U4648"/>
      <c r="V4648"/>
      <c r="W4648"/>
      <c r="X4648"/>
    </row>
    <row r="4649" spans="5:24" x14ac:dyDescent="0.3">
      <c r="E4649" s="173"/>
      <c r="F4649" s="173"/>
      <c r="I4649"/>
      <c r="J4649"/>
      <c r="K4649"/>
      <c r="L4649"/>
      <c r="M4649"/>
      <c r="N4649"/>
      <c r="O4649"/>
      <c r="P4649" s="225"/>
      <c r="Q4649" s="225"/>
      <c r="R4649"/>
      <c r="S4649"/>
      <c r="T4649"/>
      <c r="U4649"/>
      <c r="V4649"/>
      <c r="W4649"/>
      <c r="X4649"/>
    </row>
    <row r="4650" spans="5:24" x14ac:dyDescent="0.3">
      <c r="E4650" s="173"/>
      <c r="F4650" s="173"/>
      <c r="I4650"/>
      <c r="J4650"/>
      <c r="K4650"/>
      <c r="L4650"/>
      <c r="M4650"/>
      <c r="N4650"/>
      <c r="O4650"/>
      <c r="P4650" s="225"/>
      <c r="Q4650" s="225"/>
      <c r="R4650"/>
      <c r="S4650"/>
      <c r="T4650"/>
      <c r="U4650"/>
      <c r="V4650"/>
      <c r="W4650"/>
      <c r="X4650"/>
    </row>
    <row r="4651" spans="5:24" x14ac:dyDescent="0.3">
      <c r="E4651" s="173"/>
      <c r="F4651" s="173"/>
      <c r="I4651"/>
      <c r="J4651"/>
      <c r="K4651"/>
      <c r="L4651"/>
      <c r="M4651"/>
      <c r="N4651"/>
      <c r="O4651"/>
      <c r="P4651" s="225"/>
      <c r="Q4651" s="225"/>
      <c r="R4651"/>
      <c r="S4651"/>
      <c r="T4651"/>
      <c r="U4651"/>
      <c r="V4651"/>
      <c r="W4651"/>
      <c r="X4651"/>
    </row>
    <row r="4652" spans="5:24" x14ac:dyDescent="0.3">
      <c r="E4652" s="173"/>
      <c r="F4652" s="173"/>
      <c r="I4652"/>
      <c r="J4652"/>
      <c r="K4652"/>
      <c r="L4652"/>
      <c r="M4652"/>
      <c r="N4652"/>
      <c r="O4652"/>
      <c r="P4652" s="225"/>
      <c r="Q4652" s="225"/>
      <c r="R4652"/>
      <c r="S4652"/>
      <c r="T4652"/>
      <c r="U4652"/>
      <c r="V4652"/>
      <c r="W4652"/>
      <c r="X4652"/>
    </row>
    <row r="4653" spans="5:24" x14ac:dyDescent="0.3">
      <c r="E4653" s="173"/>
      <c r="F4653" s="173"/>
      <c r="I4653"/>
      <c r="J4653"/>
      <c r="K4653"/>
      <c r="L4653"/>
      <c r="M4653"/>
      <c r="N4653"/>
      <c r="O4653"/>
      <c r="P4653" s="225"/>
      <c r="Q4653" s="225"/>
      <c r="R4653"/>
      <c r="S4653"/>
      <c r="T4653"/>
      <c r="U4653"/>
      <c r="V4653"/>
      <c r="W4653"/>
      <c r="X4653"/>
    </row>
    <row r="4654" spans="5:24" x14ac:dyDescent="0.3">
      <c r="E4654" s="173"/>
      <c r="F4654" s="173"/>
      <c r="I4654"/>
      <c r="J4654"/>
      <c r="K4654"/>
      <c r="L4654"/>
      <c r="M4654"/>
      <c r="N4654"/>
      <c r="O4654"/>
      <c r="P4654" s="225"/>
      <c r="Q4654" s="225"/>
      <c r="R4654"/>
      <c r="S4654"/>
      <c r="T4654"/>
      <c r="U4654"/>
      <c r="V4654"/>
      <c r="W4654"/>
      <c r="X4654"/>
    </row>
    <row r="4655" spans="5:24" x14ac:dyDescent="0.3">
      <c r="E4655" s="173"/>
      <c r="F4655" s="173"/>
      <c r="I4655"/>
      <c r="J4655"/>
      <c r="K4655"/>
      <c r="L4655"/>
      <c r="M4655"/>
      <c r="N4655"/>
      <c r="O4655"/>
      <c r="P4655" s="225"/>
      <c r="Q4655" s="225"/>
      <c r="R4655"/>
      <c r="S4655"/>
      <c r="T4655"/>
      <c r="U4655"/>
      <c r="V4655"/>
      <c r="W4655"/>
      <c r="X4655"/>
    </row>
    <row r="4656" spans="5:24" x14ac:dyDescent="0.3">
      <c r="E4656" s="173"/>
      <c r="F4656" s="173"/>
      <c r="I4656"/>
      <c r="J4656"/>
      <c r="K4656"/>
      <c r="L4656"/>
      <c r="M4656"/>
      <c r="N4656"/>
      <c r="O4656"/>
      <c r="P4656" s="225"/>
      <c r="Q4656" s="225"/>
      <c r="R4656"/>
      <c r="S4656"/>
      <c r="T4656"/>
      <c r="U4656"/>
      <c r="V4656"/>
      <c r="W4656"/>
      <c r="X4656"/>
    </row>
    <row r="4657" spans="5:24" x14ac:dyDescent="0.3">
      <c r="E4657" s="173"/>
      <c r="F4657" s="173"/>
      <c r="I4657"/>
      <c r="J4657"/>
      <c r="K4657"/>
      <c r="L4657"/>
      <c r="M4657"/>
      <c r="N4657"/>
      <c r="O4657"/>
      <c r="P4657" s="225"/>
      <c r="Q4657" s="225"/>
      <c r="R4657"/>
      <c r="S4657"/>
      <c r="T4657"/>
      <c r="U4657"/>
      <c r="V4657"/>
      <c r="W4657"/>
      <c r="X4657"/>
    </row>
    <row r="4658" spans="5:24" x14ac:dyDescent="0.3">
      <c r="E4658" s="173"/>
      <c r="F4658" s="173"/>
      <c r="I4658"/>
      <c r="J4658"/>
      <c r="K4658"/>
      <c r="L4658"/>
      <c r="M4658"/>
      <c r="N4658"/>
      <c r="O4658"/>
      <c r="P4658" s="225"/>
      <c r="Q4658" s="225"/>
      <c r="R4658"/>
      <c r="S4658"/>
      <c r="T4658"/>
      <c r="U4658"/>
      <c r="V4658"/>
      <c r="W4658"/>
      <c r="X4658"/>
    </row>
    <row r="4659" spans="5:24" x14ac:dyDescent="0.3">
      <c r="E4659" s="173"/>
      <c r="F4659" s="173"/>
      <c r="I4659"/>
      <c r="J4659"/>
      <c r="K4659"/>
      <c r="L4659"/>
      <c r="M4659"/>
      <c r="N4659"/>
      <c r="O4659"/>
      <c r="P4659" s="225"/>
      <c r="Q4659" s="225"/>
      <c r="R4659"/>
      <c r="S4659"/>
      <c r="T4659"/>
      <c r="U4659"/>
      <c r="V4659"/>
      <c r="W4659"/>
      <c r="X4659"/>
    </row>
    <row r="4660" spans="5:24" x14ac:dyDescent="0.3">
      <c r="E4660" s="173"/>
      <c r="F4660" s="173"/>
      <c r="I4660"/>
      <c r="J4660"/>
      <c r="K4660"/>
      <c r="L4660"/>
      <c r="M4660"/>
      <c r="N4660"/>
      <c r="O4660"/>
      <c r="P4660" s="225"/>
      <c r="Q4660" s="225"/>
      <c r="R4660"/>
      <c r="S4660"/>
      <c r="T4660"/>
      <c r="U4660"/>
      <c r="V4660"/>
      <c r="W4660"/>
      <c r="X4660"/>
    </row>
    <row r="4661" spans="5:24" x14ac:dyDescent="0.3">
      <c r="E4661" s="173"/>
      <c r="F4661" s="173"/>
      <c r="I4661"/>
      <c r="J4661"/>
      <c r="K4661"/>
      <c r="L4661"/>
      <c r="M4661"/>
      <c r="N4661"/>
      <c r="O4661"/>
      <c r="P4661" s="225"/>
      <c r="Q4661" s="225"/>
      <c r="R4661"/>
      <c r="S4661"/>
      <c r="T4661"/>
      <c r="U4661"/>
      <c r="V4661"/>
      <c r="W4661"/>
      <c r="X4661"/>
    </row>
    <row r="4662" spans="5:24" x14ac:dyDescent="0.3">
      <c r="E4662" s="173"/>
      <c r="F4662" s="173"/>
      <c r="I4662"/>
      <c r="J4662"/>
      <c r="K4662"/>
      <c r="L4662"/>
      <c r="M4662"/>
      <c r="N4662"/>
      <c r="O4662"/>
      <c r="P4662" s="225"/>
      <c r="Q4662" s="225"/>
      <c r="R4662"/>
      <c r="S4662"/>
      <c r="T4662"/>
      <c r="U4662"/>
      <c r="V4662"/>
      <c r="W4662"/>
      <c r="X4662"/>
    </row>
    <row r="4663" spans="5:24" x14ac:dyDescent="0.3">
      <c r="E4663" s="173"/>
      <c r="F4663" s="173"/>
      <c r="I4663"/>
      <c r="J4663"/>
      <c r="K4663"/>
      <c r="L4663"/>
      <c r="M4663"/>
      <c r="N4663"/>
      <c r="O4663"/>
      <c r="P4663" s="225"/>
      <c r="Q4663" s="225"/>
      <c r="R4663"/>
      <c r="S4663"/>
      <c r="T4663"/>
      <c r="U4663"/>
      <c r="V4663"/>
      <c r="W4663"/>
      <c r="X4663"/>
    </row>
    <row r="4664" spans="5:24" x14ac:dyDescent="0.3">
      <c r="E4664" s="173"/>
      <c r="F4664" s="173"/>
      <c r="I4664"/>
      <c r="J4664"/>
      <c r="K4664"/>
      <c r="L4664"/>
      <c r="M4664"/>
      <c r="N4664"/>
      <c r="O4664"/>
      <c r="P4664" s="225"/>
      <c r="Q4664" s="225"/>
      <c r="R4664"/>
      <c r="S4664"/>
      <c r="T4664"/>
      <c r="U4664"/>
      <c r="V4664"/>
      <c r="W4664"/>
      <c r="X4664"/>
    </row>
    <row r="4665" spans="5:24" x14ac:dyDescent="0.3">
      <c r="E4665" s="173"/>
      <c r="F4665" s="173"/>
      <c r="I4665"/>
      <c r="J4665"/>
      <c r="K4665"/>
      <c r="L4665"/>
      <c r="M4665"/>
      <c r="N4665"/>
      <c r="O4665"/>
      <c r="P4665" s="225"/>
      <c r="Q4665" s="225"/>
      <c r="R4665"/>
      <c r="S4665"/>
      <c r="T4665"/>
      <c r="U4665"/>
      <c r="V4665"/>
      <c r="W4665"/>
      <c r="X4665"/>
    </row>
    <row r="4666" spans="5:24" x14ac:dyDescent="0.3">
      <c r="E4666" s="173"/>
      <c r="F4666" s="173"/>
      <c r="I4666"/>
      <c r="J4666"/>
      <c r="K4666"/>
      <c r="L4666"/>
      <c r="M4666"/>
      <c r="N4666"/>
      <c r="O4666"/>
      <c r="P4666" s="225"/>
      <c r="Q4666" s="225"/>
      <c r="R4666"/>
      <c r="S4666"/>
      <c r="T4666"/>
      <c r="U4666"/>
      <c r="V4666"/>
      <c r="W4666"/>
      <c r="X4666"/>
    </row>
    <row r="4667" spans="5:24" x14ac:dyDescent="0.3">
      <c r="E4667" s="173"/>
      <c r="F4667" s="173"/>
      <c r="I4667"/>
      <c r="J4667"/>
      <c r="K4667"/>
      <c r="L4667"/>
      <c r="M4667"/>
      <c r="N4667"/>
      <c r="O4667"/>
      <c r="P4667" s="225"/>
      <c r="Q4667" s="225"/>
      <c r="R4667"/>
      <c r="S4667"/>
      <c r="T4667"/>
      <c r="U4667"/>
      <c r="V4667"/>
      <c r="W4667"/>
      <c r="X4667"/>
    </row>
    <row r="4668" spans="5:24" x14ac:dyDescent="0.3">
      <c r="E4668" s="173"/>
      <c r="F4668" s="173"/>
      <c r="I4668"/>
      <c r="J4668"/>
      <c r="K4668"/>
      <c r="L4668"/>
      <c r="M4668"/>
      <c r="N4668"/>
      <c r="O4668"/>
      <c r="P4668" s="225"/>
      <c r="Q4668" s="225"/>
      <c r="R4668"/>
      <c r="S4668"/>
      <c r="T4668"/>
      <c r="U4668"/>
      <c r="V4668"/>
      <c r="W4668"/>
      <c r="X4668"/>
    </row>
    <row r="4669" spans="5:24" x14ac:dyDescent="0.3">
      <c r="E4669" s="173"/>
      <c r="F4669" s="173"/>
      <c r="I4669"/>
      <c r="J4669"/>
      <c r="K4669"/>
      <c r="L4669"/>
      <c r="M4669"/>
      <c r="N4669"/>
      <c r="O4669"/>
      <c r="P4669" s="225"/>
      <c r="Q4669" s="225"/>
      <c r="R4669"/>
      <c r="S4669"/>
      <c r="T4669"/>
      <c r="U4669"/>
      <c r="V4669"/>
      <c r="W4669"/>
      <c r="X4669"/>
    </row>
    <row r="4670" spans="5:24" x14ac:dyDescent="0.3">
      <c r="E4670" s="173"/>
      <c r="F4670" s="173"/>
      <c r="I4670"/>
      <c r="J4670"/>
      <c r="K4670"/>
      <c r="L4670"/>
      <c r="M4670"/>
      <c r="N4670"/>
      <c r="O4670"/>
      <c r="P4670" s="225"/>
      <c r="Q4670" s="225"/>
      <c r="R4670"/>
      <c r="S4670"/>
      <c r="T4670"/>
      <c r="U4670"/>
      <c r="V4670"/>
      <c r="W4670"/>
      <c r="X4670"/>
    </row>
    <row r="4671" spans="5:24" x14ac:dyDescent="0.3">
      <c r="E4671" s="173"/>
      <c r="F4671" s="173"/>
      <c r="I4671"/>
      <c r="J4671"/>
      <c r="K4671"/>
      <c r="L4671"/>
      <c r="M4671"/>
      <c r="N4671"/>
      <c r="O4671"/>
      <c r="P4671" s="225"/>
      <c r="Q4671" s="225"/>
      <c r="R4671"/>
      <c r="S4671"/>
      <c r="T4671"/>
      <c r="U4671"/>
      <c r="V4671"/>
      <c r="W4671"/>
      <c r="X4671"/>
    </row>
    <row r="4672" spans="5:24" x14ac:dyDescent="0.3">
      <c r="E4672" s="173"/>
      <c r="F4672" s="173"/>
      <c r="I4672"/>
      <c r="J4672"/>
      <c r="K4672"/>
      <c r="L4672"/>
      <c r="M4672"/>
      <c r="N4672"/>
      <c r="O4672"/>
      <c r="P4672" s="225"/>
      <c r="Q4672" s="225"/>
      <c r="R4672"/>
      <c r="S4672"/>
      <c r="T4672"/>
      <c r="U4672"/>
      <c r="V4672"/>
      <c r="W4672"/>
      <c r="X4672"/>
    </row>
    <row r="4673" spans="5:24" x14ac:dyDescent="0.3">
      <c r="E4673" s="173"/>
      <c r="F4673" s="173"/>
      <c r="I4673"/>
      <c r="J4673"/>
      <c r="K4673"/>
      <c r="L4673"/>
      <c r="M4673"/>
      <c r="N4673"/>
      <c r="O4673"/>
      <c r="P4673" s="225"/>
      <c r="Q4673" s="225"/>
      <c r="R4673"/>
      <c r="S4673"/>
      <c r="T4673"/>
      <c r="U4673"/>
      <c r="V4673"/>
      <c r="W4673"/>
      <c r="X4673"/>
    </row>
    <row r="4674" spans="5:24" x14ac:dyDescent="0.3">
      <c r="E4674" s="173"/>
      <c r="F4674" s="173"/>
      <c r="I4674"/>
      <c r="J4674"/>
      <c r="K4674"/>
      <c r="L4674"/>
      <c r="M4674"/>
      <c r="N4674"/>
      <c r="O4674"/>
      <c r="P4674" s="225"/>
      <c r="Q4674" s="225"/>
      <c r="R4674"/>
      <c r="S4674"/>
      <c r="T4674"/>
      <c r="U4674"/>
      <c r="V4674"/>
      <c r="W4674"/>
      <c r="X4674"/>
    </row>
    <row r="4675" spans="5:24" x14ac:dyDescent="0.3">
      <c r="E4675" s="173"/>
      <c r="F4675" s="173"/>
      <c r="I4675"/>
      <c r="J4675"/>
      <c r="K4675"/>
      <c r="L4675"/>
      <c r="M4675"/>
      <c r="N4675"/>
      <c r="O4675"/>
      <c r="P4675" s="225"/>
      <c r="Q4675" s="225"/>
      <c r="R4675"/>
      <c r="S4675"/>
      <c r="T4675"/>
      <c r="U4675"/>
      <c r="V4675"/>
      <c r="W4675"/>
      <c r="X4675"/>
    </row>
    <row r="4676" spans="5:24" x14ac:dyDescent="0.3">
      <c r="E4676" s="173"/>
      <c r="F4676" s="173"/>
      <c r="I4676"/>
      <c r="J4676"/>
      <c r="K4676"/>
      <c r="L4676"/>
      <c r="M4676"/>
      <c r="N4676"/>
      <c r="O4676"/>
      <c r="P4676" s="225"/>
      <c r="Q4676" s="225"/>
      <c r="R4676"/>
      <c r="S4676"/>
      <c r="T4676"/>
      <c r="U4676"/>
      <c r="V4676"/>
      <c r="W4676"/>
      <c r="X4676"/>
    </row>
    <row r="4677" spans="5:24" x14ac:dyDescent="0.3">
      <c r="E4677" s="173"/>
      <c r="F4677" s="173"/>
      <c r="I4677"/>
      <c r="J4677"/>
      <c r="K4677"/>
      <c r="L4677"/>
      <c r="M4677"/>
      <c r="N4677"/>
      <c r="O4677"/>
      <c r="P4677" s="225"/>
      <c r="Q4677" s="225"/>
      <c r="R4677"/>
      <c r="S4677"/>
      <c r="T4677"/>
      <c r="U4677"/>
      <c r="V4677"/>
      <c r="W4677"/>
      <c r="X4677"/>
    </row>
    <row r="4678" spans="5:24" x14ac:dyDescent="0.3">
      <c r="E4678" s="173"/>
      <c r="F4678" s="173"/>
      <c r="I4678"/>
      <c r="J4678"/>
      <c r="K4678"/>
      <c r="L4678"/>
      <c r="M4678"/>
      <c r="N4678"/>
      <c r="O4678"/>
      <c r="P4678" s="225"/>
      <c r="Q4678" s="225"/>
      <c r="R4678"/>
      <c r="S4678"/>
      <c r="T4678"/>
      <c r="U4678"/>
      <c r="V4678"/>
      <c r="W4678"/>
      <c r="X4678"/>
    </row>
    <row r="4679" spans="5:24" x14ac:dyDescent="0.3">
      <c r="E4679" s="173"/>
      <c r="F4679" s="173"/>
      <c r="I4679"/>
      <c r="J4679"/>
      <c r="K4679"/>
      <c r="L4679"/>
      <c r="M4679"/>
      <c r="N4679"/>
      <c r="O4679"/>
      <c r="P4679" s="225"/>
      <c r="Q4679" s="225"/>
      <c r="R4679"/>
      <c r="S4679"/>
      <c r="T4679"/>
      <c r="U4679"/>
      <c r="V4679"/>
      <c r="W4679"/>
      <c r="X4679"/>
    </row>
    <row r="4680" spans="5:24" x14ac:dyDescent="0.3">
      <c r="E4680" s="173"/>
      <c r="F4680" s="173"/>
      <c r="I4680"/>
      <c r="J4680"/>
      <c r="K4680"/>
      <c r="L4680"/>
      <c r="M4680"/>
      <c r="N4680"/>
      <c r="O4680"/>
      <c r="P4680" s="225"/>
      <c r="Q4680" s="225"/>
      <c r="R4680"/>
      <c r="S4680"/>
      <c r="T4680"/>
      <c r="U4680"/>
      <c r="V4680"/>
      <c r="W4680"/>
      <c r="X4680"/>
    </row>
    <row r="4681" spans="5:24" x14ac:dyDescent="0.3">
      <c r="E4681" s="173"/>
      <c r="F4681" s="173"/>
      <c r="I4681"/>
      <c r="J4681"/>
      <c r="K4681"/>
      <c r="L4681"/>
      <c r="M4681"/>
      <c r="N4681"/>
      <c r="O4681"/>
      <c r="P4681" s="225"/>
      <c r="Q4681" s="225"/>
      <c r="R4681"/>
      <c r="S4681"/>
      <c r="T4681"/>
      <c r="U4681"/>
      <c r="V4681"/>
      <c r="W4681"/>
      <c r="X4681"/>
    </row>
    <row r="4682" spans="5:24" x14ac:dyDescent="0.3">
      <c r="E4682" s="173"/>
      <c r="F4682" s="173"/>
      <c r="I4682"/>
      <c r="J4682"/>
      <c r="K4682"/>
      <c r="L4682"/>
      <c r="M4682"/>
      <c r="N4682"/>
      <c r="O4682"/>
      <c r="P4682" s="225"/>
      <c r="Q4682" s="225"/>
      <c r="R4682"/>
      <c r="S4682"/>
      <c r="T4682"/>
      <c r="U4682"/>
      <c r="V4682"/>
      <c r="W4682"/>
      <c r="X4682"/>
    </row>
    <row r="4683" spans="5:24" x14ac:dyDescent="0.3">
      <c r="E4683" s="173"/>
      <c r="F4683" s="173"/>
      <c r="I4683"/>
      <c r="J4683"/>
      <c r="K4683"/>
      <c r="L4683"/>
      <c r="M4683"/>
      <c r="N4683"/>
      <c r="O4683"/>
      <c r="P4683" s="225"/>
      <c r="Q4683" s="225"/>
      <c r="R4683"/>
      <c r="S4683"/>
      <c r="T4683"/>
      <c r="U4683"/>
      <c r="V4683"/>
      <c r="W4683"/>
      <c r="X4683"/>
    </row>
    <row r="4684" spans="5:24" x14ac:dyDescent="0.3">
      <c r="E4684" s="173"/>
      <c r="F4684" s="173"/>
      <c r="I4684"/>
      <c r="J4684"/>
      <c r="K4684"/>
      <c r="L4684"/>
      <c r="M4684"/>
      <c r="N4684"/>
      <c r="O4684"/>
      <c r="P4684" s="225"/>
      <c r="Q4684" s="225"/>
      <c r="R4684"/>
      <c r="S4684"/>
      <c r="T4684"/>
      <c r="U4684"/>
      <c r="V4684"/>
      <c r="W4684"/>
      <c r="X4684"/>
    </row>
    <row r="4685" spans="5:24" x14ac:dyDescent="0.3">
      <c r="E4685" s="173"/>
      <c r="F4685" s="173"/>
      <c r="I4685"/>
      <c r="J4685"/>
      <c r="K4685"/>
      <c r="L4685"/>
      <c r="M4685"/>
      <c r="N4685"/>
      <c r="O4685"/>
      <c r="P4685" s="225"/>
      <c r="Q4685" s="225"/>
      <c r="R4685"/>
      <c r="S4685"/>
      <c r="T4685"/>
      <c r="U4685"/>
      <c r="V4685"/>
      <c r="W4685"/>
      <c r="X4685"/>
    </row>
    <row r="4686" spans="5:24" x14ac:dyDescent="0.3">
      <c r="E4686" s="173"/>
      <c r="F4686" s="173"/>
      <c r="I4686"/>
      <c r="J4686"/>
      <c r="K4686"/>
      <c r="L4686"/>
      <c r="M4686"/>
      <c r="N4686"/>
      <c r="O4686"/>
      <c r="P4686" s="225"/>
      <c r="Q4686" s="225"/>
      <c r="R4686"/>
      <c r="S4686"/>
      <c r="T4686"/>
      <c r="U4686"/>
      <c r="V4686"/>
      <c r="W4686"/>
      <c r="X4686"/>
    </row>
    <row r="4687" spans="5:24" x14ac:dyDescent="0.3">
      <c r="E4687" s="173"/>
      <c r="F4687" s="173"/>
      <c r="I4687"/>
      <c r="J4687"/>
      <c r="K4687"/>
      <c r="L4687"/>
      <c r="M4687"/>
      <c r="N4687"/>
      <c r="O4687"/>
      <c r="P4687" s="225"/>
      <c r="Q4687" s="225"/>
      <c r="R4687"/>
      <c r="S4687"/>
      <c r="T4687"/>
      <c r="U4687"/>
      <c r="V4687"/>
      <c r="W4687"/>
      <c r="X4687"/>
    </row>
    <row r="4688" spans="5:24" x14ac:dyDescent="0.3">
      <c r="E4688" s="173"/>
      <c r="F4688" s="173"/>
      <c r="I4688"/>
      <c r="J4688"/>
      <c r="K4688"/>
      <c r="L4688"/>
      <c r="M4688"/>
      <c r="N4688"/>
      <c r="O4688"/>
      <c r="P4688" s="225"/>
      <c r="Q4688" s="225"/>
      <c r="R4688"/>
      <c r="S4688"/>
      <c r="T4688"/>
      <c r="U4688"/>
      <c r="V4688"/>
      <c r="W4688"/>
      <c r="X4688"/>
    </row>
    <row r="4689" spans="5:24" x14ac:dyDescent="0.3">
      <c r="E4689" s="173"/>
      <c r="F4689" s="173"/>
      <c r="I4689"/>
      <c r="J4689"/>
      <c r="K4689"/>
      <c r="L4689"/>
      <c r="M4689"/>
      <c r="N4689"/>
      <c r="O4689"/>
      <c r="P4689" s="225"/>
      <c r="Q4689" s="225"/>
      <c r="R4689"/>
      <c r="S4689"/>
      <c r="T4689"/>
      <c r="U4689"/>
      <c r="V4689"/>
      <c r="W4689"/>
      <c r="X4689"/>
    </row>
    <row r="4690" spans="5:24" x14ac:dyDescent="0.3">
      <c r="E4690" s="173"/>
      <c r="F4690" s="173"/>
      <c r="I4690"/>
      <c r="J4690"/>
      <c r="K4690"/>
      <c r="L4690"/>
      <c r="M4690"/>
      <c r="N4690"/>
      <c r="O4690"/>
      <c r="P4690" s="225"/>
      <c r="Q4690" s="225"/>
      <c r="R4690"/>
      <c r="S4690"/>
      <c r="T4690"/>
      <c r="U4690"/>
      <c r="V4690"/>
      <c r="W4690"/>
      <c r="X4690"/>
    </row>
    <row r="4691" spans="5:24" x14ac:dyDescent="0.3">
      <c r="E4691" s="173"/>
      <c r="F4691" s="173"/>
      <c r="I4691"/>
      <c r="J4691"/>
      <c r="K4691"/>
      <c r="L4691"/>
      <c r="M4691"/>
      <c r="N4691"/>
      <c r="O4691"/>
      <c r="P4691" s="225"/>
      <c r="Q4691" s="225"/>
      <c r="R4691"/>
      <c r="S4691"/>
      <c r="T4691"/>
      <c r="U4691"/>
      <c r="V4691"/>
      <c r="W4691"/>
      <c r="X4691"/>
    </row>
    <row r="4692" spans="5:24" x14ac:dyDescent="0.3">
      <c r="E4692" s="173"/>
      <c r="F4692" s="173"/>
      <c r="I4692"/>
      <c r="J4692"/>
      <c r="K4692"/>
      <c r="L4692"/>
      <c r="M4692"/>
      <c r="N4692"/>
      <c r="O4692"/>
      <c r="P4692" s="225"/>
      <c r="Q4692" s="225"/>
      <c r="R4692"/>
      <c r="S4692"/>
      <c r="T4692"/>
      <c r="U4692"/>
      <c r="V4692"/>
      <c r="W4692"/>
      <c r="X4692"/>
    </row>
    <row r="4693" spans="5:24" x14ac:dyDescent="0.3">
      <c r="E4693" s="173"/>
      <c r="F4693" s="173"/>
      <c r="I4693"/>
      <c r="J4693"/>
      <c r="K4693"/>
      <c r="L4693"/>
      <c r="M4693"/>
      <c r="N4693"/>
      <c r="O4693"/>
      <c r="P4693" s="225"/>
      <c r="Q4693" s="225"/>
      <c r="R4693"/>
      <c r="S4693"/>
      <c r="T4693"/>
      <c r="U4693"/>
      <c r="V4693"/>
      <c r="W4693"/>
      <c r="X4693"/>
    </row>
    <row r="4694" spans="5:24" x14ac:dyDescent="0.3">
      <c r="E4694" s="173"/>
      <c r="F4694" s="173"/>
      <c r="I4694"/>
      <c r="J4694"/>
      <c r="K4694"/>
      <c r="L4694"/>
      <c r="M4694"/>
      <c r="N4694"/>
      <c r="O4694"/>
      <c r="P4694" s="225"/>
      <c r="Q4694" s="225"/>
      <c r="R4694"/>
      <c r="S4694"/>
      <c r="T4694"/>
      <c r="U4694"/>
      <c r="V4694"/>
      <c r="W4694"/>
      <c r="X4694"/>
    </row>
    <row r="4695" spans="5:24" x14ac:dyDescent="0.3">
      <c r="E4695" s="173"/>
      <c r="F4695" s="173"/>
      <c r="I4695"/>
      <c r="J4695"/>
      <c r="K4695"/>
      <c r="L4695"/>
      <c r="M4695"/>
      <c r="N4695"/>
      <c r="O4695"/>
      <c r="P4695" s="225"/>
      <c r="Q4695" s="225"/>
      <c r="R4695"/>
      <c r="S4695"/>
      <c r="T4695"/>
      <c r="U4695"/>
      <c r="V4695"/>
      <c r="W4695"/>
      <c r="X4695"/>
    </row>
    <row r="4696" spans="5:24" x14ac:dyDescent="0.3">
      <c r="E4696" s="173"/>
      <c r="F4696" s="173"/>
      <c r="I4696"/>
      <c r="J4696"/>
      <c r="K4696"/>
      <c r="L4696"/>
      <c r="M4696"/>
      <c r="N4696"/>
      <c r="O4696"/>
      <c r="P4696" s="225"/>
      <c r="Q4696" s="225"/>
      <c r="R4696"/>
      <c r="S4696"/>
      <c r="T4696"/>
      <c r="U4696"/>
      <c r="V4696"/>
      <c r="W4696"/>
      <c r="X4696"/>
    </row>
    <row r="4697" spans="5:24" x14ac:dyDescent="0.3">
      <c r="E4697" s="173"/>
      <c r="F4697" s="173"/>
      <c r="I4697"/>
      <c r="J4697"/>
      <c r="K4697"/>
      <c r="L4697"/>
      <c r="M4697"/>
      <c r="N4697"/>
      <c r="O4697"/>
      <c r="P4697" s="225"/>
      <c r="Q4697" s="225"/>
      <c r="R4697"/>
      <c r="S4697"/>
      <c r="T4697"/>
      <c r="U4697"/>
      <c r="V4697"/>
      <c r="W4697"/>
      <c r="X4697"/>
    </row>
    <row r="4698" spans="5:24" x14ac:dyDescent="0.3">
      <c r="E4698" s="173"/>
      <c r="F4698" s="173"/>
      <c r="I4698"/>
      <c r="J4698"/>
      <c r="K4698"/>
      <c r="L4698"/>
      <c r="M4698"/>
      <c r="N4698"/>
      <c r="O4698"/>
      <c r="P4698" s="225"/>
      <c r="Q4698" s="225"/>
      <c r="R4698"/>
      <c r="S4698"/>
      <c r="T4698"/>
      <c r="U4698"/>
      <c r="V4698"/>
      <c r="W4698"/>
      <c r="X4698"/>
    </row>
    <row r="4699" spans="5:24" x14ac:dyDescent="0.3">
      <c r="E4699" s="173"/>
      <c r="F4699" s="173"/>
      <c r="I4699"/>
      <c r="J4699"/>
      <c r="K4699"/>
      <c r="L4699"/>
      <c r="M4699"/>
      <c r="N4699"/>
      <c r="O4699"/>
      <c r="P4699" s="225"/>
      <c r="Q4699" s="225"/>
      <c r="R4699"/>
      <c r="S4699"/>
      <c r="T4699"/>
      <c r="U4699"/>
      <c r="V4699"/>
      <c r="W4699"/>
      <c r="X4699"/>
    </row>
    <row r="4700" spans="5:24" x14ac:dyDescent="0.3">
      <c r="E4700" s="173"/>
      <c r="F4700" s="173"/>
      <c r="I4700"/>
      <c r="J4700"/>
      <c r="K4700"/>
      <c r="L4700"/>
      <c r="M4700"/>
      <c r="N4700"/>
      <c r="O4700"/>
      <c r="P4700" s="225"/>
      <c r="Q4700" s="225"/>
      <c r="R4700"/>
      <c r="S4700"/>
      <c r="T4700"/>
      <c r="U4700"/>
      <c r="V4700"/>
      <c r="W4700"/>
      <c r="X4700"/>
    </row>
    <row r="4701" spans="5:24" x14ac:dyDescent="0.3">
      <c r="E4701" s="173"/>
      <c r="F4701" s="173"/>
      <c r="I4701"/>
      <c r="J4701"/>
      <c r="K4701"/>
      <c r="L4701"/>
      <c r="M4701"/>
      <c r="N4701"/>
      <c r="O4701"/>
      <c r="P4701" s="225"/>
      <c r="Q4701" s="225"/>
      <c r="R4701"/>
      <c r="S4701"/>
      <c r="T4701"/>
      <c r="U4701"/>
      <c r="V4701"/>
      <c r="W4701"/>
      <c r="X4701"/>
    </row>
    <row r="4702" spans="5:24" x14ac:dyDescent="0.3">
      <c r="E4702" s="173"/>
      <c r="F4702" s="173"/>
      <c r="I4702"/>
      <c r="J4702"/>
      <c r="K4702"/>
      <c r="L4702"/>
      <c r="M4702"/>
      <c r="N4702"/>
      <c r="O4702"/>
      <c r="P4702" s="225"/>
      <c r="Q4702" s="225"/>
      <c r="R4702"/>
      <c r="S4702"/>
      <c r="T4702"/>
      <c r="U4702"/>
      <c r="V4702"/>
      <c r="W4702"/>
      <c r="X4702"/>
    </row>
    <row r="4703" spans="5:24" x14ac:dyDescent="0.3">
      <c r="E4703" s="173"/>
      <c r="F4703" s="173"/>
      <c r="I4703"/>
      <c r="J4703"/>
      <c r="K4703"/>
      <c r="L4703"/>
      <c r="M4703"/>
      <c r="N4703"/>
      <c r="O4703"/>
      <c r="P4703" s="225"/>
      <c r="Q4703" s="225"/>
      <c r="R4703"/>
      <c r="S4703"/>
      <c r="T4703"/>
      <c r="U4703"/>
      <c r="V4703"/>
      <c r="W4703"/>
      <c r="X4703"/>
    </row>
    <row r="4704" spans="5:24" x14ac:dyDescent="0.3">
      <c r="E4704" s="173"/>
      <c r="F4704" s="173"/>
      <c r="I4704"/>
      <c r="J4704"/>
      <c r="K4704"/>
      <c r="L4704"/>
      <c r="M4704"/>
      <c r="N4704"/>
      <c r="O4704"/>
      <c r="P4704" s="225"/>
      <c r="Q4704" s="225"/>
      <c r="R4704"/>
      <c r="S4704"/>
      <c r="T4704"/>
      <c r="U4704"/>
      <c r="V4704"/>
      <c r="W4704"/>
      <c r="X4704"/>
    </row>
    <row r="4705" spans="5:24" x14ac:dyDescent="0.3">
      <c r="E4705" s="173"/>
      <c r="F4705" s="173"/>
      <c r="I4705"/>
      <c r="J4705"/>
      <c r="K4705"/>
      <c r="L4705"/>
      <c r="M4705"/>
      <c r="N4705"/>
      <c r="O4705"/>
      <c r="P4705" s="225"/>
      <c r="Q4705" s="225"/>
      <c r="R4705"/>
      <c r="S4705"/>
      <c r="T4705"/>
      <c r="U4705"/>
      <c r="V4705"/>
      <c r="W4705"/>
      <c r="X4705"/>
    </row>
    <row r="4706" spans="5:24" x14ac:dyDescent="0.3">
      <c r="E4706" s="173"/>
      <c r="F4706" s="173"/>
      <c r="I4706"/>
      <c r="J4706"/>
      <c r="K4706"/>
      <c r="L4706"/>
      <c r="M4706"/>
      <c r="N4706"/>
      <c r="O4706"/>
      <c r="P4706" s="225"/>
      <c r="Q4706" s="225"/>
      <c r="R4706"/>
      <c r="S4706"/>
      <c r="T4706"/>
      <c r="U4706"/>
      <c r="V4706"/>
      <c r="W4706"/>
      <c r="X4706"/>
    </row>
    <row r="4707" spans="5:24" x14ac:dyDescent="0.3">
      <c r="E4707" s="173"/>
      <c r="F4707" s="173"/>
      <c r="I4707"/>
      <c r="J4707"/>
      <c r="K4707"/>
      <c r="L4707"/>
      <c r="M4707"/>
      <c r="N4707"/>
      <c r="O4707"/>
      <c r="P4707" s="225"/>
      <c r="Q4707" s="225"/>
      <c r="R4707"/>
      <c r="S4707"/>
      <c r="T4707"/>
      <c r="U4707"/>
      <c r="V4707"/>
      <c r="W4707"/>
      <c r="X4707"/>
    </row>
    <row r="4708" spans="5:24" x14ac:dyDescent="0.3">
      <c r="E4708" s="173"/>
      <c r="F4708" s="173"/>
      <c r="I4708"/>
      <c r="J4708"/>
      <c r="K4708"/>
      <c r="L4708"/>
      <c r="M4708"/>
      <c r="N4708"/>
      <c r="O4708"/>
      <c r="P4708" s="225"/>
      <c r="Q4708" s="225"/>
      <c r="R4708"/>
      <c r="S4708"/>
      <c r="T4708"/>
      <c r="U4708"/>
      <c r="V4708"/>
      <c r="W4708"/>
      <c r="X4708"/>
    </row>
    <row r="4709" spans="5:24" x14ac:dyDescent="0.3">
      <c r="E4709" s="173"/>
      <c r="F4709" s="173"/>
      <c r="I4709"/>
      <c r="J4709"/>
      <c r="K4709"/>
      <c r="L4709"/>
      <c r="M4709"/>
      <c r="N4709"/>
      <c r="O4709"/>
      <c r="P4709" s="225"/>
      <c r="Q4709" s="225"/>
      <c r="R4709"/>
      <c r="S4709"/>
      <c r="T4709"/>
      <c r="U4709"/>
      <c r="V4709"/>
      <c r="W4709"/>
      <c r="X4709"/>
    </row>
    <row r="4710" spans="5:24" x14ac:dyDescent="0.3">
      <c r="E4710" s="173"/>
      <c r="F4710" s="173"/>
      <c r="I4710"/>
      <c r="J4710"/>
      <c r="K4710"/>
      <c r="L4710"/>
      <c r="M4710"/>
      <c r="N4710"/>
      <c r="O4710"/>
      <c r="P4710" s="225"/>
      <c r="Q4710" s="225"/>
      <c r="R4710"/>
      <c r="S4710"/>
      <c r="T4710"/>
      <c r="U4710"/>
      <c r="V4710"/>
      <c r="W4710"/>
      <c r="X4710"/>
    </row>
    <row r="4711" spans="5:24" x14ac:dyDescent="0.3">
      <c r="E4711" s="173"/>
      <c r="F4711" s="173"/>
      <c r="I4711"/>
      <c r="J4711"/>
      <c r="K4711"/>
      <c r="L4711"/>
      <c r="M4711"/>
      <c r="N4711"/>
      <c r="O4711"/>
      <c r="P4711" s="225"/>
      <c r="Q4711" s="225"/>
      <c r="R4711"/>
      <c r="S4711"/>
      <c r="T4711"/>
      <c r="U4711"/>
      <c r="V4711"/>
      <c r="W4711"/>
      <c r="X4711"/>
    </row>
    <row r="4712" spans="5:24" x14ac:dyDescent="0.3">
      <c r="E4712" s="173"/>
      <c r="F4712" s="173"/>
      <c r="I4712"/>
      <c r="J4712"/>
      <c r="K4712"/>
      <c r="L4712"/>
      <c r="M4712"/>
      <c r="N4712"/>
      <c r="O4712"/>
      <c r="P4712" s="225"/>
      <c r="Q4712" s="225"/>
      <c r="R4712"/>
      <c r="S4712"/>
      <c r="T4712"/>
      <c r="U4712"/>
      <c r="V4712"/>
      <c r="W4712"/>
      <c r="X4712"/>
    </row>
    <row r="4713" spans="5:24" x14ac:dyDescent="0.3">
      <c r="E4713" s="173"/>
      <c r="F4713" s="173"/>
      <c r="I4713"/>
      <c r="J4713"/>
      <c r="K4713"/>
      <c r="L4713"/>
      <c r="M4713"/>
      <c r="N4713"/>
      <c r="O4713"/>
      <c r="P4713" s="225"/>
      <c r="Q4713" s="225"/>
      <c r="R4713"/>
      <c r="S4713"/>
      <c r="T4713"/>
      <c r="U4713"/>
      <c r="V4713"/>
      <c r="W4713"/>
      <c r="X4713"/>
    </row>
    <row r="4714" spans="5:24" x14ac:dyDescent="0.3">
      <c r="E4714" s="173"/>
      <c r="F4714" s="173"/>
      <c r="I4714"/>
      <c r="J4714"/>
      <c r="K4714"/>
      <c r="L4714"/>
      <c r="M4714"/>
      <c r="N4714"/>
      <c r="O4714"/>
      <c r="P4714" s="225"/>
      <c r="Q4714" s="225"/>
      <c r="R4714"/>
      <c r="S4714"/>
      <c r="T4714"/>
      <c r="U4714"/>
      <c r="V4714"/>
      <c r="W4714"/>
      <c r="X4714"/>
    </row>
    <row r="4715" spans="5:24" x14ac:dyDescent="0.3">
      <c r="E4715" s="173"/>
      <c r="F4715" s="173"/>
      <c r="I4715"/>
      <c r="J4715"/>
      <c r="K4715"/>
      <c r="L4715"/>
      <c r="M4715"/>
      <c r="N4715"/>
      <c r="O4715"/>
      <c r="P4715" s="225"/>
      <c r="Q4715" s="225"/>
      <c r="R4715"/>
      <c r="S4715"/>
      <c r="T4715"/>
      <c r="U4715"/>
      <c r="V4715"/>
      <c r="W4715"/>
      <c r="X4715"/>
    </row>
    <row r="4716" spans="5:24" x14ac:dyDescent="0.3">
      <c r="E4716" s="173"/>
      <c r="F4716" s="173"/>
      <c r="I4716"/>
      <c r="J4716"/>
      <c r="K4716"/>
      <c r="L4716"/>
      <c r="M4716"/>
      <c r="N4716"/>
      <c r="O4716"/>
      <c r="P4716" s="225"/>
      <c r="Q4716" s="225"/>
      <c r="R4716"/>
      <c r="S4716"/>
      <c r="T4716"/>
      <c r="U4716"/>
      <c r="V4716"/>
      <c r="W4716"/>
      <c r="X4716"/>
    </row>
    <row r="4717" spans="5:24" x14ac:dyDescent="0.3">
      <c r="E4717" s="173"/>
      <c r="F4717" s="173"/>
      <c r="I4717"/>
      <c r="J4717"/>
      <c r="K4717"/>
      <c r="L4717"/>
      <c r="M4717"/>
      <c r="N4717"/>
      <c r="O4717"/>
      <c r="P4717" s="225"/>
      <c r="Q4717" s="225"/>
      <c r="R4717"/>
      <c r="S4717"/>
      <c r="T4717"/>
      <c r="U4717"/>
      <c r="V4717"/>
      <c r="W4717"/>
      <c r="X4717"/>
    </row>
    <row r="4718" spans="5:24" x14ac:dyDescent="0.3">
      <c r="E4718" s="173"/>
      <c r="F4718" s="173"/>
      <c r="I4718"/>
      <c r="J4718"/>
      <c r="K4718"/>
      <c r="L4718"/>
      <c r="M4718"/>
      <c r="N4718"/>
      <c r="O4718"/>
      <c r="P4718" s="225"/>
      <c r="Q4718" s="225"/>
      <c r="R4718"/>
      <c r="S4718"/>
      <c r="T4718"/>
      <c r="U4718"/>
      <c r="V4718"/>
      <c r="W4718"/>
      <c r="X4718"/>
    </row>
    <row r="4719" spans="5:24" x14ac:dyDescent="0.3">
      <c r="E4719" s="173"/>
      <c r="F4719" s="173"/>
      <c r="I4719"/>
      <c r="J4719"/>
      <c r="K4719"/>
      <c r="L4719"/>
      <c r="M4719"/>
      <c r="N4719"/>
      <c r="O4719"/>
      <c r="P4719" s="225"/>
      <c r="Q4719" s="225"/>
      <c r="R4719"/>
      <c r="S4719"/>
      <c r="T4719"/>
      <c r="U4719"/>
      <c r="V4719"/>
      <c r="W4719"/>
      <c r="X4719"/>
    </row>
    <row r="4720" spans="5:24" x14ac:dyDescent="0.3">
      <c r="E4720" s="173"/>
      <c r="F4720" s="173"/>
      <c r="I4720"/>
      <c r="J4720"/>
      <c r="K4720"/>
      <c r="L4720"/>
      <c r="M4720"/>
      <c r="N4720"/>
      <c r="O4720"/>
      <c r="P4720" s="225"/>
      <c r="Q4720" s="225"/>
      <c r="R4720"/>
      <c r="S4720"/>
      <c r="T4720"/>
      <c r="U4720"/>
      <c r="V4720"/>
      <c r="W4720"/>
      <c r="X4720"/>
    </row>
    <row r="4721" spans="5:24" x14ac:dyDescent="0.3">
      <c r="E4721" s="173"/>
      <c r="F4721" s="173"/>
      <c r="I4721"/>
      <c r="J4721"/>
      <c r="K4721"/>
      <c r="L4721"/>
      <c r="M4721"/>
      <c r="N4721"/>
      <c r="O4721"/>
      <c r="P4721" s="225"/>
      <c r="Q4721" s="225"/>
      <c r="R4721"/>
      <c r="S4721"/>
      <c r="T4721"/>
      <c r="U4721"/>
      <c r="V4721"/>
      <c r="W4721"/>
      <c r="X4721"/>
    </row>
    <row r="4722" spans="5:24" x14ac:dyDescent="0.3">
      <c r="E4722" s="173"/>
      <c r="F4722" s="173"/>
      <c r="I4722"/>
      <c r="J4722"/>
      <c r="K4722"/>
      <c r="L4722"/>
      <c r="M4722"/>
      <c r="N4722"/>
      <c r="O4722"/>
      <c r="P4722" s="225"/>
      <c r="Q4722" s="225"/>
      <c r="R4722"/>
      <c r="S4722"/>
      <c r="T4722"/>
      <c r="U4722"/>
      <c r="V4722"/>
      <c r="W4722"/>
      <c r="X4722"/>
    </row>
    <row r="4723" spans="5:24" x14ac:dyDescent="0.3">
      <c r="E4723" s="173"/>
      <c r="F4723" s="173"/>
      <c r="I4723"/>
      <c r="J4723"/>
      <c r="K4723"/>
      <c r="L4723"/>
      <c r="M4723"/>
      <c r="N4723"/>
      <c r="O4723"/>
      <c r="P4723" s="225"/>
      <c r="Q4723" s="225"/>
      <c r="R4723"/>
      <c r="S4723"/>
      <c r="T4723"/>
      <c r="U4723"/>
      <c r="V4723"/>
      <c r="W4723"/>
      <c r="X4723"/>
    </row>
    <row r="4724" spans="5:24" x14ac:dyDescent="0.3">
      <c r="E4724" s="173"/>
      <c r="F4724" s="173"/>
      <c r="I4724"/>
      <c r="J4724"/>
      <c r="K4724"/>
      <c r="L4724"/>
      <c r="M4724"/>
      <c r="N4724"/>
      <c r="O4724"/>
      <c r="P4724" s="225"/>
      <c r="Q4724" s="225"/>
      <c r="R4724"/>
      <c r="S4724"/>
      <c r="T4724"/>
      <c r="U4724"/>
      <c r="V4724"/>
      <c r="W4724"/>
      <c r="X4724"/>
    </row>
    <row r="4725" spans="5:24" x14ac:dyDescent="0.3">
      <c r="E4725" s="173"/>
      <c r="F4725" s="173"/>
      <c r="I4725"/>
      <c r="J4725"/>
      <c r="K4725"/>
      <c r="L4725"/>
      <c r="M4725"/>
      <c r="N4725"/>
      <c r="O4725"/>
      <c r="P4725" s="225"/>
      <c r="Q4725" s="225"/>
      <c r="R4725"/>
      <c r="S4725"/>
      <c r="T4725"/>
      <c r="U4725"/>
      <c r="V4725"/>
      <c r="W4725"/>
      <c r="X4725"/>
    </row>
    <row r="4726" spans="5:24" x14ac:dyDescent="0.3">
      <c r="E4726" s="173"/>
      <c r="F4726" s="173"/>
      <c r="I4726"/>
      <c r="J4726"/>
      <c r="K4726"/>
      <c r="L4726"/>
      <c r="M4726"/>
      <c r="N4726"/>
      <c r="O4726"/>
      <c r="P4726" s="225"/>
      <c r="Q4726" s="225"/>
      <c r="R4726"/>
      <c r="S4726"/>
      <c r="T4726"/>
      <c r="U4726"/>
      <c r="V4726"/>
      <c r="W4726"/>
      <c r="X4726"/>
    </row>
    <row r="4727" spans="5:24" x14ac:dyDescent="0.3">
      <c r="E4727" s="173"/>
      <c r="F4727" s="173"/>
      <c r="I4727"/>
      <c r="J4727"/>
      <c r="K4727"/>
      <c r="L4727"/>
      <c r="M4727"/>
      <c r="N4727"/>
      <c r="O4727"/>
      <c r="P4727" s="225"/>
      <c r="Q4727" s="225"/>
      <c r="R4727"/>
      <c r="S4727"/>
      <c r="T4727"/>
      <c r="U4727"/>
      <c r="V4727"/>
      <c r="W4727"/>
      <c r="X4727"/>
    </row>
    <row r="4728" spans="5:24" x14ac:dyDescent="0.3">
      <c r="E4728" s="173"/>
      <c r="F4728" s="173"/>
      <c r="I4728"/>
      <c r="J4728"/>
      <c r="K4728"/>
      <c r="L4728"/>
      <c r="M4728"/>
      <c r="N4728"/>
      <c r="O4728"/>
      <c r="P4728" s="225"/>
      <c r="Q4728" s="225"/>
      <c r="R4728"/>
      <c r="S4728"/>
      <c r="T4728"/>
      <c r="U4728"/>
      <c r="V4728"/>
      <c r="W4728"/>
      <c r="X4728"/>
    </row>
    <row r="4729" spans="5:24" x14ac:dyDescent="0.3">
      <c r="E4729" s="173"/>
      <c r="F4729" s="173"/>
      <c r="I4729"/>
      <c r="J4729"/>
      <c r="K4729"/>
      <c r="L4729"/>
      <c r="M4729"/>
      <c r="N4729"/>
      <c r="O4729"/>
      <c r="P4729" s="225"/>
      <c r="Q4729" s="225"/>
      <c r="R4729"/>
      <c r="S4729"/>
      <c r="T4729"/>
      <c r="U4729"/>
      <c r="V4729"/>
      <c r="W4729"/>
      <c r="X4729"/>
    </row>
    <row r="4730" spans="5:24" x14ac:dyDescent="0.3">
      <c r="E4730" s="173"/>
      <c r="F4730" s="173"/>
      <c r="I4730"/>
      <c r="J4730"/>
      <c r="K4730"/>
      <c r="L4730"/>
      <c r="M4730"/>
      <c r="N4730"/>
      <c r="O4730"/>
      <c r="P4730" s="225"/>
      <c r="Q4730" s="225"/>
      <c r="R4730"/>
      <c r="S4730"/>
      <c r="T4730"/>
      <c r="U4730"/>
      <c r="V4730"/>
      <c r="W4730"/>
      <c r="X4730"/>
    </row>
    <row r="4731" spans="5:24" x14ac:dyDescent="0.3">
      <c r="E4731" s="173"/>
      <c r="F4731" s="173"/>
      <c r="I4731"/>
      <c r="J4731"/>
      <c r="K4731"/>
      <c r="L4731"/>
      <c r="M4731"/>
      <c r="N4731"/>
      <c r="O4731"/>
      <c r="P4731" s="225"/>
      <c r="Q4731" s="225"/>
      <c r="R4731"/>
      <c r="S4731"/>
      <c r="T4731"/>
      <c r="U4731"/>
      <c r="V4731"/>
      <c r="W4731"/>
      <c r="X4731"/>
    </row>
    <row r="4732" spans="5:24" x14ac:dyDescent="0.3">
      <c r="E4732" s="173"/>
      <c r="F4732" s="173"/>
      <c r="I4732"/>
      <c r="J4732"/>
      <c r="K4732"/>
      <c r="L4732"/>
      <c r="M4732"/>
      <c r="N4732"/>
      <c r="O4732"/>
      <c r="P4732" s="225"/>
      <c r="Q4732" s="225"/>
      <c r="R4732"/>
      <c r="S4732"/>
      <c r="T4732"/>
      <c r="U4732"/>
      <c r="V4732"/>
      <c r="W4732"/>
      <c r="X4732"/>
    </row>
    <row r="4733" spans="5:24" x14ac:dyDescent="0.3">
      <c r="E4733" s="173"/>
      <c r="F4733" s="173"/>
      <c r="I4733"/>
      <c r="J4733"/>
      <c r="K4733"/>
      <c r="L4733"/>
      <c r="M4733"/>
      <c r="N4733"/>
      <c r="O4733"/>
      <c r="P4733" s="225"/>
      <c r="Q4733" s="225"/>
      <c r="R4733"/>
      <c r="S4733"/>
      <c r="T4733"/>
      <c r="U4733"/>
      <c r="V4733"/>
      <c r="W4733"/>
      <c r="X4733"/>
    </row>
    <row r="4734" spans="5:24" x14ac:dyDescent="0.3">
      <c r="E4734" s="173"/>
      <c r="F4734" s="173"/>
      <c r="I4734"/>
      <c r="J4734"/>
      <c r="K4734"/>
      <c r="L4734"/>
      <c r="M4734"/>
      <c r="N4734"/>
      <c r="O4734"/>
      <c r="P4734" s="225"/>
      <c r="Q4734" s="225"/>
      <c r="R4734"/>
      <c r="S4734"/>
      <c r="T4734"/>
      <c r="U4734"/>
      <c r="V4734"/>
      <c r="W4734"/>
      <c r="X4734"/>
    </row>
    <row r="4735" spans="5:24" x14ac:dyDescent="0.3">
      <c r="E4735" s="173"/>
      <c r="F4735" s="173"/>
      <c r="I4735"/>
      <c r="J4735"/>
      <c r="K4735"/>
      <c r="L4735"/>
      <c r="M4735"/>
      <c r="N4735"/>
      <c r="O4735"/>
      <c r="P4735" s="225"/>
      <c r="Q4735" s="225"/>
      <c r="R4735"/>
      <c r="S4735"/>
      <c r="T4735"/>
      <c r="U4735"/>
      <c r="V4735"/>
      <c r="W4735"/>
      <c r="X4735"/>
    </row>
    <row r="4736" spans="5:24" x14ac:dyDescent="0.3">
      <c r="E4736" s="173"/>
      <c r="F4736" s="173"/>
      <c r="I4736"/>
      <c r="J4736"/>
      <c r="K4736"/>
      <c r="L4736"/>
      <c r="M4736"/>
      <c r="N4736"/>
      <c r="O4736"/>
      <c r="P4736" s="225"/>
      <c r="Q4736" s="225"/>
      <c r="R4736"/>
      <c r="S4736"/>
      <c r="T4736"/>
      <c r="U4736"/>
      <c r="V4736"/>
      <c r="W4736"/>
      <c r="X4736"/>
    </row>
    <row r="4737" spans="5:24" x14ac:dyDescent="0.3">
      <c r="E4737" s="173"/>
      <c r="F4737" s="173"/>
      <c r="I4737"/>
      <c r="J4737"/>
      <c r="K4737"/>
      <c r="L4737"/>
      <c r="M4737"/>
      <c r="N4737"/>
      <c r="O4737"/>
      <c r="P4737" s="225"/>
      <c r="Q4737" s="225"/>
      <c r="R4737"/>
      <c r="S4737"/>
      <c r="T4737"/>
      <c r="U4737"/>
      <c r="V4737"/>
      <c r="W4737"/>
      <c r="X4737"/>
    </row>
    <row r="4738" spans="5:24" x14ac:dyDescent="0.3">
      <c r="E4738" s="173"/>
      <c r="F4738" s="173"/>
      <c r="I4738"/>
      <c r="J4738"/>
      <c r="K4738"/>
      <c r="L4738"/>
      <c r="M4738"/>
      <c r="N4738"/>
      <c r="O4738"/>
      <c r="P4738" s="225"/>
      <c r="Q4738" s="225"/>
      <c r="R4738"/>
      <c r="S4738"/>
      <c r="T4738"/>
      <c r="U4738"/>
      <c r="V4738"/>
      <c r="W4738"/>
      <c r="X4738"/>
    </row>
    <row r="4739" spans="5:24" x14ac:dyDescent="0.3">
      <c r="E4739" s="173"/>
      <c r="F4739" s="173"/>
      <c r="I4739"/>
      <c r="J4739"/>
      <c r="K4739"/>
      <c r="L4739"/>
      <c r="M4739"/>
      <c r="N4739"/>
      <c r="O4739"/>
      <c r="P4739" s="225"/>
      <c r="Q4739" s="225"/>
      <c r="R4739"/>
      <c r="S4739"/>
      <c r="T4739"/>
      <c r="U4739"/>
      <c r="V4739"/>
      <c r="W4739"/>
      <c r="X4739"/>
    </row>
    <row r="4740" spans="5:24" x14ac:dyDescent="0.3">
      <c r="E4740" s="173"/>
      <c r="F4740" s="173"/>
      <c r="I4740"/>
      <c r="J4740"/>
      <c r="K4740"/>
      <c r="L4740"/>
      <c r="M4740"/>
      <c r="N4740"/>
      <c r="O4740"/>
      <c r="P4740" s="225"/>
      <c r="Q4740" s="225"/>
      <c r="R4740"/>
      <c r="S4740"/>
      <c r="T4740"/>
      <c r="U4740"/>
      <c r="V4740"/>
      <c r="W4740"/>
      <c r="X4740"/>
    </row>
    <row r="4741" spans="5:24" x14ac:dyDescent="0.3">
      <c r="E4741" s="173"/>
      <c r="F4741" s="173"/>
      <c r="I4741"/>
      <c r="J4741"/>
      <c r="K4741"/>
      <c r="L4741"/>
      <c r="M4741"/>
      <c r="N4741"/>
      <c r="O4741"/>
      <c r="P4741" s="225"/>
      <c r="Q4741" s="225"/>
      <c r="R4741"/>
      <c r="S4741"/>
      <c r="T4741"/>
      <c r="U4741"/>
      <c r="V4741"/>
      <c r="W4741"/>
      <c r="X4741"/>
    </row>
    <row r="4742" spans="5:24" x14ac:dyDescent="0.3">
      <c r="E4742" s="173"/>
      <c r="F4742" s="173"/>
      <c r="I4742"/>
      <c r="J4742"/>
      <c r="K4742"/>
      <c r="L4742"/>
      <c r="M4742"/>
      <c r="N4742"/>
      <c r="O4742"/>
      <c r="P4742" s="225"/>
      <c r="Q4742" s="225"/>
      <c r="R4742"/>
      <c r="S4742"/>
      <c r="T4742"/>
      <c r="U4742"/>
      <c r="V4742"/>
      <c r="W4742"/>
      <c r="X4742"/>
    </row>
    <row r="4743" spans="5:24" x14ac:dyDescent="0.3">
      <c r="E4743" s="173"/>
      <c r="F4743" s="173"/>
      <c r="I4743"/>
      <c r="J4743"/>
      <c r="K4743"/>
      <c r="L4743"/>
      <c r="M4743"/>
      <c r="N4743"/>
      <c r="O4743"/>
      <c r="P4743" s="225"/>
      <c r="Q4743" s="225"/>
      <c r="R4743"/>
      <c r="S4743"/>
      <c r="T4743"/>
      <c r="U4743"/>
      <c r="V4743"/>
      <c r="W4743"/>
      <c r="X4743"/>
    </row>
    <row r="4744" spans="5:24" x14ac:dyDescent="0.3">
      <c r="E4744" s="173"/>
      <c r="F4744" s="173"/>
      <c r="I4744"/>
      <c r="J4744"/>
      <c r="K4744"/>
      <c r="L4744"/>
      <c r="M4744"/>
      <c r="N4744"/>
      <c r="O4744"/>
      <c r="P4744" s="225"/>
      <c r="Q4744" s="225"/>
      <c r="R4744"/>
      <c r="S4744"/>
      <c r="T4744"/>
      <c r="U4744"/>
      <c r="V4744"/>
      <c r="W4744"/>
      <c r="X4744"/>
    </row>
    <row r="4745" spans="5:24" x14ac:dyDescent="0.3">
      <c r="E4745" s="173"/>
      <c r="F4745" s="173"/>
      <c r="I4745"/>
      <c r="J4745"/>
      <c r="K4745"/>
      <c r="L4745"/>
      <c r="M4745"/>
      <c r="N4745"/>
      <c r="O4745"/>
      <c r="P4745" s="225"/>
      <c r="Q4745" s="225"/>
      <c r="R4745"/>
      <c r="S4745"/>
      <c r="T4745"/>
      <c r="U4745"/>
      <c r="V4745"/>
      <c r="W4745"/>
      <c r="X4745"/>
    </row>
    <row r="4746" spans="5:24" x14ac:dyDescent="0.3">
      <c r="E4746" s="173"/>
      <c r="F4746" s="173"/>
      <c r="I4746"/>
      <c r="J4746"/>
      <c r="K4746"/>
      <c r="L4746"/>
      <c r="M4746"/>
      <c r="N4746"/>
      <c r="O4746"/>
      <c r="P4746" s="225"/>
      <c r="Q4746" s="225"/>
      <c r="R4746"/>
      <c r="S4746"/>
      <c r="T4746"/>
      <c r="U4746"/>
      <c r="V4746"/>
      <c r="W4746"/>
      <c r="X4746"/>
    </row>
    <row r="4747" spans="5:24" x14ac:dyDescent="0.3">
      <c r="E4747" s="173"/>
      <c r="F4747" s="173"/>
      <c r="I4747"/>
      <c r="J4747"/>
      <c r="K4747"/>
      <c r="L4747"/>
      <c r="M4747"/>
      <c r="N4747"/>
      <c r="O4747"/>
      <c r="P4747" s="225"/>
      <c r="Q4747" s="225"/>
      <c r="R4747"/>
      <c r="S4747"/>
      <c r="T4747"/>
      <c r="U4747"/>
      <c r="V4747"/>
      <c r="W4747"/>
      <c r="X4747"/>
    </row>
    <row r="4748" spans="5:24" x14ac:dyDescent="0.3">
      <c r="E4748" s="173"/>
      <c r="F4748" s="173"/>
      <c r="I4748"/>
      <c r="J4748"/>
      <c r="K4748"/>
      <c r="L4748"/>
      <c r="M4748"/>
      <c r="N4748"/>
      <c r="O4748"/>
      <c r="P4748" s="225"/>
      <c r="Q4748" s="225"/>
      <c r="R4748"/>
      <c r="S4748"/>
      <c r="T4748"/>
      <c r="U4748"/>
      <c r="V4748"/>
      <c r="W4748"/>
      <c r="X4748"/>
    </row>
    <row r="4749" spans="5:24" x14ac:dyDescent="0.3">
      <c r="E4749" s="173"/>
      <c r="F4749" s="173"/>
      <c r="I4749"/>
      <c r="J4749"/>
      <c r="K4749"/>
      <c r="L4749"/>
      <c r="M4749"/>
      <c r="N4749"/>
      <c r="O4749"/>
      <c r="P4749" s="225"/>
      <c r="Q4749" s="225"/>
      <c r="R4749"/>
      <c r="S4749"/>
      <c r="T4749"/>
      <c r="U4749"/>
      <c r="V4749"/>
      <c r="W4749"/>
      <c r="X4749"/>
    </row>
    <row r="4750" spans="5:24" x14ac:dyDescent="0.3">
      <c r="E4750" s="173"/>
      <c r="F4750" s="173"/>
      <c r="I4750"/>
      <c r="J4750"/>
      <c r="K4750"/>
      <c r="L4750"/>
      <c r="M4750"/>
      <c r="N4750"/>
      <c r="O4750"/>
      <c r="P4750" s="225"/>
      <c r="Q4750" s="225"/>
      <c r="R4750"/>
      <c r="S4750"/>
      <c r="T4750"/>
      <c r="U4750"/>
      <c r="V4750"/>
      <c r="W4750"/>
      <c r="X4750"/>
    </row>
    <row r="4751" spans="5:24" x14ac:dyDescent="0.3">
      <c r="E4751" s="173"/>
      <c r="F4751" s="173"/>
      <c r="I4751"/>
      <c r="J4751"/>
      <c r="K4751"/>
      <c r="L4751"/>
      <c r="M4751"/>
      <c r="N4751"/>
      <c r="O4751"/>
      <c r="P4751" s="225"/>
      <c r="Q4751" s="225"/>
      <c r="R4751"/>
      <c r="S4751"/>
      <c r="T4751"/>
      <c r="U4751"/>
      <c r="V4751"/>
      <c r="W4751"/>
      <c r="X4751"/>
    </row>
    <row r="4752" spans="5:24" x14ac:dyDescent="0.3">
      <c r="E4752" s="173"/>
      <c r="F4752" s="173"/>
      <c r="I4752"/>
      <c r="J4752"/>
      <c r="K4752"/>
      <c r="L4752"/>
      <c r="M4752"/>
      <c r="N4752"/>
      <c r="O4752"/>
      <c r="P4752" s="225"/>
      <c r="Q4752" s="225"/>
      <c r="R4752"/>
      <c r="S4752"/>
      <c r="T4752"/>
      <c r="U4752"/>
      <c r="V4752"/>
      <c r="W4752"/>
      <c r="X4752"/>
    </row>
    <row r="4753" spans="5:24" x14ac:dyDescent="0.3">
      <c r="E4753" s="173"/>
      <c r="F4753" s="173"/>
      <c r="I4753"/>
      <c r="J4753"/>
      <c r="K4753"/>
      <c r="L4753"/>
      <c r="M4753"/>
      <c r="N4753"/>
      <c r="O4753"/>
      <c r="P4753" s="225"/>
      <c r="Q4753" s="225"/>
      <c r="R4753"/>
      <c r="S4753"/>
      <c r="T4753"/>
      <c r="U4753"/>
      <c r="V4753"/>
      <c r="W4753"/>
      <c r="X4753"/>
    </row>
    <row r="4754" spans="5:24" x14ac:dyDescent="0.3">
      <c r="E4754" s="173"/>
      <c r="F4754" s="173"/>
      <c r="I4754"/>
      <c r="J4754"/>
      <c r="K4754"/>
      <c r="L4754"/>
      <c r="M4754"/>
      <c r="N4754"/>
      <c r="O4754"/>
      <c r="P4754" s="225"/>
      <c r="Q4754" s="225"/>
      <c r="R4754"/>
      <c r="S4754"/>
      <c r="T4754"/>
      <c r="U4754"/>
      <c r="V4754"/>
      <c r="W4754"/>
      <c r="X4754"/>
    </row>
    <row r="4755" spans="5:24" x14ac:dyDescent="0.3">
      <c r="E4755" s="173"/>
      <c r="F4755" s="173"/>
      <c r="I4755"/>
      <c r="J4755"/>
      <c r="K4755"/>
      <c r="L4755"/>
      <c r="M4755"/>
      <c r="N4755"/>
      <c r="O4755"/>
      <c r="P4755" s="225"/>
      <c r="Q4755" s="225"/>
      <c r="R4755"/>
      <c r="S4755"/>
      <c r="T4755"/>
      <c r="U4755"/>
      <c r="V4755"/>
      <c r="W4755"/>
      <c r="X4755"/>
    </row>
    <row r="4756" spans="5:24" x14ac:dyDescent="0.3">
      <c r="E4756" s="173"/>
      <c r="F4756" s="173"/>
      <c r="I4756"/>
      <c r="J4756"/>
      <c r="K4756"/>
      <c r="L4756"/>
      <c r="M4756"/>
      <c r="N4756"/>
      <c r="O4756"/>
      <c r="P4756" s="225"/>
      <c r="Q4756" s="225"/>
      <c r="R4756"/>
      <c r="S4756"/>
      <c r="T4756"/>
      <c r="U4756"/>
      <c r="V4756"/>
      <c r="W4756"/>
      <c r="X4756"/>
    </row>
    <row r="4757" spans="5:24" x14ac:dyDescent="0.3">
      <c r="E4757" s="173"/>
      <c r="F4757" s="173"/>
      <c r="I4757"/>
      <c r="J4757"/>
      <c r="K4757"/>
      <c r="L4757"/>
      <c r="M4757"/>
      <c r="N4757"/>
      <c r="O4757"/>
      <c r="P4757" s="225"/>
      <c r="Q4757" s="225"/>
      <c r="R4757"/>
      <c r="S4757"/>
      <c r="T4757"/>
      <c r="U4757"/>
      <c r="V4757"/>
      <c r="W4757"/>
      <c r="X4757"/>
    </row>
    <row r="4758" spans="5:24" x14ac:dyDescent="0.3">
      <c r="E4758" s="173"/>
      <c r="F4758" s="173"/>
      <c r="I4758"/>
      <c r="J4758"/>
      <c r="K4758"/>
      <c r="L4758"/>
      <c r="M4758"/>
      <c r="N4758"/>
      <c r="O4758"/>
      <c r="P4758" s="225"/>
      <c r="Q4758" s="225"/>
      <c r="R4758"/>
      <c r="S4758"/>
      <c r="T4758"/>
      <c r="U4758"/>
      <c r="V4758"/>
      <c r="W4758"/>
      <c r="X4758"/>
    </row>
    <row r="4759" spans="5:24" x14ac:dyDescent="0.3">
      <c r="E4759" s="173"/>
      <c r="F4759" s="173"/>
      <c r="I4759"/>
      <c r="J4759"/>
      <c r="K4759"/>
      <c r="L4759"/>
      <c r="M4759"/>
      <c r="N4759"/>
      <c r="O4759"/>
      <c r="P4759" s="225"/>
      <c r="Q4759" s="225"/>
      <c r="R4759"/>
      <c r="S4759"/>
      <c r="T4759"/>
      <c r="U4759"/>
      <c r="V4759"/>
      <c r="W4759"/>
      <c r="X4759"/>
    </row>
    <row r="4760" spans="5:24" x14ac:dyDescent="0.3">
      <c r="E4760" s="173"/>
      <c r="F4760" s="173"/>
      <c r="I4760"/>
      <c r="J4760"/>
      <c r="K4760"/>
      <c r="L4760"/>
      <c r="M4760"/>
      <c r="N4760"/>
      <c r="O4760"/>
      <c r="P4760" s="225"/>
      <c r="Q4760" s="225"/>
      <c r="R4760"/>
      <c r="S4760"/>
      <c r="T4760"/>
      <c r="U4760"/>
      <c r="V4760"/>
      <c r="W4760"/>
      <c r="X4760"/>
    </row>
    <row r="4761" spans="5:24" x14ac:dyDescent="0.3">
      <c r="E4761" s="173"/>
      <c r="F4761" s="173"/>
      <c r="I4761"/>
      <c r="J4761"/>
      <c r="K4761"/>
      <c r="L4761"/>
      <c r="M4761"/>
      <c r="N4761"/>
      <c r="O4761"/>
      <c r="P4761" s="225"/>
      <c r="Q4761" s="225"/>
      <c r="R4761"/>
      <c r="S4761"/>
      <c r="T4761"/>
      <c r="U4761"/>
      <c r="V4761"/>
      <c r="W4761"/>
      <c r="X4761"/>
    </row>
    <row r="4762" spans="5:24" x14ac:dyDescent="0.3">
      <c r="E4762" s="173"/>
      <c r="F4762" s="173"/>
      <c r="I4762"/>
      <c r="J4762"/>
      <c r="K4762"/>
      <c r="L4762"/>
      <c r="M4762"/>
      <c r="N4762"/>
      <c r="O4762"/>
      <c r="P4762" s="225"/>
      <c r="Q4762" s="225"/>
      <c r="R4762"/>
      <c r="S4762"/>
      <c r="T4762"/>
      <c r="U4762"/>
      <c r="V4762"/>
      <c r="W4762"/>
      <c r="X4762"/>
    </row>
    <row r="4763" spans="5:24" x14ac:dyDescent="0.3">
      <c r="E4763" s="173"/>
      <c r="F4763" s="173"/>
      <c r="I4763"/>
      <c r="J4763"/>
      <c r="K4763"/>
      <c r="L4763"/>
      <c r="M4763"/>
      <c r="N4763"/>
      <c r="O4763"/>
      <c r="P4763" s="225"/>
      <c r="Q4763" s="225"/>
      <c r="R4763"/>
      <c r="S4763"/>
      <c r="T4763"/>
      <c r="U4763"/>
      <c r="V4763"/>
      <c r="W4763"/>
      <c r="X4763"/>
    </row>
    <row r="4764" spans="5:24" x14ac:dyDescent="0.3">
      <c r="E4764" s="173"/>
      <c r="F4764" s="173"/>
      <c r="I4764"/>
      <c r="J4764"/>
      <c r="K4764"/>
      <c r="L4764"/>
      <c r="M4764"/>
      <c r="N4764"/>
      <c r="O4764"/>
      <c r="P4764" s="225"/>
      <c r="Q4764" s="225"/>
      <c r="R4764"/>
      <c r="S4764"/>
      <c r="T4764"/>
      <c r="U4764"/>
      <c r="V4764"/>
      <c r="W4764"/>
      <c r="X4764"/>
    </row>
    <row r="4765" spans="5:24" x14ac:dyDescent="0.3">
      <c r="E4765" s="173"/>
      <c r="F4765" s="173"/>
      <c r="I4765"/>
      <c r="J4765"/>
      <c r="K4765"/>
      <c r="L4765"/>
      <c r="M4765"/>
      <c r="N4765"/>
      <c r="O4765"/>
      <c r="P4765" s="225"/>
      <c r="Q4765" s="225"/>
      <c r="R4765"/>
      <c r="S4765"/>
      <c r="T4765"/>
      <c r="U4765"/>
      <c r="V4765"/>
      <c r="W4765"/>
      <c r="X4765"/>
    </row>
    <row r="4766" spans="5:24" x14ac:dyDescent="0.3">
      <c r="E4766" s="173"/>
      <c r="F4766" s="173"/>
      <c r="I4766"/>
      <c r="J4766"/>
      <c r="K4766"/>
      <c r="L4766"/>
      <c r="M4766"/>
      <c r="N4766"/>
      <c r="O4766"/>
      <c r="P4766" s="225"/>
      <c r="Q4766" s="225"/>
      <c r="R4766"/>
      <c r="S4766"/>
      <c r="T4766"/>
      <c r="U4766"/>
      <c r="V4766"/>
      <c r="W4766"/>
      <c r="X4766"/>
    </row>
    <row r="4767" spans="5:24" x14ac:dyDescent="0.3">
      <c r="E4767" s="173"/>
      <c r="F4767" s="173"/>
      <c r="I4767"/>
      <c r="J4767"/>
      <c r="K4767"/>
      <c r="L4767"/>
      <c r="M4767"/>
      <c r="N4767"/>
      <c r="O4767"/>
      <c r="P4767" s="225"/>
      <c r="Q4767" s="225"/>
      <c r="R4767"/>
      <c r="S4767"/>
      <c r="T4767"/>
      <c r="U4767"/>
      <c r="V4767"/>
      <c r="W4767"/>
      <c r="X4767"/>
    </row>
    <row r="4768" spans="5:24" x14ac:dyDescent="0.3">
      <c r="E4768" s="173"/>
      <c r="F4768" s="173"/>
      <c r="I4768"/>
      <c r="J4768"/>
      <c r="K4768"/>
      <c r="L4768"/>
      <c r="M4768"/>
      <c r="N4768"/>
      <c r="O4768"/>
      <c r="P4768" s="225"/>
      <c r="Q4768" s="225"/>
      <c r="R4768"/>
      <c r="S4768"/>
      <c r="T4768"/>
      <c r="U4768"/>
      <c r="V4768"/>
      <c r="W4768"/>
      <c r="X4768"/>
    </row>
    <row r="4769" spans="5:24" x14ac:dyDescent="0.3">
      <c r="E4769" s="173"/>
      <c r="F4769" s="173"/>
      <c r="I4769"/>
      <c r="J4769"/>
      <c r="K4769"/>
      <c r="L4769"/>
      <c r="M4769"/>
      <c r="N4769"/>
      <c r="O4769"/>
      <c r="P4769" s="225"/>
      <c r="Q4769" s="225"/>
      <c r="R4769"/>
      <c r="S4769"/>
      <c r="T4769"/>
      <c r="U4769"/>
      <c r="V4769"/>
      <c r="W4769"/>
      <c r="X4769"/>
    </row>
    <row r="4770" spans="5:24" x14ac:dyDescent="0.3">
      <c r="E4770" s="173"/>
      <c r="F4770" s="173"/>
      <c r="I4770"/>
      <c r="J4770"/>
      <c r="K4770"/>
      <c r="L4770"/>
      <c r="M4770"/>
      <c r="N4770"/>
      <c r="O4770"/>
      <c r="P4770" s="225"/>
      <c r="Q4770" s="225"/>
      <c r="R4770"/>
      <c r="S4770"/>
      <c r="T4770"/>
      <c r="U4770"/>
      <c r="V4770"/>
      <c r="W4770"/>
      <c r="X4770"/>
    </row>
    <row r="4771" spans="5:24" x14ac:dyDescent="0.3">
      <c r="E4771" s="173"/>
      <c r="F4771" s="173"/>
      <c r="I4771"/>
      <c r="J4771"/>
      <c r="K4771"/>
      <c r="L4771"/>
      <c r="M4771"/>
      <c r="N4771"/>
      <c r="O4771"/>
      <c r="P4771" s="225"/>
      <c r="Q4771" s="225"/>
      <c r="R4771"/>
      <c r="S4771"/>
      <c r="T4771"/>
      <c r="U4771"/>
      <c r="V4771"/>
      <c r="W4771"/>
      <c r="X4771"/>
    </row>
    <row r="4772" spans="5:24" x14ac:dyDescent="0.3">
      <c r="E4772" s="173"/>
      <c r="F4772" s="173"/>
      <c r="I4772"/>
      <c r="J4772"/>
      <c r="K4772"/>
      <c r="L4772"/>
      <c r="M4772"/>
      <c r="N4772"/>
      <c r="O4772"/>
      <c r="P4772" s="225"/>
      <c r="Q4772" s="225"/>
      <c r="R4772"/>
      <c r="S4772"/>
      <c r="T4772"/>
      <c r="U4772"/>
      <c r="V4772"/>
      <c r="W4772"/>
      <c r="X4772"/>
    </row>
    <row r="4773" spans="5:24" x14ac:dyDescent="0.3">
      <c r="E4773" s="173"/>
      <c r="F4773" s="173"/>
      <c r="I4773"/>
      <c r="J4773"/>
      <c r="K4773"/>
      <c r="L4773"/>
      <c r="M4773"/>
      <c r="N4773"/>
      <c r="O4773"/>
      <c r="P4773" s="225"/>
      <c r="Q4773" s="225"/>
      <c r="R4773"/>
      <c r="S4773"/>
      <c r="T4773"/>
      <c r="U4773"/>
      <c r="V4773"/>
      <c r="W4773"/>
      <c r="X4773"/>
    </row>
    <row r="4774" spans="5:24" x14ac:dyDescent="0.3">
      <c r="E4774" s="173"/>
      <c r="F4774" s="173"/>
      <c r="I4774"/>
      <c r="J4774"/>
      <c r="K4774"/>
      <c r="L4774"/>
      <c r="M4774"/>
      <c r="N4774"/>
      <c r="O4774"/>
      <c r="P4774" s="225"/>
      <c r="Q4774" s="225"/>
      <c r="R4774"/>
      <c r="S4774"/>
      <c r="T4774"/>
      <c r="U4774"/>
      <c r="V4774"/>
      <c r="W4774"/>
      <c r="X4774"/>
    </row>
    <row r="4775" spans="5:24" x14ac:dyDescent="0.3">
      <c r="E4775" s="173"/>
      <c r="F4775" s="173"/>
      <c r="I4775"/>
      <c r="J4775"/>
      <c r="K4775"/>
      <c r="L4775"/>
      <c r="M4775"/>
      <c r="N4775"/>
      <c r="O4775"/>
      <c r="P4775" s="225"/>
      <c r="Q4775" s="225"/>
      <c r="R4775"/>
      <c r="S4775"/>
      <c r="T4775"/>
      <c r="U4775"/>
      <c r="V4775"/>
      <c r="W4775"/>
      <c r="X4775"/>
    </row>
    <row r="4776" spans="5:24" x14ac:dyDescent="0.3">
      <c r="E4776" s="173"/>
      <c r="F4776" s="173"/>
      <c r="I4776"/>
      <c r="J4776"/>
      <c r="K4776"/>
      <c r="L4776"/>
      <c r="M4776"/>
      <c r="N4776"/>
      <c r="O4776"/>
      <c r="P4776" s="225"/>
      <c r="Q4776" s="225"/>
      <c r="R4776"/>
      <c r="S4776"/>
      <c r="T4776"/>
      <c r="U4776"/>
      <c r="V4776"/>
      <c r="W4776"/>
      <c r="X4776"/>
    </row>
    <row r="4777" spans="5:24" x14ac:dyDescent="0.3">
      <c r="E4777" s="173"/>
      <c r="F4777" s="173"/>
      <c r="I4777"/>
      <c r="J4777"/>
      <c r="K4777"/>
      <c r="L4777"/>
      <c r="M4777"/>
      <c r="N4777"/>
      <c r="O4777"/>
      <c r="P4777" s="225"/>
      <c r="Q4777" s="225"/>
      <c r="R4777"/>
      <c r="S4777"/>
      <c r="T4777"/>
      <c r="U4777"/>
      <c r="V4777"/>
      <c r="W4777"/>
      <c r="X4777"/>
    </row>
    <row r="4778" spans="5:24" x14ac:dyDescent="0.3">
      <c r="E4778" s="173"/>
      <c r="F4778" s="173"/>
      <c r="I4778"/>
      <c r="J4778"/>
      <c r="K4778"/>
      <c r="L4778"/>
      <c r="M4778"/>
      <c r="N4778"/>
      <c r="O4778"/>
      <c r="P4778" s="225"/>
      <c r="Q4778" s="225"/>
      <c r="R4778"/>
      <c r="S4778"/>
      <c r="T4778"/>
      <c r="U4778"/>
      <c r="V4778"/>
      <c r="W4778"/>
      <c r="X4778"/>
    </row>
    <row r="4779" spans="5:24" x14ac:dyDescent="0.3">
      <c r="E4779" s="173"/>
      <c r="F4779" s="173"/>
      <c r="I4779"/>
      <c r="J4779"/>
      <c r="K4779"/>
      <c r="L4779"/>
      <c r="M4779"/>
      <c r="N4779"/>
      <c r="O4779"/>
      <c r="P4779" s="225"/>
      <c r="Q4779" s="225"/>
      <c r="R4779"/>
      <c r="S4779"/>
      <c r="T4779"/>
      <c r="U4779"/>
      <c r="V4779"/>
      <c r="W4779"/>
      <c r="X4779"/>
    </row>
    <row r="4780" spans="5:24" x14ac:dyDescent="0.3">
      <c r="E4780" s="173"/>
      <c r="F4780" s="173"/>
      <c r="I4780"/>
      <c r="J4780"/>
      <c r="K4780"/>
      <c r="L4780"/>
      <c r="M4780"/>
      <c r="N4780"/>
      <c r="O4780"/>
      <c r="P4780" s="225"/>
      <c r="Q4780" s="225"/>
      <c r="R4780"/>
      <c r="S4780"/>
      <c r="T4780"/>
      <c r="U4780"/>
      <c r="V4780"/>
      <c r="W4780"/>
      <c r="X4780"/>
    </row>
    <row r="4781" spans="5:24" x14ac:dyDescent="0.3">
      <c r="E4781" s="173"/>
      <c r="F4781" s="173"/>
      <c r="I4781"/>
      <c r="J4781"/>
      <c r="K4781"/>
      <c r="L4781"/>
      <c r="M4781"/>
      <c r="N4781"/>
      <c r="O4781"/>
      <c r="P4781" s="225"/>
      <c r="Q4781" s="225"/>
      <c r="R4781"/>
      <c r="S4781"/>
      <c r="T4781"/>
      <c r="U4781"/>
      <c r="V4781"/>
      <c r="W4781"/>
      <c r="X4781"/>
    </row>
    <row r="4782" spans="5:24" x14ac:dyDescent="0.3">
      <c r="E4782" s="173"/>
      <c r="F4782" s="173"/>
      <c r="I4782"/>
      <c r="J4782"/>
      <c r="K4782"/>
      <c r="L4782"/>
      <c r="M4782"/>
      <c r="N4782"/>
      <c r="O4782"/>
      <c r="P4782" s="225"/>
      <c r="Q4782" s="225"/>
      <c r="R4782"/>
      <c r="S4782"/>
      <c r="T4782"/>
      <c r="U4782"/>
      <c r="V4782"/>
      <c r="W4782"/>
      <c r="X4782"/>
    </row>
    <row r="4783" spans="5:24" x14ac:dyDescent="0.3">
      <c r="E4783" s="173"/>
      <c r="F4783" s="173"/>
      <c r="I4783"/>
      <c r="J4783"/>
      <c r="K4783"/>
      <c r="L4783"/>
      <c r="M4783"/>
      <c r="N4783"/>
      <c r="O4783"/>
      <c r="P4783" s="225"/>
      <c r="Q4783" s="225"/>
      <c r="R4783"/>
      <c r="S4783"/>
      <c r="T4783"/>
      <c r="U4783"/>
      <c r="V4783"/>
      <c r="W4783"/>
      <c r="X4783"/>
    </row>
    <row r="4784" spans="5:24" x14ac:dyDescent="0.3">
      <c r="E4784" s="173"/>
      <c r="F4784" s="173"/>
      <c r="I4784"/>
      <c r="J4784"/>
      <c r="K4784"/>
      <c r="L4784"/>
      <c r="M4784"/>
      <c r="N4784"/>
      <c r="O4784"/>
      <c r="P4784" s="225"/>
      <c r="Q4784" s="225"/>
      <c r="R4784"/>
      <c r="S4784"/>
      <c r="T4784"/>
      <c r="U4784"/>
      <c r="V4784"/>
      <c r="W4784"/>
      <c r="X4784"/>
    </row>
    <row r="4785" spans="5:24" x14ac:dyDescent="0.3">
      <c r="E4785" s="173"/>
      <c r="F4785" s="173"/>
      <c r="I4785"/>
      <c r="J4785"/>
      <c r="K4785"/>
      <c r="L4785"/>
      <c r="M4785"/>
      <c r="N4785"/>
      <c r="O4785"/>
      <c r="P4785" s="225"/>
      <c r="Q4785" s="225"/>
      <c r="R4785"/>
      <c r="S4785"/>
      <c r="T4785"/>
      <c r="U4785"/>
      <c r="V4785"/>
      <c r="W4785"/>
      <c r="X4785"/>
    </row>
    <row r="4786" spans="5:24" x14ac:dyDescent="0.3">
      <c r="E4786" s="173"/>
      <c r="F4786" s="173"/>
      <c r="I4786"/>
      <c r="J4786"/>
      <c r="K4786"/>
      <c r="L4786"/>
      <c r="M4786"/>
      <c r="N4786"/>
      <c r="O4786"/>
      <c r="P4786" s="225"/>
      <c r="Q4786" s="225"/>
      <c r="R4786"/>
      <c r="S4786"/>
      <c r="T4786"/>
      <c r="U4786"/>
      <c r="V4786"/>
      <c r="W4786"/>
      <c r="X4786"/>
    </row>
    <row r="4787" spans="5:24" x14ac:dyDescent="0.3">
      <c r="E4787" s="173"/>
      <c r="F4787" s="173"/>
      <c r="I4787"/>
      <c r="J4787"/>
      <c r="K4787"/>
      <c r="L4787"/>
      <c r="M4787"/>
      <c r="N4787"/>
      <c r="O4787"/>
      <c r="P4787" s="225"/>
      <c r="Q4787" s="225"/>
      <c r="R4787"/>
      <c r="S4787"/>
      <c r="T4787"/>
      <c r="U4787"/>
      <c r="V4787"/>
      <c r="W4787"/>
      <c r="X4787"/>
    </row>
    <row r="4788" spans="5:24" x14ac:dyDescent="0.3">
      <c r="E4788" s="173"/>
      <c r="F4788" s="173"/>
      <c r="I4788"/>
      <c r="J4788"/>
      <c r="K4788"/>
      <c r="L4788"/>
      <c r="M4788"/>
      <c r="N4788"/>
      <c r="O4788"/>
      <c r="P4788" s="225"/>
      <c r="Q4788" s="225"/>
      <c r="R4788"/>
      <c r="S4788"/>
      <c r="T4788"/>
      <c r="U4788"/>
      <c r="V4788"/>
      <c r="W4788"/>
      <c r="X4788"/>
    </row>
    <row r="4789" spans="5:24" x14ac:dyDescent="0.3">
      <c r="E4789" s="173"/>
      <c r="F4789" s="173"/>
      <c r="I4789"/>
      <c r="J4789"/>
      <c r="K4789"/>
      <c r="L4789"/>
      <c r="M4789"/>
      <c r="N4789"/>
      <c r="O4789"/>
      <c r="P4789" s="225"/>
      <c r="Q4789" s="225"/>
      <c r="R4789"/>
      <c r="S4789"/>
      <c r="T4789"/>
      <c r="U4789"/>
      <c r="V4789"/>
      <c r="W4789"/>
      <c r="X4789"/>
    </row>
    <row r="4790" spans="5:24" x14ac:dyDescent="0.3">
      <c r="E4790" s="173"/>
      <c r="F4790" s="173"/>
      <c r="I4790"/>
      <c r="J4790"/>
      <c r="K4790"/>
      <c r="L4790"/>
      <c r="M4790"/>
      <c r="N4790"/>
      <c r="O4790"/>
      <c r="P4790" s="225"/>
      <c r="Q4790" s="225"/>
      <c r="R4790"/>
      <c r="S4790"/>
      <c r="T4790"/>
      <c r="U4790"/>
      <c r="V4790"/>
      <c r="W4790"/>
      <c r="X4790"/>
    </row>
    <row r="4791" spans="5:24" x14ac:dyDescent="0.3">
      <c r="E4791" s="173"/>
      <c r="F4791" s="173"/>
      <c r="I4791"/>
      <c r="J4791"/>
      <c r="K4791"/>
      <c r="L4791"/>
      <c r="M4791"/>
      <c r="N4791"/>
      <c r="O4791"/>
      <c r="P4791" s="225"/>
      <c r="Q4791" s="225"/>
      <c r="R4791"/>
      <c r="S4791"/>
      <c r="T4791"/>
      <c r="U4791"/>
      <c r="V4791"/>
      <c r="W4791"/>
      <c r="X4791"/>
    </row>
    <row r="4792" spans="5:24" x14ac:dyDescent="0.3">
      <c r="E4792" s="173"/>
      <c r="F4792" s="173"/>
      <c r="I4792"/>
      <c r="J4792"/>
      <c r="K4792"/>
      <c r="L4792"/>
      <c r="M4792"/>
      <c r="N4792"/>
      <c r="O4792"/>
      <c r="P4792" s="225"/>
      <c r="Q4792" s="225"/>
      <c r="R4792"/>
      <c r="S4792"/>
      <c r="T4792"/>
      <c r="U4792"/>
      <c r="V4792"/>
      <c r="W4792"/>
      <c r="X4792"/>
    </row>
    <row r="4793" spans="5:24" x14ac:dyDescent="0.3">
      <c r="E4793" s="173"/>
      <c r="F4793" s="173"/>
      <c r="I4793"/>
      <c r="J4793"/>
      <c r="K4793"/>
      <c r="L4793"/>
      <c r="M4793"/>
      <c r="N4793"/>
      <c r="O4793"/>
      <c r="P4793" s="225"/>
      <c r="Q4793" s="225"/>
      <c r="R4793"/>
      <c r="S4793"/>
      <c r="T4793"/>
      <c r="U4793"/>
      <c r="V4793"/>
      <c r="W4793"/>
      <c r="X4793"/>
    </row>
    <row r="4794" spans="5:24" x14ac:dyDescent="0.3">
      <c r="E4794" s="173"/>
      <c r="F4794" s="173"/>
      <c r="I4794"/>
      <c r="J4794"/>
      <c r="K4794"/>
      <c r="L4794"/>
      <c r="M4794"/>
      <c r="N4794"/>
      <c r="O4794"/>
      <c r="P4794" s="225"/>
      <c r="Q4794" s="225"/>
      <c r="R4794"/>
      <c r="S4794"/>
      <c r="T4794"/>
      <c r="U4794"/>
      <c r="V4794"/>
      <c r="W4794"/>
      <c r="X4794"/>
    </row>
    <row r="4795" spans="5:24" x14ac:dyDescent="0.3">
      <c r="E4795" s="173"/>
      <c r="F4795" s="173"/>
      <c r="I4795"/>
      <c r="J4795"/>
      <c r="K4795"/>
      <c r="L4795"/>
      <c r="M4795"/>
      <c r="N4795"/>
      <c r="O4795"/>
      <c r="P4795" s="225"/>
      <c r="Q4795" s="225"/>
      <c r="R4795"/>
      <c r="S4795"/>
      <c r="T4795"/>
      <c r="U4795"/>
      <c r="V4795"/>
      <c r="W4795"/>
      <c r="X4795"/>
    </row>
    <row r="4796" spans="5:24" x14ac:dyDescent="0.3">
      <c r="E4796" s="173"/>
      <c r="F4796" s="173"/>
      <c r="I4796"/>
      <c r="J4796"/>
      <c r="K4796"/>
      <c r="L4796"/>
      <c r="M4796"/>
      <c r="N4796"/>
      <c r="O4796"/>
      <c r="P4796" s="225"/>
      <c r="Q4796" s="225"/>
      <c r="R4796"/>
      <c r="S4796"/>
      <c r="T4796"/>
      <c r="U4796"/>
      <c r="V4796"/>
      <c r="W4796"/>
      <c r="X4796"/>
    </row>
    <row r="4797" spans="5:24" x14ac:dyDescent="0.3">
      <c r="E4797" s="173"/>
      <c r="F4797" s="173"/>
      <c r="I4797"/>
      <c r="J4797"/>
      <c r="K4797"/>
      <c r="L4797"/>
      <c r="M4797"/>
      <c r="N4797"/>
      <c r="O4797"/>
      <c r="P4797" s="225"/>
      <c r="Q4797" s="225"/>
      <c r="R4797"/>
      <c r="S4797"/>
      <c r="T4797"/>
      <c r="U4797"/>
      <c r="V4797"/>
      <c r="W4797"/>
      <c r="X4797"/>
    </row>
    <row r="4798" spans="5:24" x14ac:dyDescent="0.3">
      <c r="E4798" s="173"/>
      <c r="F4798" s="173"/>
      <c r="I4798"/>
      <c r="J4798"/>
      <c r="K4798"/>
      <c r="L4798"/>
      <c r="M4798"/>
      <c r="N4798"/>
      <c r="O4798"/>
      <c r="P4798" s="225"/>
      <c r="Q4798" s="225"/>
      <c r="R4798"/>
      <c r="S4798"/>
      <c r="T4798"/>
      <c r="U4798"/>
      <c r="V4798"/>
      <c r="W4798"/>
      <c r="X4798"/>
    </row>
    <row r="4799" spans="5:24" x14ac:dyDescent="0.3">
      <c r="E4799" s="173"/>
      <c r="F4799" s="173"/>
      <c r="I4799"/>
      <c r="J4799"/>
      <c r="K4799"/>
      <c r="L4799"/>
      <c r="M4799"/>
      <c r="N4799"/>
      <c r="O4799"/>
      <c r="P4799" s="225"/>
      <c r="Q4799" s="225"/>
      <c r="R4799"/>
      <c r="S4799"/>
      <c r="T4799"/>
      <c r="U4799"/>
      <c r="V4799"/>
      <c r="W4799"/>
      <c r="X4799"/>
    </row>
    <row r="4800" spans="5:24" x14ac:dyDescent="0.3">
      <c r="E4800" s="173"/>
      <c r="F4800" s="173"/>
      <c r="I4800"/>
      <c r="J4800"/>
      <c r="K4800"/>
      <c r="L4800"/>
      <c r="M4800"/>
      <c r="N4800"/>
      <c r="O4800"/>
      <c r="P4800" s="225"/>
      <c r="Q4800" s="225"/>
      <c r="R4800"/>
      <c r="S4800"/>
      <c r="T4800"/>
      <c r="U4800"/>
      <c r="V4800"/>
      <c r="W4800"/>
      <c r="X4800"/>
    </row>
    <row r="4801" spans="5:24" x14ac:dyDescent="0.3">
      <c r="E4801" s="173"/>
      <c r="F4801" s="173"/>
      <c r="I4801"/>
      <c r="J4801"/>
      <c r="K4801"/>
      <c r="L4801"/>
      <c r="M4801"/>
      <c r="N4801"/>
      <c r="O4801"/>
      <c r="P4801" s="225"/>
      <c r="Q4801" s="225"/>
      <c r="R4801"/>
      <c r="S4801"/>
      <c r="T4801"/>
      <c r="U4801"/>
      <c r="V4801"/>
      <c r="W4801"/>
      <c r="X4801"/>
    </row>
    <row r="4802" spans="5:24" x14ac:dyDescent="0.3">
      <c r="E4802" s="173"/>
      <c r="F4802" s="173"/>
      <c r="I4802"/>
      <c r="J4802"/>
      <c r="K4802"/>
      <c r="L4802"/>
      <c r="M4802"/>
      <c r="N4802"/>
      <c r="O4802"/>
      <c r="P4802" s="225"/>
      <c r="Q4802" s="225"/>
      <c r="R4802"/>
      <c r="S4802"/>
      <c r="T4802"/>
      <c r="U4802"/>
      <c r="V4802"/>
      <c r="W4802"/>
      <c r="X4802"/>
    </row>
    <row r="4803" spans="5:24" x14ac:dyDescent="0.3">
      <c r="E4803" s="173"/>
      <c r="F4803" s="173"/>
      <c r="I4803"/>
      <c r="J4803"/>
      <c r="K4803"/>
      <c r="L4803"/>
      <c r="M4803"/>
      <c r="N4803"/>
      <c r="O4803"/>
      <c r="P4803" s="225"/>
      <c r="Q4803" s="225"/>
      <c r="R4803"/>
      <c r="S4803"/>
      <c r="T4803"/>
      <c r="U4803"/>
      <c r="V4803"/>
      <c r="W4803"/>
      <c r="X4803"/>
    </row>
    <row r="4804" spans="5:24" x14ac:dyDescent="0.3">
      <c r="E4804" s="173"/>
      <c r="F4804" s="173"/>
      <c r="I4804"/>
      <c r="J4804"/>
      <c r="K4804"/>
      <c r="L4804"/>
      <c r="M4804"/>
      <c r="N4804"/>
      <c r="O4804"/>
      <c r="P4804" s="225"/>
      <c r="Q4804" s="225"/>
      <c r="R4804"/>
      <c r="S4804"/>
      <c r="T4804"/>
      <c r="U4804"/>
      <c r="V4804"/>
      <c r="W4804"/>
      <c r="X4804"/>
    </row>
    <row r="4805" spans="5:24" x14ac:dyDescent="0.3">
      <c r="E4805" s="173"/>
      <c r="F4805" s="173"/>
      <c r="I4805"/>
      <c r="J4805"/>
      <c r="K4805"/>
      <c r="L4805"/>
      <c r="M4805"/>
      <c r="N4805"/>
      <c r="O4805"/>
      <c r="P4805" s="225"/>
      <c r="Q4805" s="225"/>
      <c r="R4805"/>
      <c r="S4805"/>
      <c r="T4805"/>
      <c r="U4805"/>
      <c r="V4805"/>
      <c r="W4805"/>
      <c r="X4805"/>
    </row>
    <row r="4806" spans="5:24" x14ac:dyDescent="0.3">
      <c r="E4806" s="173"/>
      <c r="F4806" s="173"/>
      <c r="I4806"/>
      <c r="J4806"/>
      <c r="K4806"/>
      <c r="L4806"/>
      <c r="M4806"/>
      <c r="N4806"/>
      <c r="O4806"/>
      <c r="P4806" s="225"/>
      <c r="Q4806" s="225"/>
      <c r="R4806"/>
      <c r="S4806"/>
      <c r="T4806"/>
      <c r="U4806"/>
      <c r="V4806"/>
      <c r="W4806"/>
      <c r="X4806"/>
    </row>
    <row r="4807" spans="5:24" x14ac:dyDescent="0.3">
      <c r="E4807" s="173"/>
      <c r="F4807" s="173"/>
      <c r="I4807"/>
      <c r="J4807"/>
      <c r="K4807"/>
      <c r="L4807"/>
      <c r="M4807"/>
      <c r="N4807"/>
      <c r="O4807"/>
      <c r="P4807" s="225"/>
      <c r="Q4807" s="225"/>
      <c r="R4807"/>
      <c r="S4807"/>
      <c r="T4807"/>
      <c r="U4807"/>
      <c r="V4807"/>
      <c r="W4807"/>
      <c r="X4807"/>
    </row>
    <row r="4808" spans="5:24" x14ac:dyDescent="0.3">
      <c r="E4808" s="173"/>
      <c r="F4808" s="173"/>
      <c r="I4808"/>
      <c r="J4808"/>
      <c r="K4808"/>
      <c r="L4808"/>
      <c r="M4808"/>
      <c r="N4808"/>
      <c r="O4808"/>
      <c r="P4808" s="225"/>
      <c r="Q4808" s="225"/>
      <c r="R4808"/>
      <c r="S4808"/>
      <c r="T4808"/>
      <c r="U4808"/>
      <c r="V4808"/>
      <c r="W4808"/>
      <c r="X4808"/>
    </row>
    <row r="4809" spans="5:24" x14ac:dyDescent="0.3">
      <c r="E4809" s="173"/>
      <c r="F4809" s="173"/>
      <c r="I4809"/>
      <c r="J4809"/>
      <c r="K4809"/>
      <c r="L4809"/>
      <c r="M4809"/>
      <c r="N4809"/>
      <c r="O4809"/>
      <c r="P4809" s="225"/>
      <c r="Q4809" s="225"/>
      <c r="R4809"/>
      <c r="S4809"/>
      <c r="T4809"/>
      <c r="U4809"/>
      <c r="V4809"/>
      <c r="W4809"/>
      <c r="X4809"/>
    </row>
    <row r="4810" spans="5:24" x14ac:dyDescent="0.3">
      <c r="E4810" s="173"/>
      <c r="F4810" s="173"/>
      <c r="I4810"/>
      <c r="J4810"/>
      <c r="K4810"/>
      <c r="L4810"/>
      <c r="M4810"/>
      <c r="N4810"/>
      <c r="O4810"/>
      <c r="P4810" s="225"/>
      <c r="Q4810" s="225"/>
      <c r="R4810"/>
      <c r="S4810"/>
      <c r="T4810"/>
      <c r="U4810"/>
      <c r="V4810"/>
      <c r="W4810"/>
      <c r="X4810"/>
    </row>
    <row r="4811" spans="5:24" x14ac:dyDescent="0.3">
      <c r="E4811" s="173"/>
      <c r="F4811" s="173"/>
      <c r="I4811"/>
      <c r="J4811"/>
      <c r="K4811"/>
      <c r="L4811"/>
      <c r="M4811"/>
      <c r="N4811"/>
      <c r="O4811"/>
      <c r="P4811" s="225"/>
      <c r="Q4811" s="225"/>
      <c r="R4811"/>
      <c r="S4811"/>
      <c r="T4811"/>
      <c r="U4811"/>
      <c r="V4811"/>
      <c r="W4811"/>
      <c r="X4811"/>
    </row>
    <row r="4812" spans="5:24" x14ac:dyDescent="0.3">
      <c r="E4812" s="173"/>
      <c r="F4812" s="173"/>
      <c r="I4812"/>
      <c r="J4812"/>
      <c r="K4812"/>
      <c r="L4812"/>
      <c r="M4812"/>
      <c r="N4812"/>
      <c r="O4812"/>
      <c r="P4812" s="225"/>
      <c r="Q4812" s="225"/>
      <c r="R4812"/>
      <c r="S4812"/>
      <c r="T4812"/>
      <c r="U4812"/>
      <c r="V4812"/>
      <c r="W4812"/>
      <c r="X4812"/>
    </row>
    <row r="4813" spans="5:24" x14ac:dyDescent="0.3">
      <c r="E4813" s="173"/>
      <c r="F4813" s="173"/>
      <c r="I4813"/>
      <c r="J4813"/>
      <c r="K4813"/>
      <c r="L4813"/>
      <c r="M4813"/>
      <c r="N4813"/>
      <c r="O4813"/>
      <c r="P4813" s="225"/>
      <c r="Q4813" s="225"/>
      <c r="R4813"/>
      <c r="S4813"/>
      <c r="T4813"/>
      <c r="U4813"/>
      <c r="V4813"/>
      <c r="W4813"/>
      <c r="X4813"/>
    </row>
    <row r="4814" spans="5:24" x14ac:dyDescent="0.3">
      <c r="E4814" s="173"/>
      <c r="F4814" s="173"/>
      <c r="I4814"/>
      <c r="J4814"/>
      <c r="K4814"/>
      <c r="L4814"/>
      <c r="M4814"/>
      <c r="N4814"/>
      <c r="O4814"/>
      <c r="P4814" s="225"/>
      <c r="Q4814" s="225"/>
      <c r="R4814"/>
      <c r="S4814"/>
      <c r="T4814"/>
      <c r="U4814"/>
      <c r="V4814"/>
      <c r="W4814"/>
      <c r="X4814"/>
    </row>
    <row r="4815" spans="5:24" x14ac:dyDescent="0.3">
      <c r="E4815" s="173"/>
      <c r="F4815" s="173"/>
      <c r="I4815"/>
      <c r="J4815"/>
      <c r="K4815"/>
      <c r="L4815"/>
      <c r="M4815"/>
      <c r="N4815"/>
      <c r="O4815"/>
      <c r="P4815" s="225"/>
      <c r="Q4815" s="225"/>
      <c r="R4815"/>
      <c r="S4815"/>
      <c r="T4815"/>
      <c r="U4815"/>
      <c r="V4815"/>
      <c r="W4815"/>
      <c r="X4815"/>
    </row>
    <row r="4816" spans="5:24" x14ac:dyDescent="0.3">
      <c r="E4816" s="173"/>
      <c r="F4816" s="173"/>
      <c r="I4816"/>
      <c r="J4816"/>
      <c r="K4816"/>
      <c r="L4816"/>
      <c r="M4816"/>
      <c r="N4816"/>
      <c r="O4816"/>
      <c r="P4816" s="225"/>
      <c r="Q4816" s="225"/>
      <c r="R4816"/>
      <c r="S4816"/>
      <c r="T4816"/>
      <c r="U4816"/>
      <c r="V4816"/>
      <c r="W4816"/>
      <c r="X4816"/>
    </row>
    <row r="4817" spans="5:24" x14ac:dyDescent="0.3">
      <c r="E4817" s="173"/>
      <c r="F4817" s="173"/>
      <c r="I4817"/>
      <c r="J4817"/>
      <c r="K4817"/>
      <c r="L4817"/>
      <c r="M4817"/>
      <c r="N4817"/>
      <c r="O4817"/>
      <c r="P4817" s="225"/>
      <c r="Q4817" s="225"/>
      <c r="R4817"/>
      <c r="S4817"/>
      <c r="T4817"/>
      <c r="U4817"/>
      <c r="V4817"/>
      <c r="W4817"/>
      <c r="X4817"/>
    </row>
    <row r="4818" spans="5:24" x14ac:dyDescent="0.3">
      <c r="E4818" s="173"/>
      <c r="F4818" s="173"/>
      <c r="I4818"/>
      <c r="J4818"/>
      <c r="K4818"/>
      <c r="L4818"/>
      <c r="M4818"/>
      <c r="N4818"/>
      <c r="O4818"/>
      <c r="P4818" s="225"/>
      <c r="Q4818" s="225"/>
      <c r="R4818"/>
      <c r="S4818"/>
      <c r="T4818"/>
      <c r="U4818"/>
      <c r="V4818"/>
      <c r="W4818"/>
      <c r="X4818"/>
    </row>
    <row r="4819" spans="5:24" x14ac:dyDescent="0.3">
      <c r="E4819" s="173"/>
      <c r="F4819" s="173"/>
      <c r="I4819"/>
      <c r="J4819"/>
      <c r="K4819"/>
      <c r="L4819"/>
      <c r="M4819"/>
      <c r="N4819"/>
      <c r="O4819"/>
      <c r="P4819" s="225"/>
      <c r="Q4819" s="225"/>
      <c r="R4819"/>
      <c r="S4819"/>
      <c r="T4819"/>
      <c r="U4819"/>
      <c r="V4819"/>
      <c r="W4819"/>
      <c r="X4819"/>
    </row>
    <row r="4820" spans="5:24" x14ac:dyDescent="0.3">
      <c r="E4820" s="173"/>
      <c r="F4820" s="173"/>
      <c r="I4820"/>
      <c r="J4820"/>
      <c r="K4820"/>
      <c r="L4820"/>
      <c r="M4820"/>
      <c r="N4820"/>
      <c r="O4820"/>
      <c r="P4820" s="225"/>
      <c r="Q4820" s="225"/>
      <c r="R4820"/>
      <c r="S4820"/>
      <c r="T4820"/>
      <c r="U4820"/>
      <c r="V4820"/>
      <c r="W4820"/>
      <c r="X4820"/>
    </row>
    <row r="4821" spans="5:24" x14ac:dyDescent="0.3">
      <c r="E4821" s="173"/>
      <c r="F4821" s="173"/>
      <c r="I4821"/>
      <c r="J4821"/>
      <c r="K4821"/>
      <c r="L4821"/>
      <c r="M4821"/>
      <c r="N4821"/>
      <c r="O4821"/>
      <c r="P4821" s="225"/>
      <c r="Q4821" s="225"/>
      <c r="R4821"/>
      <c r="S4821"/>
      <c r="T4821"/>
      <c r="U4821"/>
      <c r="V4821"/>
      <c r="W4821"/>
      <c r="X4821"/>
    </row>
    <row r="4822" spans="5:24" x14ac:dyDescent="0.3">
      <c r="E4822" s="173"/>
      <c r="F4822" s="173"/>
      <c r="I4822"/>
      <c r="J4822"/>
      <c r="K4822"/>
      <c r="L4822"/>
      <c r="M4822"/>
      <c r="N4822"/>
      <c r="O4822"/>
      <c r="P4822" s="225"/>
      <c r="Q4822" s="225"/>
      <c r="R4822"/>
      <c r="S4822"/>
      <c r="T4822"/>
      <c r="U4822"/>
      <c r="V4822"/>
      <c r="W4822"/>
      <c r="X4822"/>
    </row>
    <row r="4823" spans="5:24" x14ac:dyDescent="0.3">
      <c r="E4823" s="173"/>
      <c r="F4823" s="173"/>
      <c r="I4823"/>
      <c r="J4823"/>
      <c r="K4823"/>
      <c r="L4823"/>
      <c r="M4823"/>
      <c r="N4823"/>
      <c r="O4823"/>
      <c r="P4823" s="225"/>
      <c r="Q4823" s="225"/>
      <c r="R4823"/>
      <c r="S4823"/>
      <c r="T4823"/>
      <c r="U4823"/>
      <c r="V4823"/>
      <c r="W4823"/>
      <c r="X4823"/>
    </row>
    <row r="4824" spans="5:24" x14ac:dyDescent="0.3">
      <c r="E4824" s="173"/>
      <c r="F4824" s="173"/>
      <c r="I4824"/>
      <c r="J4824"/>
      <c r="K4824"/>
      <c r="L4824"/>
      <c r="M4824"/>
      <c r="N4824"/>
      <c r="O4824"/>
      <c r="P4824" s="225"/>
      <c r="Q4824" s="225"/>
      <c r="R4824"/>
      <c r="S4824"/>
      <c r="T4824"/>
      <c r="U4824"/>
      <c r="V4824"/>
      <c r="W4824"/>
      <c r="X4824"/>
    </row>
    <row r="4825" spans="5:24" x14ac:dyDescent="0.3">
      <c r="E4825" s="173"/>
      <c r="F4825" s="173"/>
      <c r="I4825"/>
      <c r="J4825"/>
      <c r="K4825"/>
      <c r="L4825"/>
      <c r="M4825"/>
      <c r="N4825"/>
      <c r="O4825"/>
      <c r="P4825" s="225"/>
      <c r="Q4825" s="225"/>
      <c r="R4825"/>
      <c r="S4825"/>
      <c r="T4825"/>
      <c r="U4825"/>
      <c r="V4825"/>
      <c r="W4825"/>
      <c r="X4825"/>
    </row>
    <row r="4826" spans="5:24" x14ac:dyDescent="0.3">
      <c r="E4826" s="173"/>
      <c r="F4826" s="173"/>
      <c r="I4826"/>
      <c r="J4826"/>
      <c r="K4826"/>
      <c r="L4826"/>
      <c r="M4826"/>
      <c r="N4826"/>
      <c r="O4826"/>
      <c r="P4826" s="225"/>
      <c r="Q4826" s="225"/>
      <c r="R4826"/>
      <c r="S4826"/>
      <c r="T4826"/>
      <c r="U4826"/>
      <c r="V4826"/>
      <c r="W4826"/>
      <c r="X4826"/>
    </row>
    <row r="4827" spans="5:24" x14ac:dyDescent="0.3">
      <c r="E4827" s="173"/>
      <c r="F4827" s="173"/>
      <c r="I4827"/>
      <c r="J4827"/>
      <c r="K4827"/>
      <c r="L4827"/>
      <c r="M4827"/>
      <c r="N4827"/>
      <c r="O4827"/>
      <c r="P4827" s="225"/>
      <c r="Q4827" s="225"/>
      <c r="R4827"/>
      <c r="S4827"/>
      <c r="T4827"/>
      <c r="U4827"/>
      <c r="V4827"/>
      <c r="W4827"/>
      <c r="X4827"/>
    </row>
    <row r="4828" spans="5:24" x14ac:dyDescent="0.3">
      <c r="E4828" s="173"/>
      <c r="F4828" s="173"/>
      <c r="I4828"/>
      <c r="J4828"/>
      <c r="K4828"/>
      <c r="L4828"/>
      <c r="M4828"/>
      <c r="N4828"/>
      <c r="O4828"/>
      <c r="P4828" s="225"/>
      <c r="Q4828" s="225"/>
      <c r="R4828"/>
      <c r="S4828"/>
      <c r="T4828"/>
      <c r="U4828"/>
      <c r="V4828"/>
      <c r="W4828"/>
      <c r="X4828"/>
    </row>
    <row r="4829" spans="5:24" x14ac:dyDescent="0.3">
      <c r="E4829" s="173"/>
      <c r="F4829" s="173"/>
      <c r="I4829"/>
      <c r="J4829"/>
      <c r="K4829"/>
      <c r="L4829"/>
      <c r="M4829"/>
      <c r="N4829"/>
      <c r="O4829"/>
      <c r="P4829" s="225"/>
      <c r="Q4829" s="225"/>
      <c r="R4829"/>
      <c r="S4829"/>
      <c r="T4829"/>
      <c r="U4829"/>
      <c r="V4829"/>
      <c r="W4829"/>
      <c r="X4829"/>
    </row>
    <row r="4830" spans="5:24" x14ac:dyDescent="0.3">
      <c r="E4830" s="173"/>
      <c r="F4830" s="173"/>
      <c r="I4830"/>
      <c r="J4830"/>
      <c r="K4830"/>
      <c r="L4830"/>
      <c r="M4830"/>
      <c r="N4830"/>
      <c r="O4830"/>
      <c r="P4830" s="225"/>
      <c r="Q4830" s="225"/>
      <c r="R4830"/>
      <c r="S4830"/>
      <c r="T4830"/>
      <c r="U4830"/>
      <c r="V4830"/>
      <c r="W4830"/>
      <c r="X4830"/>
    </row>
    <row r="4831" spans="5:24" x14ac:dyDescent="0.3">
      <c r="E4831" s="173"/>
      <c r="F4831" s="173"/>
      <c r="I4831"/>
      <c r="J4831"/>
      <c r="K4831"/>
      <c r="L4831"/>
      <c r="M4831"/>
      <c r="N4831"/>
      <c r="O4831"/>
      <c r="P4831" s="225"/>
      <c r="Q4831" s="225"/>
      <c r="R4831"/>
      <c r="S4831"/>
      <c r="T4831"/>
      <c r="U4831"/>
      <c r="V4831"/>
      <c r="W4831"/>
      <c r="X4831"/>
    </row>
    <row r="4832" spans="5:24" x14ac:dyDescent="0.3">
      <c r="E4832" s="173"/>
      <c r="F4832" s="173"/>
      <c r="I4832"/>
      <c r="J4832"/>
      <c r="K4832"/>
      <c r="L4832"/>
      <c r="M4832"/>
      <c r="N4832"/>
      <c r="O4832"/>
      <c r="P4832" s="225"/>
      <c r="Q4832" s="225"/>
      <c r="R4832"/>
      <c r="S4832"/>
      <c r="T4832"/>
      <c r="U4832"/>
      <c r="V4832"/>
      <c r="W4832"/>
      <c r="X4832"/>
    </row>
    <row r="4833" spans="5:24" x14ac:dyDescent="0.3">
      <c r="E4833" s="173"/>
      <c r="F4833" s="173"/>
      <c r="I4833"/>
      <c r="J4833"/>
      <c r="K4833"/>
      <c r="L4833"/>
      <c r="M4833"/>
      <c r="N4833"/>
      <c r="O4833"/>
      <c r="P4833" s="225"/>
      <c r="Q4833" s="225"/>
      <c r="R4833"/>
      <c r="S4833"/>
      <c r="T4833"/>
      <c r="U4833"/>
      <c r="V4833"/>
      <c r="W4833"/>
      <c r="X4833"/>
    </row>
    <row r="4834" spans="5:24" x14ac:dyDescent="0.3">
      <c r="E4834" s="173"/>
      <c r="F4834" s="173"/>
      <c r="I4834"/>
      <c r="J4834"/>
      <c r="K4834"/>
      <c r="L4834"/>
      <c r="M4834"/>
      <c r="N4834"/>
      <c r="O4834"/>
      <c r="P4834" s="225"/>
      <c r="Q4834" s="225"/>
      <c r="R4834"/>
      <c r="S4834"/>
      <c r="T4834"/>
      <c r="U4834"/>
      <c r="V4834"/>
      <c r="W4834"/>
      <c r="X4834"/>
    </row>
    <row r="4835" spans="5:24" x14ac:dyDescent="0.3">
      <c r="E4835" s="173"/>
      <c r="F4835" s="173"/>
      <c r="I4835"/>
      <c r="J4835"/>
      <c r="K4835"/>
      <c r="L4835"/>
      <c r="M4835"/>
      <c r="N4835"/>
      <c r="O4835"/>
      <c r="P4835" s="225"/>
      <c r="Q4835" s="225"/>
      <c r="R4835"/>
      <c r="S4835"/>
      <c r="T4835"/>
      <c r="U4835"/>
      <c r="V4835"/>
      <c r="W4835"/>
      <c r="X4835"/>
    </row>
    <row r="4836" spans="5:24" x14ac:dyDescent="0.3">
      <c r="E4836" s="173"/>
      <c r="F4836" s="173"/>
      <c r="I4836"/>
      <c r="J4836"/>
      <c r="K4836"/>
      <c r="L4836"/>
      <c r="M4836"/>
      <c r="N4836"/>
      <c r="O4836"/>
      <c r="P4836" s="225"/>
      <c r="Q4836" s="225"/>
      <c r="R4836"/>
      <c r="S4836"/>
      <c r="T4836"/>
      <c r="U4836"/>
      <c r="V4836"/>
      <c r="W4836"/>
      <c r="X4836"/>
    </row>
    <row r="4837" spans="5:24" x14ac:dyDescent="0.3">
      <c r="E4837" s="173"/>
      <c r="F4837" s="173"/>
      <c r="I4837"/>
      <c r="J4837"/>
      <c r="K4837"/>
      <c r="L4837"/>
      <c r="M4837"/>
      <c r="N4837"/>
      <c r="O4837"/>
      <c r="P4837" s="225"/>
      <c r="Q4837" s="225"/>
      <c r="R4837"/>
      <c r="S4837"/>
      <c r="T4837"/>
      <c r="U4837"/>
      <c r="V4837"/>
      <c r="W4837"/>
      <c r="X4837"/>
    </row>
    <row r="4838" spans="5:24" x14ac:dyDescent="0.3">
      <c r="E4838" s="173"/>
      <c r="F4838" s="173"/>
      <c r="I4838"/>
      <c r="J4838"/>
      <c r="K4838"/>
      <c r="L4838"/>
      <c r="M4838"/>
      <c r="N4838"/>
      <c r="O4838"/>
      <c r="P4838" s="225"/>
      <c r="Q4838" s="225"/>
      <c r="R4838"/>
      <c r="S4838"/>
      <c r="T4838"/>
      <c r="U4838"/>
      <c r="V4838"/>
      <c r="W4838"/>
      <c r="X4838"/>
    </row>
    <row r="4839" spans="5:24" x14ac:dyDescent="0.3">
      <c r="E4839" s="173"/>
      <c r="F4839" s="173"/>
      <c r="I4839"/>
      <c r="J4839"/>
      <c r="K4839"/>
      <c r="L4839"/>
      <c r="M4839"/>
      <c r="N4839"/>
      <c r="O4839"/>
      <c r="P4839" s="225"/>
      <c r="Q4839" s="225"/>
      <c r="R4839"/>
      <c r="S4839"/>
      <c r="T4839"/>
      <c r="U4839"/>
      <c r="V4839"/>
      <c r="W4839"/>
      <c r="X4839"/>
    </row>
    <row r="4840" spans="5:24" x14ac:dyDescent="0.3">
      <c r="E4840" s="173"/>
      <c r="F4840" s="173"/>
      <c r="I4840"/>
      <c r="J4840"/>
      <c r="K4840"/>
      <c r="L4840"/>
      <c r="M4840"/>
      <c r="N4840"/>
      <c r="O4840"/>
      <c r="P4840" s="225"/>
      <c r="Q4840" s="225"/>
      <c r="R4840"/>
      <c r="S4840"/>
      <c r="T4840"/>
      <c r="U4840"/>
      <c r="V4840"/>
      <c r="W4840"/>
      <c r="X4840"/>
    </row>
    <row r="4841" spans="5:24" x14ac:dyDescent="0.3">
      <c r="E4841" s="173"/>
      <c r="F4841" s="173"/>
      <c r="I4841"/>
      <c r="J4841"/>
      <c r="K4841"/>
      <c r="L4841"/>
      <c r="M4841"/>
      <c r="N4841"/>
      <c r="O4841"/>
      <c r="P4841" s="225"/>
      <c r="Q4841" s="225"/>
      <c r="R4841"/>
      <c r="S4841"/>
      <c r="T4841"/>
      <c r="U4841"/>
      <c r="V4841"/>
      <c r="W4841"/>
      <c r="X4841"/>
    </row>
    <row r="4842" spans="5:24" x14ac:dyDescent="0.3">
      <c r="E4842" s="173"/>
      <c r="F4842" s="173"/>
      <c r="I4842"/>
      <c r="J4842"/>
      <c r="K4842"/>
      <c r="L4842"/>
      <c r="M4842"/>
      <c r="N4842"/>
      <c r="O4842"/>
      <c r="P4842" s="225"/>
      <c r="Q4842" s="225"/>
      <c r="R4842"/>
      <c r="S4842"/>
      <c r="T4842"/>
      <c r="U4842"/>
      <c r="V4842"/>
      <c r="W4842"/>
      <c r="X4842"/>
    </row>
    <row r="4843" spans="5:24" x14ac:dyDescent="0.3">
      <c r="E4843" s="173"/>
      <c r="F4843" s="173"/>
      <c r="I4843"/>
      <c r="J4843"/>
      <c r="K4843"/>
      <c r="L4843"/>
      <c r="M4843"/>
      <c r="N4843"/>
      <c r="O4843"/>
      <c r="P4843" s="225"/>
      <c r="Q4843" s="225"/>
      <c r="R4843"/>
      <c r="S4843"/>
      <c r="T4843"/>
      <c r="U4843"/>
      <c r="V4843"/>
      <c r="W4843"/>
      <c r="X4843"/>
    </row>
    <row r="4844" spans="5:24" x14ac:dyDescent="0.3">
      <c r="E4844" s="173"/>
      <c r="F4844" s="173"/>
      <c r="I4844"/>
      <c r="J4844"/>
      <c r="K4844"/>
      <c r="L4844"/>
      <c r="M4844"/>
      <c r="N4844"/>
      <c r="O4844"/>
      <c r="P4844" s="225"/>
      <c r="Q4844" s="225"/>
      <c r="R4844"/>
      <c r="S4844"/>
      <c r="T4844"/>
      <c r="U4844"/>
      <c r="V4844"/>
      <c r="W4844"/>
      <c r="X4844"/>
    </row>
    <row r="4845" spans="5:24" x14ac:dyDescent="0.3">
      <c r="E4845" s="173"/>
      <c r="F4845" s="173"/>
      <c r="I4845"/>
      <c r="J4845"/>
      <c r="K4845"/>
      <c r="L4845"/>
      <c r="M4845"/>
      <c r="N4845"/>
      <c r="O4845"/>
      <c r="P4845" s="225"/>
      <c r="Q4845" s="225"/>
      <c r="R4845"/>
      <c r="S4845"/>
      <c r="T4845"/>
      <c r="U4845"/>
      <c r="V4845"/>
      <c r="W4845"/>
      <c r="X4845"/>
    </row>
    <row r="4846" spans="5:24" x14ac:dyDescent="0.3">
      <c r="E4846" s="173"/>
      <c r="F4846" s="173"/>
      <c r="I4846"/>
      <c r="J4846"/>
      <c r="K4846"/>
      <c r="L4846"/>
      <c r="M4846"/>
      <c r="N4846"/>
      <c r="O4846"/>
      <c r="P4846" s="225"/>
      <c r="Q4846" s="225"/>
      <c r="R4846"/>
      <c r="S4846"/>
      <c r="T4846"/>
      <c r="U4846"/>
      <c r="V4846"/>
      <c r="W4846"/>
      <c r="X4846"/>
    </row>
    <row r="4847" spans="5:24" x14ac:dyDescent="0.3">
      <c r="E4847" s="173"/>
      <c r="F4847" s="173"/>
      <c r="I4847"/>
      <c r="J4847"/>
      <c r="K4847"/>
      <c r="L4847"/>
      <c r="M4847"/>
      <c r="N4847"/>
      <c r="O4847"/>
      <c r="P4847" s="225"/>
      <c r="Q4847" s="225"/>
      <c r="R4847"/>
      <c r="S4847"/>
      <c r="T4847"/>
      <c r="U4847"/>
      <c r="V4847"/>
      <c r="W4847"/>
      <c r="X4847"/>
    </row>
    <row r="4848" spans="5:24" x14ac:dyDescent="0.3">
      <c r="E4848" s="173"/>
      <c r="F4848" s="173"/>
      <c r="I4848"/>
      <c r="J4848"/>
      <c r="K4848"/>
      <c r="L4848"/>
      <c r="M4848"/>
      <c r="N4848"/>
      <c r="O4848"/>
      <c r="P4848" s="225"/>
      <c r="Q4848" s="225"/>
      <c r="R4848"/>
      <c r="S4848"/>
      <c r="T4848"/>
      <c r="U4848"/>
      <c r="V4848"/>
      <c r="W4848"/>
      <c r="X4848"/>
    </row>
    <row r="4849" spans="5:24" x14ac:dyDescent="0.3">
      <c r="E4849" s="173"/>
      <c r="F4849" s="173"/>
      <c r="I4849"/>
      <c r="J4849"/>
      <c r="K4849"/>
      <c r="L4849"/>
      <c r="M4849"/>
      <c r="N4849"/>
      <c r="O4849"/>
      <c r="P4849" s="225"/>
      <c r="Q4849" s="225"/>
      <c r="R4849"/>
      <c r="S4849"/>
      <c r="T4849"/>
      <c r="U4849"/>
      <c r="V4849"/>
      <c r="W4849"/>
      <c r="X4849"/>
    </row>
    <row r="4850" spans="5:24" x14ac:dyDescent="0.3">
      <c r="E4850" s="173"/>
      <c r="F4850" s="173"/>
      <c r="I4850"/>
      <c r="J4850"/>
      <c r="K4850"/>
      <c r="L4850"/>
      <c r="M4850"/>
      <c r="N4850"/>
      <c r="O4850"/>
      <c r="P4850" s="225"/>
      <c r="Q4850" s="225"/>
      <c r="R4850"/>
      <c r="S4850"/>
      <c r="T4850"/>
      <c r="U4850"/>
      <c r="V4850"/>
      <c r="W4850"/>
      <c r="X4850"/>
    </row>
    <row r="4851" spans="5:24" x14ac:dyDescent="0.3">
      <c r="E4851" s="173"/>
      <c r="F4851" s="173"/>
      <c r="I4851"/>
      <c r="J4851"/>
      <c r="K4851"/>
      <c r="L4851"/>
      <c r="M4851"/>
      <c r="N4851"/>
      <c r="O4851"/>
      <c r="P4851" s="225"/>
      <c r="Q4851" s="225"/>
      <c r="R4851"/>
      <c r="S4851"/>
      <c r="T4851"/>
      <c r="U4851"/>
      <c r="V4851"/>
      <c r="W4851"/>
      <c r="X4851"/>
    </row>
    <row r="4852" spans="5:24" x14ac:dyDescent="0.3">
      <c r="E4852" s="173"/>
      <c r="F4852" s="173"/>
      <c r="I4852"/>
      <c r="J4852"/>
      <c r="K4852"/>
      <c r="L4852"/>
      <c r="M4852"/>
      <c r="N4852"/>
      <c r="O4852"/>
      <c r="P4852" s="225"/>
      <c r="Q4852" s="225"/>
      <c r="R4852"/>
      <c r="S4852"/>
      <c r="T4852"/>
      <c r="U4852"/>
      <c r="V4852"/>
      <c r="W4852"/>
      <c r="X4852"/>
    </row>
    <row r="4853" spans="5:24" x14ac:dyDescent="0.3">
      <c r="E4853" s="173"/>
      <c r="F4853" s="173"/>
      <c r="I4853"/>
      <c r="J4853"/>
      <c r="K4853"/>
      <c r="L4853"/>
      <c r="M4853"/>
      <c r="N4853"/>
      <c r="O4853"/>
      <c r="P4853" s="225"/>
      <c r="Q4853" s="225"/>
      <c r="R4853"/>
      <c r="S4853"/>
      <c r="T4853"/>
      <c r="U4853"/>
      <c r="V4853"/>
      <c r="W4853"/>
      <c r="X4853"/>
    </row>
    <row r="4854" spans="5:24" x14ac:dyDescent="0.3">
      <c r="E4854" s="173"/>
      <c r="F4854" s="173"/>
      <c r="I4854"/>
      <c r="J4854"/>
      <c r="K4854"/>
      <c r="L4854"/>
      <c r="M4854"/>
      <c r="N4854"/>
      <c r="O4854"/>
      <c r="P4854" s="225"/>
      <c r="Q4854" s="225"/>
      <c r="R4854"/>
      <c r="S4854"/>
      <c r="T4854"/>
      <c r="U4854"/>
      <c r="V4854"/>
      <c r="W4854"/>
      <c r="X4854"/>
    </row>
    <row r="4855" spans="5:24" x14ac:dyDescent="0.3">
      <c r="E4855" s="173"/>
      <c r="F4855" s="173"/>
      <c r="I4855"/>
      <c r="J4855"/>
      <c r="K4855"/>
      <c r="L4855"/>
      <c r="M4855"/>
      <c r="N4855"/>
      <c r="O4855"/>
      <c r="P4855" s="225"/>
      <c r="Q4855" s="225"/>
      <c r="R4855"/>
      <c r="S4855"/>
      <c r="T4855"/>
      <c r="U4855"/>
      <c r="V4855"/>
      <c r="W4855"/>
      <c r="X4855"/>
    </row>
    <row r="4856" spans="5:24" x14ac:dyDescent="0.3">
      <c r="E4856" s="173"/>
      <c r="F4856" s="173"/>
      <c r="I4856"/>
      <c r="J4856"/>
      <c r="K4856"/>
      <c r="L4856"/>
      <c r="M4856"/>
      <c r="N4856"/>
      <c r="O4856"/>
      <c r="P4856" s="225"/>
      <c r="Q4856" s="225"/>
      <c r="R4856"/>
      <c r="S4856"/>
      <c r="T4856"/>
      <c r="U4856"/>
      <c r="V4856"/>
      <c r="W4856"/>
      <c r="X4856"/>
    </row>
    <row r="4857" spans="5:24" x14ac:dyDescent="0.3">
      <c r="E4857" s="173"/>
      <c r="F4857" s="173"/>
      <c r="I4857"/>
      <c r="J4857"/>
      <c r="K4857"/>
      <c r="L4857"/>
      <c r="M4857"/>
      <c r="N4857"/>
      <c r="O4857"/>
      <c r="P4857" s="225"/>
      <c r="Q4857" s="225"/>
      <c r="R4857"/>
      <c r="S4857"/>
      <c r="T4857"/>
      <c r="U4857"/>
      <c r="V4857"/>
      <c r="W4857"/>
      <c r="X4857"/>
    </row>
    <row r="4858" spans="5:24" x14ac:dyDescent="0.3">
      <c r="E4858" s="173"/>
      <c r="F4858" s="173"/>
      <c r="I4858"/>
      <c r="J4858"/>
      <c r="K4858"/>
      <c r="L4858"/>
      <c r="M4858"/>
      <c r="N4858"/>
      <c r="O4858"/>
      <c r="P4858" s="225"/>
      <c r="Q4858" s="225"/>
      <c r="R4858"/>
      <c r="S4858"/>
      <c r="T4858"/>
      <c r="U4858"/>
      <c r="V4858"/>
      <c r="W4858"/>
      <c r="X4858"/>
    </row>
    <row r="4859" spans="5:24" x14ac:dyDescent="0.3">
      <c r="E4859" s="173"/>
      <c r="F4859" s="173"/>
      <c r="I4859"/>
      <c r="J4859"/>
      <c r="K4859"/>
      <c r="L4859"/>
      <c r="M4859"/>
      <c r="N4859"/>
      <c r="O4859"/>
      <c r="P4859" s="225"/>
      <c r="Q4859" s="225"/>
      <c r="R4859"/>
      <c r="S4859"/>
      <c r="T4859"/>
      <c r="U4859"/>
      <c r="V4859"/>
      <c r="W4859"/>
      <c r="X4859"/>
    </row>
    <row r="4860" spans="5:24" x14ac:dyDescent="0.3">
      <c r="E4860" s="173"/>
      <c r="F4860" s="173"/>
      <c r="I4860"/>
      <c r="J4860"/>
      <c r="K4860"/>
      <c r="L4860"/>
      <c r="M4860"/>
      <c r="N4860"/>
      <c r="O4860"/>
      <c r="P4860" s="225"/>
      <c r="Q4860" s="225"/>
      <c r="R4860"/>
      <c r="S4860"/>
      <c r="T4860"/>
      <c r="U4860"/>
      <c r="V4860"/>
      <c r="W4860"/>
      <c r="X4860"/>
    </row>
    <row r="4861" spans="5:24" x14ac:dyDescent="0.3">
      <c r="E4861" s="173"/>
      <c r="F4861" s="173"/>
      <c r="I4861"/>
      <c r="J4861"/>
      <c r="K4861"/>
      <c r="L4861"/>
      <c r="M4861"/>
      <c r="N4861"/>
      <c r="O4861"/>
      <c r="P4861" s="225"/>
      <c r="Q4861" s="225"/>
      <c r="R4861"/>
      <c r="S4861"/>
      <c r="T4861"/>
      <c r="U4861"/>
      <c r="V4861"/>
      <c r="W4861"/>
      <c r="X4861"/>
    </row>
    <row r="4862" spans="5:24" x14ac:dyDescent="0.3">
      <c r="E4862" s="173"/>
      <c r="F4862" s="173"/>
      <c r="I4862"/>
      <c r="J4862"/>
      <c r="K4862"/>
      <c r="L4862"/>
      <c r="M4862"/>
      <c r="N4862"/>
      <c r="O4862"/>
      <c r="P4862" s="225"/>
      <c r="Q4862" s="225"/>
      <c r="R4862"/>
      <c r="S4862"/>
      <c r="T4862"/>
      <c r="U4862"/>
      <c r="V4862"/>
      <c r="W4862"/>
      <c r="X4862"/>
    </row>
    <row r="4863" spans="5:24" x14ac:dyDescent="0.3">
      <c r="E4863" s="173"/>
      <c r="F4863" s="173"/>
      <c r="I4863"/>
      <c r="J4863"/>
      <c r="K4863"/>
      <c r="L4863"/>
      <c r="M4863"/>
      <c r="N4863"/>
      <c r="O4863"/>
      <c r="P4863" s="225"/>
      <c r="Q4863" s="225"/>
      <c r="R4863"/>
      <c r="S4863"/>
      <c r="T4863"/>
      <c r="U4863"/>
      <c r="V4863"/>
      <c r="W4863"/>
      <c r="X4863"/>
    </row>
    <row r="4864" spans="5:24" x14ac:dyDescent="0.3">
      <c r="E4864" s="173"/>
      <c r="F4864" s="173"/>
      <c r="I4864"/>
      <c r="J4864"/>
      <c r="K4864"/>
      <c r="L4864"/>
      <c r="M4864"/>
      <c r="N4864"/>
      <c r="O4864"/>
      <c r="P4864" s="225"/>
      <c r="Q4864" s="225"/>
      <c r="R4864"/>
      <c r="S4864"/>
      <c r="T4864"/>
      <c r="U4864"/>
      <c r="V4864"/>
      <c r="W4864"/>
      <c r="X4864"/>
    </row>
    <row r="4865" spans="5:24" x14ac:dyDescent="0.3">
      <c r="E4865" s="173"/>
      <c r="F4865" s="173"/>
      <c r="I4865"/>
      <c r="J4865"/>
      <c r="K4865"/>
      <c r="L4865"/>
      <c r="M4865"/>
      <c r="N4865"/>
      <c r="O4865"/>
      <c r="P4865" s="225"/>
      <c r="Q4865" s="225"/>
      <c r="R4865"/>
      <c r="S4865"/>
      <c r="T4865"/>
      <c r="U4865"/>
      <c r="V4865"/>
      <c r="W4865"/>
      <c r="X4865"/>
    </row>
    <row r="4866" spans="5:24" x14ac:dyDescent="0.3">
      <c r="E4866" s="173"/>
      <c r="F4866" s="173"/>
      <c r="I4866"/>
      <c r="J4866"/>
      <c r="K4866"/>
      <c r="L4866"/>
      <c r="M4866"/>
      <c r="N4866"/>
      <c r="O4866"/>
      <c r="P4866" s="225"/>
      <c r="Q4866" s="225"/>
      <c r="R4866"/>
      <c r="S4866"/>
      <c r="T4866"/>
      <c r="U4866"/>
      <c r="V4866"/>
      <c r="W4866"/>
      <c r="X4866"/>
    </row>
    <row r="4867" spans="5:24" x14ac:dyDescent="0.3">
      <c r="E4867" s="173"/>
      <c r="F4867" s="173"/>
      <c r="I4867"/>
      <c r="J4867"/>
      <c r="K4867"/>
      <c r="L4867"/>
      <c r="M4867"/>
      <c r="N4867"/>
      <c r="O4867"/>
      <c r="P4867" s="225"/>
      <c r="Q4867" s="225"/>
      <c r="R4867"/>
      <c r="S4867"/>
      <c r="T4867"/>
      <c r="U4867"/>
      <c r="V4867"/>
      <c r="W4867"/>
      <c r="X4867"/>
    </row>
    <row r="4868" spans="5:24" x14ac:dyDescent="0.3">
      <c r="E4868" s="173"/>
      <c r="F4868" s="173"/>
      <c r="I4868"/>
      <c r="J4868"/>
      <c r="K4868"/>
      <c r="L4868"/>
      <c r="M4868"/>
      <c r="N4868"/>
      <c r="O4868"/>
      <c r="P4868" s="225"/>
      <c r="Q4868" s="225"/>
      <c r="R4868"/>
      <c r="S4868"/>
      <c r="T4868"/>
      <c r="U4868"/>
      <c r="V4868"/>
      <c r="W4868"/>
      <c r="X4868"/>
    </row>
    <row r="4869" spans="5:24" x14ac:dyDescent="0.3">
      <c r="E4869" s="173"/>
      <c r="F4869" s="173"/>
      <c r="I4869"/>
      <c r="J4869"/>
      <c r="K4869"/>
      <c r="L4869"/>
      <c r="M4869"/>
      <c r="N4869"/>
      <c r="O4869"/>
      <c r="P4869" s="225"/>
      <c r="Q4869" s="225"/>
      <c r="R4869"/>
      <c r="S4869"/>
      <c r="T4869"/>
      <c r="U4869"/>
      <c r="V4869"/>
      <c r="W4869"/>
      <c r="X4869"/>
    </row>
    <row r="4870" spans="5:24" x14ac:dyDescent="0.3">
      <c r="E4870" s="173"/>
      <c r="F4870" s="173"/>
      <c r="I4870"/>
      <c r="J4870"/>
      <c r="K4870"/>
      <c r="L4870"/>
      <c r="M4870"/>
      <c r="N4870"/>
      <c r="O4870"/>
      <c r="P4870" s="225"/>
      <c r="Q4870" s="225"/>
      <c r="R4870"/>
      <c r="S4870"/>
      <c r="T4870"/>
      <c r="U4870"/>
      <c r="V4870"/>
      <c r="W4870"/>
      <c r="X4870"/>
    </row>
    <row r="4871" spans="5:24" x14ac:dyDescent="0.3">
      <c r="E4871" s="173"/>
      <c r="F4871" s="173"/>
      <c r="I4871"/>
      <c r="J4871"/>
      <c r="K4871"/>
      <c r="L4871"/>
      <c r="M4871"/>
      <c r="N4871"/>
      <c r="O4871"/>
      <c r="P4871" s="225"/>
      <c r="Q4871" s="225"/>
      <c r="R4871"/>
      <c r="S4871"/>
      <c r="T4871"/>
      <c r="U4871"/>
      <c r="V4871"/>
      <c r="W4871"/>
      <c r="X4871"/>
    </row>
    <row r="4872" spans="5:24" x14ac:dyDescent="0.3">
      <c r="E4872" s="173"/>
      <c r="F4872" s="173"/>
      <c r="I4872"/>
      <c r="J4872"/>
      <c r="K4872"/>
      <c r="L4872"/>
      <c r="M4872"/>
      <c r="N4872"/>
      <c r="O4872"/>
      <c r="P4872" s="225"/>
      <c r="Q4872" s="225"/>
      <c r="R4872"/>
      <c r="S4872"/>
      <c r="T4872"/>
      <c r="U4872"/>
      <c r="V4872"/>
      <c r="W4872"/>
      <c r="X4872"/>
    </row>
    <row r="4873" spans="5:24" x14ac:dyDescent="0.3">
      <c r="E4873" s="173"/>
      <c r="F4873" s="173"/>
      <c r="I4873"/>
      <c r="J4873"/>
      <c r="K4873"/>
      <c r="L4873"/>
      <c r="M4873"/>
      <c r="N4873"/>
      <c r="O4873"/>
      <c r="P4873" s="225"/>
      <c r="Q4873" s="225"/>
      <c r="R4873"/>
      <c r="S4873"/>
      <c r="T4873"/>
      <c r="U4873"/>
      <c r="V4873"/>
      <c r="W4873"/>
      <c r="X4873"/>
    </row>
    <row r="4874" spans="5:24" x14ac:dyDescent="0.3">
      <c r="E4874" s="173"/>
      <c r="F4874" s="173"/>
      <c r="I4874"/>
      <c r="J4874"/>
      <c r="K4874"/>
      <c r="L4874"/>
      <c r="M4874"/>
      <c r="N4874"/>
      <c r="O4874"/>
      <c r="P4874" s="225"/>
      <c r="Q4874" s="225"/>
      <c r="R4874"/>
      <c r="S4874"/>
      <c r="T4874"/>
      <c r="U4874"/>
      <c r="V4874"/>
      <c r="W4874"/>
      <c r="X4874"/>
    </row>
    <row r="4875" spans="5:24" x14ac:dyDescent="0.3">
      <c r="E4875" s="173"/>
      <c r="F4875" s="173"/>
      <c r="I4875"/>
      <c r="J4875"/>
      <c r="K4875"/>
      <c r="L4875"/>
      <c r="M4875"/>
      <c r="N4875"/>
      <c r="O4875"/>
      <c r="P4875" s="225"/>
      <c r="Q4875" s="225"/>
      <c r="R4875"/>
      <c r="S4875"/>
      <c r="T4875"/>
      <c r="U4875"/>
      <c r="V4875"/>
      <c r="W4875"/>
      <c r="X4875"/>
    </row>
    <row r="4876" spans="5:24" x14ac:dyDescent="0.3">
      <c r="E4876" s="173"/>
      <c r="F4876" s="173"/>
      <c r="I4876"/>
      <c r="J4876"/>
      <c r="K4876"/>
      <c r="L4876"/>
      <c r="M4876"/>
      <c r="N4876"/>
      <c r="O4876"/>
      <c r="P4876" s="225"/>
      <c r="Q4876" s="225"/>
      <c r="R4876"/>
      <c r="S4876"/>
      <c r="T4876"/>
      <c r="U4876"/>
      <c r="V4876"/>
      <c r="W4876"/>
      <c r="X4876"/>
    </row>
    <row r="4877" spans="5:24" x14ac:dyDescent="0.3">
      <c r="E4877" s="173"/>
      <c r="F4877" s="173"/>
      <c r="I4877"/>
      <c r="J4877"/>
      <c r="K4877"/>
      <c r="L4877"/>
      <c r="M4877"/>
      <c r="N4877"/>
      <c r="O4877"/>
      <c r="P4877" s="225"/>
      <c r="Q4877" s="225"/>
      <c r="R4877"/>
      <c r="S4877"/>
      <c r="T4877"/>
      <c r="U4877"/>
      <c r="V4877"/>
      <c r="W4877"/>
      <c r="X4877"/>
    </row>
    <row r="4878" spans="5:24" x14ac:dyDescent="0.3">
      <c r="E4878" s="173"/>
      <c r="F4878" s="173"/>
      <c r="I4878"/>
      <c r="J4878"/>
      <c r="K4878"/>
      <c r="L4878"/>
      <c r="M4878"/>
      <c r="N4878"/>
      <c r="O4878"/>
      <c r="P4878" s="225"/>
      <c r="Q4878" s="225"/>
      <c r="R4878"/>
      <c r="S4878"/>
      <c r="T4878"/>
      <c r="U4878"/>
      <c r="V4878"/>
      <c r="W4878"/>
      <c r="X4878"/>
    </row>
    <row r="4879" spans="5:24" x14ac:dyDescent="0.3">
      <c r="E4879" s="173"/>
      <c r="F4879" s="173"/>
      <c r="I4879"/>
      <c r="J4879"/>
      <c r="K4879"/>
      <c r="L4879"/>
      <c r="M4879"/>
      <c r="N4879"/>
      <c r="O4879"/>
      <c r="P4879" s="225"/>
      <c r="Q4879" s="225"/>
      <c r="R4879"/>
      <c r="S4879"/>
      <c r="T4879"/>
      <c r="U4879"/>
      <c r="V4879"/>
      <c r="W4879"/>
      <c r="X4879"/>
    </row>
    <row r="4880" spans="5:24" x14ac:dyDescent="0.3">
      <c r="E4880" s="173"/>
      <c r="F4880" s="173"/>
      <c r="I4880"/>
      <c r="J4880"/>
      <c r="K4880"/>
      <c r="L4880"/>
      <c r="M4880"/>
      <c r="N4880"/>
      <c r="O4880"/>
      <c r="P4880" s="225"/>
      <c r="Q4880" s="225"/>
      <c r="R4880"/>
      <c r="S4880"/>
      <c r="T4880"/>
      <c r="U4880"/>
      <c r="V4880"/>
      <c r="W4880"/>
      <c r="X4880"/>
    </row>
    <row r="4881" spans="5:24" x14ac:dyDescent="0.3">
      <c r="E4881" s="173"/>
      <c r="F4881" s="173"/>
      <c r="I4881"/>
      <c r="J4881"/>
      <c r="K4881"/>
      <c r="L4881"/>
      <c r="M4881"/>
      <c r="N4881"/>
      <c r="O4881"/>
      <c r="P4881" s="225"/>
      <c r="Q4881" s="225"/>
      <c r="R4881"/>
      <c r="S4881"/>
      <c r="T4881"/>
      <c r="U4881"/>
      <c r="V4881"/>
      <c r="W4881"/>
      <c r="X4881"/>
    </row>
    <row r="4882" spans="5:24" x14ac:dyDescent="0.3">
      <c r="E4882" s="173"/>
      <c r="F4882" s="173"/>
      <c r="I4882"/>
      <c r="J4882"/>
      <c r="K4882"/>
      <c r="L4882"/>
      <c r="M4882"/>
      <c r="N4882"/>
      <c r="O4882"/>
      <c r="P4882" s="225"/>
      <c r="Q4882" s="225"/>
      <c r="R4882"/>
      <c r="S4882"/>
      <c r="T4882"/>
      <c r="U4882"/>
      <c r="V4882"/>
      <c r="W4882"/>
      <c r="X4882"/>
    </row>
    <row r="4883" spans="5:24" x14ac:dyDescent="0.3">
      <c r="E4883" s="173"/>
      <c r="F4883" s="173"/>
      <c r="I4883"/>
      <c r="J4883"/>
      <c r="K4883"/>
      <c r="L4883"/>
      <c r="M4883"/>
      <c r="N4883"/>
      <c r="O4883"/>
      <c r="P4883" s="225"/>
      <c r="Q4883" s="225"/>
      <c r="R4883"/>
      <c r="S4883"/>
      <c r="T4883"/>
      <c r="U4883"/>
      <c r="V4883"/>
      <c r="W4883"/>
      <c r="X4883"/>
    </row>
    <row r="4884" spans="5:24" x14ac:dyDescent="0.3">
      <c r="E4884" s="173"/>
      <c r="F4884" s="173"/>
      <c r="I4884"/>
      <c r="J4884"/>
      <c r="K4884"/>
      <c r="L4884"/>
      <c r="M4884"/>
      <c r="N4884"/>
      <c r="O4884"/>
      <c r="P4884" s="225"/>
      <c r="Q4884" s="225"/>
      <c r="R4884"/>
      <c r="S4884"/>
      <c r="T4884"/>
      <c r="U4884"/>
      <c r="V4884"/>
      <c r="W4884"/>
      <c r="X4884"/>
    </row>
    <row r="4885" spans="5:24" x14ac:dyDescent="0.3">
      <c r="E4885" s="173"/>
      <c r="F4885" s="173"/>
      <c r="I4885"/>
      <c r="J4885"/>
      <c r="K4885"/>
      <c r="L4885"/>
      <c r="M4885"/>
      <c r="N4885"/>
      <c r="O4885"/>
      <c r="P4885" s="225"/>
      <c r="Q4885" s="225"/>
      <c r="R4885"/>
      <c r="S4885"/>
      <c r="T4885"/>
      <c r="U4885"/>
      <c r="V4885"/>
      <c r="W4885"/>
      <c r="X4885"/>
    </row>
    <row r="4886" spans="5:24" x14ac:dyDescent="0.3">
      <c r="E4886" s="173"/>
      <c r="F4886" s="173"/>
      <c r="I4886"/>
      <c r="J4886"/>
      <c r="K4886"/>
      <c r="L4886"/>
      <c r="M4886"/>
      <c r="N4886"/>
      <c r="O4886"/>
      <c r="P4886" s="225"/>
      <c r="Q4886" s="225"/>
      <c r="R4886"/>
      <c r="S4886"/>
      <c r="T4886"/>
      <c r="U4886"/>
      <c r="V4886"/>
      <c r="W4886"/>
      <c r="X4886"/>
    </row>
    <row r="4887" spans="5:24" x14ac:dyDescent="0.3">
      <c r="E4887" s="173"/>
      <c r="F4887" s="173"/>
      <c r="I4887"/>
      <c r="J4887"/>
      <c r="K4887"/>
      <c r="L4887"/>
      <c r="M4887"/>
      <c r="N4887"/>
      <c r="O4887"/>
      <c r="P4887" s="225"/>
      <c r="Q4887" s="225"/>
      <c r="R4887"/>
      <c r="S4887"/>
      <c r="T4887"/>
      <c r="U4887"/>
      <c r="V4887"/>
      <c r="W4887"/>
      <c r="X4887"/>
    </row>
    <row r="4888" spans="5:24" x14ac:dyDescent="0.3">
      <c r="E4888" s="173"/>
      <c r="F4888" s="173"/>
      <c r="I4888"/>
      <c r="J4888"/>
      <c r="K4888"/>
      <c r="L4888"/>
      <c r="M4888"/>
      <c r="N4888"/>
      <c r="O4888"/>
      <c r="P4888" s="225"/>
      <c r="Q4888" s="225"/>
      <c r="R4888"/>
      <c r="S4888"/>
      <c r="T4888"/>
      <c r="U4888"/>
      <c r="V4888"/>
      <c r="W4888"/>
      <c r="X4888"/>
    </row>
    <row r="4889" spans="5:24" x14ac:dyDescent="0.3">
      <c r="E4889" s="173"/>
      <c r="F4889" s="173"/>
      <c r="I4889"/>
      <c r="J4889"/>
      <c r="K4889"/>
      <c r="L4889"/>
      <c r="M4889"/>
      <c r="N4889"/>
      <c r="O4889"/>
      <c r="P4889" s="225"/>
      <c r="Q4889" s="225"/>
      <c r="R4889"/>
      <c r="S4889"/>
      <c r="T4889"/>
      <c r="U4889"/>
      <c r="V4889"/>
      <c r="W4889"/>
      <c r="X4889"/>
    </row>
    <row r="4890" spans="5:24" x14ac:dyDescent="0.3">
      <c r="E4890" s="173"/>
      <c r="F4890" s="173"/>
      <c r="I4890"/>
      <c r="J4890"/>
      <c r="K4890"/>
      <c r="L4890"/>
      <c r="M4890"/>
      <c r="N4890"/>
      <c r="O4890"/>
      <c r="P4890" s="225"/>
      <c r="Q4890" s="225"/>
      <c r="R4890"/>
      <c r="S4890"/>
      <c r="T4890"/>
      <c r="U4890"/>
      <c r="V4890"/>
      <c r="W4890"/>
      <c r="X4890"/>
    </row>
    <row r="4891" spans="5:24" x14ac:dyDescent="0.3">
      <c r="E4891" s="173"/>
      <c r="F4891" s="173"/>
      <c r="I4891"/>
      <c r="J4891"/>
      <c r="K4891"/>
      <c r="L4891"/>
      <c r="M4891"/>
      <c r="N4891"/>
      <c r="O4891"/>
      <c r="P4891" s="225"/>
      <c r="Q4891" s="225"/>
      <c r="R4891"/>
      <c r="S4891"/>
      <c r="T4891"/>
      <c r="U4891"/>
      <c r="V4891"/>
      <c r="W4891"/>
      <c r="X4891"/>
    </row>
    <row r="4892" spans="5:24" x14ac:dyDescent="0.3">
      <c r="E4892" s="173"/>
      <c r="F4892" s="173"/>
      <c r="I4892"/>
      <c r="J4892"/>
      <c r="K4892"/>
      <c r="L4892"/>
      <c r="M4892"/>
      <c r="N4892"/>
      <c r="O4892"/>
      <c r="P4892" s="225"/>
      <c r="Q4892" s="225"/>
      <c r="R4892"/>
      <c r="S4892"/>
      <c r="T4892"/>
      <c r="U4892"/>
      <c r="V4892"/>
      <c r="W4892"/>
      <c r="X4892"/>
    </row>
    <row r="4893" spans="5:24" x14ac:dyDescent="0.3">
      <c r="E4893" s="173"/>
      <c r="F4893" s="173"/>
      <c r="I4893"/>
      <c r="J4893"/>
      <c r="K4893"/>
      <c r="L4893"/>
      <c r="M4893"/>
      <c r="N4893"/>
      <c r="O4893"/>
      <c r="P4893" s="225"/>
      <c r="Q4893" s="225"/>
      <c r="R4893"/>
      <c r="S4893"/>
      <c r="T4893"/>
      <c r="U4893"/>
      <c r="V4893"/>
      <c r="W4893"/>
      <c r="X4893"/>
    </row>
    <row r="4894" spans="5:24" x14ac:dyDescent="0.3">
      <c r="E4894" s="173"/>
      <c r="F4894" s="173"/>
      <c r="I4894"/>
      <c r="J4894"/>
      <c r="K4894"/>
      <c r="L4894"/>
      <c r="M4894"/>
      <c r="N4894"/>
      <c r="O4894"/>
      <c r="P4894" s="225"/>
      <c r="Q4894" s="225"/>
      <c r="R4894"/>
      <c r="S4894"/>
      <c r="T4894"/>
      <c r="U4894"/>
      <c r="V4894"/>
      <c r="W4894"/>
      <c r="X4894"/>
    </row>
    <row r="4895" spans="5:24" x14ac:dyDescent="0.3">
      <c r="E4895" s="173"/>
      <c r="F4895" s="173"/>
      <c r="I4895"/>
      <c r="J4895"/>
      <c r="K4895"/>
      <c r="L4895"/>
      <c r="M4895"/>
      <c r="N4895"/>
      <c r="O4895"/>
      <c r="P4895" s="225"/>
      <c r="Q4895" s="225"/>
      <c r="R4895"/>
      <c r="S4895"/>
      <c r="T4895"/>
      <c r="U4895"/>
      <c r="V4895"/>
      <c r="W4895"/>
      <c r="X4895"/>
    </row>
    <row r="4896" spans="5:24" x14ac:dyDescent="0.3">
      <c r="E4896" s="173"/>
      <c r="F4896" s="173"/>
      <c r="I4896"/>
      <c r="J4896"/>
      <c r="K4896"/>
      <c r="L4896"/>
      <c r="M4896"/>
      <c r="N4896"/>
      <c r="O4896"/>
      <c r="P4896" s="225"/>
      <c r="Q4896" s="225"/>
      <c r="R4896"/>
      <c r="S4896"/>
      <c r="T4896"/>
      <c r="U4896"/>
      <c r="V4896"/>
      <c r="W4896"/>
      <c r="X4896"/>
    </row>
    <row r="4897" spans="5:24" x14ac:dyDescent="0.3">
      <c r="E4897" s="173"/>
      <c r="F4897" s="173"/>
      <c r="I4897"/>
      <c r="J4897"/>
      <c r="K4897"/>
      <c r="L4897"/>
      <c r="M4897"/>
      <c r="N4897"/>
      <c r="O4897"/>
      <c r="P4897" s="225"/>
      <c r="Q4897" s="225"/>
      <c r="R4897"/>
      <c r="S4897"/>
      <c r="T4897"/>
      <c r="U4897"/>
      <c r="V4897"/>
      <c r="W4897"/>
      <c r="X4897"/>
    </row>
    <row r="4898" spans="5:24" x14ac:dyDescent="0.3">
      <c r="E4898" s="173"/>
      <c r="F4898" s="173"/>
      <c r="I4898"/>
      <c r="J4898"/>
      <c r="K4898"/>
      <c r="L4898"/>
      <c r="M4898"/>
      <c r="N4898"/>
      <c r="O4898"/>
      <c r="P4898" s="225"/>
      <c r="Q4898" s="225"/>
      <c r="R4898"/>
      <c r="S4898"/>
      <c r="T4898"/>
      <c r="U4898"/>
      <c r="V4898"/>
      <c r="W4898"/>
      <c r="X4898"/>
    </row>
    <row r="4899" spans="5:24" x14ac:dyDescent="0.3">
      <c r="E4899" s="173"/>
      <c r="F4899" s="173"/>
      <c r="I4899"/>
      <c r="J4899"/>
      <c r="K4899"/>
      <c r="L4899"/>
      <c r="M4899"/>
      <c r="N4899"/>
      <c r="O4899"/>
      <c r="P4899" s="225"/>
      <c r="Q4899" s="225"/>
      <c r="R4899"/>
      <c r="S4899"/>
      <c r="T4899"/>
      <c r="U4899"/>
      <c r="V4899"/>
      <c r="W4899"/>
      <c r="X4899"/>
    </row>
    <row r="4900" spans="5:24" x14ac:dyDescent="0.3">
      <c r="E4900" s="173"/>
      <c r="F4900" s="173"/>
      <c r="I4900"/>
      <c r="J4900"/>
      <c r="K4900"/>
      <c r="L4900"/>
      <c r="M4900"/>
      <c r="N4900"/>
      <c r="O4900"/>
      <c r="P4900" s="225"/>
      <c r="Q4900" s="225"/>
      <c r="R4900"/>
      <c r="S4900"/>
      <c r="T4900"/>
      <c r="U4900"/>
      <c r="V4900"/>
      <c r="W4900"/>
      <c r="X4900"/>
    </row>
    <row r="4901" spans="5:24" x14ac:dyDescent="0.3">
      <c r="E4901" s="173"/>
      <c r="F4901" s="173"/>
      <c r="I4901"/>
      <c r="J4901"/>
      <c r="K4901"/>
      <c r="L4901"/>
      <c r="M4901"/>
      <c r="N4901"/>
      <c r="O4901"/>
      <c r="P4901" s="225"/>
      <c r="Q4901" s="225"/>
      <c r="R4901"/>
      <c r="S4901"/>
      <c r="T4901"/>
      <c r="U4901"/>
      <c r="V4901"/>
      <c r="W4901"/>
      <c r="X4901"/>
    </row>
    <row r="4902" spans="5:24" x14ac:dyDescent="0.3">
      <c r="E4902" s="173"/>
      <c r="F4902" s="173"/>
      <c r="I4902"/>
      <c r="J4902"/>
      <c r="K4902"/>
      <c r="L4902"/>
      <c r="M4902"/>
      <c r="N4902"/>
      <c r="O4902"/>
      <c r="P4902" s="225"/>
      <c r="Q4902" s="225"/>
      <c r="R4902"/>
      <c r="S4902"/>
      <c r="T4902"/>
      <c r="U4902"/>
      <c r="V4902"/>
      <c r="W4902"/>
      <c r="X4902"/>
    </row>
    <row r="4903" spans="5:24" x14ac:dyDescent="0.3">
      <c r="E4903" s="173"/>
      <c r="F4903" s="173"/>
      <c r="I4903"/>
      <c r="J4903"/>
      <c r="K4903"/>
      <c r="L4903"/>
      <c r="M4903"/>
      <c r="N4903"/>
      <c r="O4903"/>
      <c r="P4903" s="225"/>
      <c r="Q4903" s="225"/>
      <c r="R4903"/>
      <c r="S4903"/>
      <c r="T4903"/>
      <c r="U4903"/>
      <c r="V4903"/>
      <c r="W4903"/>
      <c r="X4903"/>
    </row>
    <row r="4904" spans="5:24" x14ac:dyDescent="0.3">
      <c r="E4904" s="173"/>
      <c r="F4904" s="173"/>
      <c r="I4904"/>
      <c r="J4904"/>
      <c r="K4904"/>
      <c r="L4904"/>
      <c r="M4904"/>
      <c r="N4904"/>
      <c r="O4904"/>
      <c r="P4904" s="225"/>
      <c r="Q4904" s="225"/>
      <c r="R4904"/>
      <c r="S4904"/>
      <c r="T4904"/>
      <c r="U4904"/>
      <c r="V4904"/>
      <c r="W4904"/>
      <c r="X4904"/>
    </row>
    <row r="4905" spans="5:24" x14ac:dyDescent="0.3">
      <c r="E4905" s="173"/>
      <c r="F4905" s="173"/>
      <c r="I4905"/>
      <c r="J4905"/>
      <c r="K4905"/>
      <c r="L4905"/>
      <c r="M4905"/>
      <c r="N4905"/>
      <c r="O4905"/>
      <c r="P4905" s="225"/>
      <c r="Q4905" s="225"/>
      <c r="R4905"/>
      <c r="S4905"/>
      <c r="T4905"/>
      <c r="U4905"/>
      <c r="V4905"/>
      <c r="W4905"/>
      <c r="X4905"/>
    </row>
    <row r="4906" spans="5:24" x14ac:dyDescent="0.3">
      <c r="E4906" s="173"/>
      <c r="F4906" s="173"/>
      <c r="I4906"/>
      <c r="J4906"/>
      <c r="K4906"/>
      <c r="L4906"/>
      <c r="M4906"/>
      <c r="N4906"/>
      <c r="O4906"/>
      <c r="P4906" s="225"/>
      <c r="Q4906" s="225"/>
      <c r="R4906"/>
      <c r="S4906"/>
      <c r="T4906"/>
      <c r="U4906"/>
      <c r="V4906"/>
      <c r="W4906"/>
      <c r="X4906"/>
    </row>
    <row r="4907" spans="5:24" x14ac:dyDescent="0.3">
      <c r="E4907" s="173"/>
      <c r="F4907" s="173"/>
      <c r="I4907"/>
      <c r="J4907"/>
      <c r="K4907"/>
      <c r="L4907"/>
      <c r="M4907"/>
      <c r="N4907"/>
      <c r="O4907"/>
      <c r="P4907" s="225"/>
      <c r="Q4907" s="225"/>
      <c r="R4907"/>
      <c r="S4907"/>
      <c r="T4907"/>
      <c r="U4907"/>
      <c r="V4907"/>
      <c r="W4907"/>
      <c r="X4907"/>
    </row>
    <row r="4908" spans="5:24" x14ac:dyDescent="0.3">
      <c r="E4908" s="173"/>
      <c r="F4908" s="173"/>
      <c r="I4908"/>
      <c r="J4908"/>
      <c r="K4908"/>
      <c r="L4908"/>
      <c r="M4908"/>
      <c r="N4908"/>
      <c r="O4908"/>
      <c r="P4908" s="225"/>
      <c r="Q4908" s="225"/>
      <c r="R4908"/>
      <c r="S4908"/>
      <c r="T4908"/>
      <c r="U4908"/>
      <c r="V4908"/>
      <c r="W4908"/>
      <c r="X4908"/>
    </row>
    <row r="4909" spans="5:24" x14ac:dyDescent="0.3">
      <c r="E4909" s="173"/>
      <c r="F4909" s="173"/>
      <c r="I4909"/>
      <c r="J4909"/>
      <c r="K4909"/>
      <c r="L4909"/>
      <c r="M4909"/>
      <c r="N4909"/>
      <c r="O4909"/>
      <c r="P4909" s="225"/>
      <c r="Q4909" s="225"/>
      <c r="R4909"/>
      <c r="S4909"/>
      <c r="T4909"/>
      <c r="U4909"/>
      <c r="V4909"/>
      <c r="W4909"/>
      <c r="X4909"/>
    </row>
    <row r="4910" spans="5:24" x14ac:dyDescent="0.3">
      <c r="E4910" s="173"/>
      <c r="F4910" s="173"/>
      <c r="I4910"/>
      <c r="J4910"/>
      <c r="K4910"/>
      <c r="L4910"/>
      <c r="M4910"/>
      <c r="N4910"/>
      <c r="O4910"/>
      <c r="P4910" s="225"/>
      <c r="Q4910" s="225"/>
      <c r="R4910"/>
      <c r="S4910"/>
      <c r="T4910"/>
      <c r="U4910"/>
      <c r="V4910"/>
      <c r="W4910"/>
      <c r="X4910"/>
    </row>
    <row r="4911" spans="5:24" x14ac:dyDescent="0.3">
      <c r="E4911" s="173"/>
      <c r="F4911" s="173"/>
      <c r="I4911"/>
      <c r="J4911"/>
      <c r="K4911"/>
      <c r="L4911"/>
      <c r="M4911"/>
      <c r="N4911"/>
      <c r="O4911"/>
      <c r="P4911" s="225"/>
      <c r="Q4911" s="225"/>
      <c r="R4911"/>
      <c r="S4911"/>
      <c r="T4911"/>
      <c r="U4911"/>
      <c r="V4911"/>
      <c r="W4911"/>
      <c r="X4911"/>
    </row>
    <row r="4912" spans="5:24" x14ac:dyDescent="0.3">
      <c r="E4912" s="173"/>
      <c r="F4912" s="173"/>
      <c r="I4912"/>
      <c r="J4912"/>
      <c r="K4912"/>
      <c r="L4912"/>
      <c r="M4912"/>
      <c r="N4912"/>
      <c r="O4912"/>
      <c r="P4912" s="225"/>
      <c r="Q4912" s="225"/>
      <c r="R4912"/>
      <c r="S4912"/>
      <c r="T4912"/>
      <c r="U4912"/>
      <c r="V4912"/>
      <c r="W4912"/>
      <c r="X4912"/>
    </row>
    <row r="4913" spans="5:24" x14ac:dyDescent="0.3">
      <c r="E4913" s="173"/>
      <c r="F4913" s="173"/>
      <c r="I4913"/>
      <c r="J4913"/>
      <c r="K4913"/>
      <c r="L4913"/>
      <c r="M4913"/>
      <c r="N4913"/>
      <c r="O4913"/>
      <c r="P4913" s="225"/>
      <c r="Q4913" s="225"/>
      <c r="R4913"/>
      <c r="S4913"/>
      <c r="T4913"/>
      <c r="U4913"/>
      <c r="V4913"/>
      <c r="W4913"/>
      <c r="X4913"/>
    </row>
    <row r="4914" spans="5:24" x14ac:dyDescent="0.3">
      <c r="E4914" s="173"/>
      <c r="F4914" s="173"/>
      <c r="I4914"/>
      <c r="J4914"/>
      <c r="K4914"/>
      <c r="L4914"/>
      <c r="M4914"/>
      <c r="N4914"/>
      <c r="O4914"/>
      <c r="P4914" s="225"/>
      <c r="Q4914" s="225"/>
      <c r="R4914"/>
      <c r="S4914"/>
      <c r="T4914"/>
      <c r="U4914"/>
      <c r="V4914"/>
      <c r="W4914"/>
      <c r="X4914"/>
    </row>
    <row r="4915" spans="5:24" x14ac:dyDescent="0.3">
      <c r="E4915" s="173"/>
      <c r="F4915" s="173"/>
      <c r="I4915"/>
      <c r="J4915"/>
      <c r="K4915"/>
      <c r="L4915"/>
      <c r="M4915"/>
      <c r="N4915"/>
      <c r="O4915"/>
      <c r="P4915" s="225"/>
      <c r="Q4915" s="225"/>
      <c r="R4915"/>
      <c r="S4915"/>
      <c r="T4915"/>
      <c r="U4915"/>
      <c r="V4915"/>
      <c r="W4915"/>
      <c r="X4915"/>
    </row>
    <row r="4916" spans="5:24" x14ac:dyDescent="0.3">
      <c r="E4916" s="173"/>
      <c r="F4916" s="173"/>
      <c r="I4916"/>
      <c r="J4916"/>
      <c r="K4916"/>
      <c r="L4916"/>
      <c r="M4916"/>
      <c r="N4916"/>
      <c r="O4916"/>
      <c r="P4916" s="225"/>
      <c r="Q4916" s="225"/>
      <c r="R4916"/>
      <c r="S4916"/>
      <c r="T4916"/>
      <c r="U4916"/>
      <c r="V4916"/>
      <c r="W4916"/>
      <c r="X4916"/>
    </row>
    <row r="4917" spans="5:24" x14ac:dyDescent="0.3">
      <c r="E4917" s="173"/>
      <c r="F4917" s="173"/>
      <c r="I4917"/>
      <c r="J4917"/>
      <c r="K4917"/>
      <c r="L4917"/>
      <c r="M4917"/>
      <c r="N4917"/>
      <c r="O4917"/>
      <c r="P4917" s="225"/>
      <c r="Q4917" s="225"/>
      <c r="R4917"/>
      <c r="S4917"/>
      <c r="T4917"/>
      <c r="U4917"/>
      <c r="V4917"/>
      <c r="W4917"/>
      <c r="X4917"/>
    </row>
    <row r="4918" spans="5:24" x14ac:dyDescent="0.3">
      <c r="E4918" s="173"/>
      <c r="F4918" s="173"/>
      <c r="I4918"/>
      <c r="J4918"/>
      <c r="K4918"/>
      <c r="L4918"/>
      <c r="M4918"/>
      <c r="N4918"/>
      <c r="O4918"/>
      <c r="P4918" s="225"/>
      <c r="Q4918" s="225"/>
      <c r="R4918"/>
      <c r="S4918"/>
      <c r="T4918"/>
      <c r="U4918"/>
      <c r="V4918"/>
      <c r="W4918"/>
      <c r="X4918"/>
    </row>
    <row r="4919" spans="5:24" x14ac:dyDescent="0.3">
      <c r="E4919" s="173"/>
      <c r="F4919" s="173"/>
      <c r="I4919"/>
      <c r="J4919"/>
      <c r="K4919"/>
      <c r="L4919"/>
      <c r="M4919"/>
      <c r="N4919"/>
      <c r="O4919"/>
      <c r="P4919" s="225"/>
      <c r="Q4919" s="225"/>
      <c r="R4919"/>
      <c r="S4919"/>
      <c r="T4919"/>
      <c r="U4919"/>
      <c r="V4919"/>
      <c r="W4919"/>
      <c r="X4919"/>
    </row>
    <row r="4920" spans="5:24" x14ac:dyDescent="0.3">
      <c r="E4920" s="173"/>
      <c r="F4920" s="173"/>
      <c r="I4920"/>
      <c r="J4920"/>
      <c r="K4920"/>
      <c r="L4920"/>
      <c r="M4920"/>
      <c r="N4920"/>
      <c r="O4920"/>
      <c r="P4920" s="225"/>
      <c r="Q4920" s="225"/>
      <c r="R4920"/>
      <c r="S4920"/>
      <c r="T4920"/>
      <c r="U4920"/>
      <c r="V4920"/>
      <c r="W4920"/>
      <c r="X4920"/>
    </row>
    <row r="4921" spans="5:24" x14ac:dyDescent="0.3">
      <c r="E4921" s="173"/>
      <c r="F4921" s="173"/>
      <c r="I4921"/>
      <c r="J4921"/>
      <c r="K4921"/>
      <c r="L4921"/>
      <c r="M4921"/>
      <c r="N4921"/>
      <c r="O4921"/>
      <c r="P4921" s="225"/>
      <c r="Q4921" s="225"/>
      <c r="R4921"/>
      <c r="S4921"/>
      <c r="T4921"/>
      <c r="U4921"/>
      <c r="V4921"/>
      <c r="W4921"/>
      <c r="X4921"/>
    </row>
    <row r="4922" spans="5:24" x14ac:dyDescent="0.3">
      <c r="E4922" s="173"/>
      <c r="F4922" s="173"/>
      <c r="I4922"/>
      <c r="J4922"/>
      <c r="K4922"/>
      <c r="L4922"/>
      <c r="M4922"/>
      <c r="N4922"/>
      <c r="O4922"/>
      <c r="P4922" s="225"/>
      <c r="Q4922" s="225"/>
      <c r="R4922"/>
      <c r="S4922"/>
      <c r="T4922"/>
      <c r="U4922"/>
      <c r="V4922"/>
      <c r="W4922"/>
      <c r="X4922"/>
    </row>
    <row r="4923" spans="5:24" x14ac:dyDescent="0.3">
      <c r="E4923" s="173"/>
      <c r="F4923" s="173"/>
      <c r="I4923"/>
      <c r="J4923"/>
      <c r="K4923"/>
      <c r="L4923"/>
      <c r="M4923"/>
      <c r="N4923"/>
      <c r="O4923"/>
      <c r="P4923" s="225"/>
      <c r="Q4923" s="225"/>
      <c r="R4923"/>
      <c r="S4923"/>
      <c r="T4923"/>
      <c r="U4923"/>
      <c r="V4923"/>
      <c r="W4923"/>
      <c r="X4923"/>
    </row>
    <row r="4924" spans="5:24" x14ac:dyDescent="0.3">
      <c r="E4924" s="173"/>
      <c r="F4924" s="173"/>
      <c r="I4924"/>
      <c r="J4924"/>
      <c r="K4924"/>
      <c r="L4924"/>
      <c r="M4924"/>
      <c r="N4924"/>
      <c r="O4924"/>
      <c r="P4924" s="225"/>
      <c r="Q4924" s="225"/>
      <c r="R4924"/>
      <c r="S4924"/>
      <c r="T4924"/>
      <c r="U4924"/>
      <c r="V4924"/>
      <c r="W4924"/>
      <c r="X4924"/>
    </row>
    <row r="4925" spans="5:24" x14ac:dyDescent="0.3">
      <c r="E4925" s="173"/>
      <c r="F4925" s="173"/>
      <c r="I4925"/>
      <c r="J4925"/>
      <c r="K4925"/>
      <c r="L4925"/>
      <c r="M4925"/>
      <c r="N4925"/>
      <c r="O4925"/>
      <c r="P4925" s="225"/>
      <c r="Q4925" s="225"/>
      <c r="R4925"/>
      <c r="S4925"/>
      <c r="T4925"/>
      <c r="U4925"/>
      <c r="V4925"/>
      <c r="W4925"/>
      <c r="X4925"/>
    </row>
    <row r="4926" spans="5:24" x14ac:dyDescent="0.3">
      <c r="E4926" s="173"/>
      <c r="F4926" s="173"/>
      <c r="I4926"/>
      <c r="J4926"/>
      <c r="K4926"/>
      <c r="L4926"/>
      <c r="M4926"/>
      <c r="N4926"/>
      <c r="O4926"/>
      <c r="P4926" s="225"/>
      <c r="Q4926" s="225"/>
      <c r="R4926"/>
      <c r="S4926"/>
      <c r="T4926"/>
      <c r="U4926"/>
      <c r="V4926"/>
      <c r="W4926"/>
      <c r="X4926"/>
    </row>
    <row r="4927" spans="5:24" x14ac:dyDescent="0.3">
      <c r="E4927" s="173"/>
      <c r="F4927" s="173"/>
      <c r="I4927"/>
      <c r="J4927"/>
      <c r="K4927"/>
      <c r="L4927"/>
      <c r="M4927"/>
      <c r="N4927"/>
      <c r="O4927"/>
      <c r="P4927" s="225"/>
      <c r="Q4927" s="225"/>
      <c r="R4927"/>
      <c r="S4927"/>
      <c r="T4927"/>
      <c r="U4927"/>
      <c r="V4927"/>
      <c r="W4927"/>
      <c r="X4927"/>
    </row>
    <row r="4928" spans="5:24" x14ac:dyDescent="0.3">
      <c r="E4928" s="173"/>
      <c r="F4928" s="173"/>
      <c r="I4928"/>
      <c r="J4928"/>
      <c r="K4928"/>
      <c r="L4928"/>
      <c r="M4928"/>
      <c r="N4928"/>
      <c r="O4928"/>
      <c r="P4928" s="225"/>
      <c r="Q4928" s="225"/>
      <c r="R4928"/>
      <c r="S4928"/>
      <c r="T4928"/>
      <c r="U4928"/>
      <c r="V4928"/>
      <c r="W4928"/>
      <c r="X4928"/>
    </row>
    <row r="4929" spans="5:24" x14ac:dyDescent="0.3">
      <c r="E4929" s="173"/>
      <c r="F4929" s="173"/>
      <c r="I4929"/>
      <c r="J4929"/>
      <c r="K4929"/>
      <c r="L4929"/>
      <c r="M4929"/>
      <c r="N4929"/>
      <c r="O4929"/>
      <c r="P4929" s="225"/>
      <c r="Q4929" s="225"/>
      <c r="R4929"/>
      <c r="S4929"/>
      <c r="T4929"/>
      <c r="U4929"/>
      <c r="V4929"/>
      <c r="W4929"/>
      <c r="X4929"/>
    </row>
    <row r="4930" spans="5:24" x14ac:dyDescent="0.3">
      <c r="E4930" s="173"/>
      <c r="F4930" s="173"/>
      <c r="I4930"/>
      <c r="J4930"/>
      <c r="K4930"/>
      <c r="L4930"/>
      <c r="M4930"/>
      <c r="N4930"/>
      <c r="O4930"/>
      <c r="P4930" s="225"/>
      <c r="Q4930" s="225"/>
      <c r="R4930"/>
      <c r="S4930"/>
      <c r="T4930"/>
      <c r="U4930"/>
      <c r="V4930"/>
      <c r="W4930"/>
      <c r="X4930"/>
    </row>
    <row r="4931" spans="5:24" x14ac:dyDescent="0.3">
      <c r="E4931" s="173"/>
      <c r="F4931" s="173"/>
      <c r="I4931"/>
      <c r="J4931"/>
      <c r="K4931"/>
      <c r="L4931"/>
      <c r="M4931"/>
      <c r="N4931"/>
      <c r="O4931"/>
      <c r="P4931" s="225"/>
      <c r="Q4931" s="225"/>
      <c r="R4931"/>
      <c r="S4931"/>
      <c r="T4931"/>
      <c r="U4931"/>
      <c r="V4931"/>
      <c r="W4931"/>
      <c r="X4931"/>
    </row>
    <row r="4932" spans="5:24" x14ac:dyDescent="0.3">
      <c r="E4932" s="173"/>
      <c r="F4932" s="173"/>
      <c r="I4932"/>
      <c r="J4932"/>
      <c r="K4932"/>
      <c r="L4932"/>
      <c r="M4932"/>
      <c r="N4932"/>
      <c r="O4932"/>
      <c r="P4932" s="225"/>
      <c r="Q4932" s="225"/>
      <c r="R4932"/>
      <c r="S4932"/>
      <c r="T4932"/>
      <c r="U4932"/>
      <c r="V4932"/>
      <c r="W4932"/>
      <c r="X4932"/>
    </row>
    <row r="4933" spans="5:24" x14ac:dyDescent="0.3">
      <c r="E4933" s="173"/>
      <c r="F4933" s="173"/>
      <c r="I4933"/>
      <c r="J4933"/>
      <c r="K4933"/>
      <c r="L4933"/>
      <c r="M4933"/>
      <c r="N4933"/>
      <c r="O4933"/>
      <c r="P4933" s="225"/>
      <c r="Q4933" s="225"/>
      <c r="R4933"/>
      <c r="S4933"/>
      <c r="T4933"/>
      <c r="U4933"/>
      <c r="V4933"/>
      <c r="W4933"/>
      <c r="X4933"/>
    </row>
    <row r="4934" spans="5:24" x14ac:dyDescent="0.3">
      <c r="E4934" s="173"/>
      <c r="F4934" s="173"/>
      <c r="I4934"/>
      <c r="J4934"/>
      <c r="K4934"/>
      <c r="L4934"/>
      <c r="M4934"/>
      <c r="N4934"/>
      <c r="O4934"/>
      <c r="P4934" s="225"/>
      <c r="Q4934" s="225"/>
      <c r="R4934"/>
      <c r="S4934"/>
      <c r="T4934"/>
      <c r="U4934"/>
      <c r="V4934"/>
      <c r="W4934"/>
      <c r="X4934"/>
    </row>
    <row r="4935" spans="5:24" x14ac:dyDescent="0.3">
      <c r="E4935" s="173"/>
      <c r="F4935" s="173"/>
      <c r="I4935"/>
      <c r="J4935"/>
      <c r="K4935"/>
      <c r="L4935"/>
      <c r="M4935"/>
      <c r="N4935"/>
      <c r="O4935"/>
      <c r="P4935" s="225"/>
      <c r="Q4935" s="225"/>
      <c r="R4935"/>
      <c r="S4935"/>
      <c r="T4935"/>
      <c r="U4935"/>
      <c r="V4935"/>
      <c r="W4935"/>
      <c r="X4935"/>
    </row>
    <row r="4936" spans="5:24" x14ac:dyDescent="0.3">
      <c r="E4936" s="173"/>
      <c r="F4936" s="173"/>
      <c r="I4936"/>
      <c r="J4936"/>
      <c r="K4936"/>
      <c r="L4936"/>
      <c r="M4936"/>
      <c r="N4936"/>
      <c r="O4936"/>
      <c r="P4936" s="225"/>
      <c r="Q4936" s="225"/>
      <c r="R4936"/>
      <c r="S4936"/>
      <c r="T4936"/>
      <c r="U4936"/>
      <c r="V4936"/>
      <c r="W4936"/>
      <c r="X4936"/>
    </row>
    <row r="4937" spans="5:24" x14ac:dyDescent="0.3">
      <c r="E4937" s="173"/>
      <c r="F4937" s="173"/>
      <c r="I4937"/>
      <c r="J4937"/>
      <c r="K4937"/>
      <c r="L4937"/>
      <c r="M4937"/>
      <c r="N4937"/>
      <c r="O4937"/>
      <c r="P4937" s="225"/>
      <c r="Q4937" s="225"/>
      <c r="R4937"/>
      <c r="S4937"/>
      <c r="T4937"/>
      <c r="U4937"/>
      <c r="V4937"/>
      <c r="W4937"/>
      <c r="X4937"/>
    </row>
    <row r="4938" spans="5:24" x14ac:dyDescent="0.3">
      <c r="E4938" s="173"/>
      <c r="F4938" s="173"/>
      <c r="I4938"/>
      <c r="J4938"/>
      <c r="K4938"/>
      <c r="L4938"/>
      <c r="M4938"/>
      <c r="N4938"/>
      <c r="O4938"/>
      <c r="P4938" s="225"/>
      <c r="Q4938" s="225"/>
      <c r="R4938"/>
      <c r="S4938"/>
      <c r="T4938"/>
      <c r="U4938"/>
      <c r="V4938"/>
      <c r="W4938"/>
      <c r="X4938"/>
    </row>
    <row r="4939" spans="5:24" x14ac:dyDescent="0.3">
      <c r="E4939" s="173"/>
      <c r="F4939" s="173"/>
      <c r="I4939"/>
      <c r="J4939"/>
      <c r="K4939"/>
      <c r="L4939"/>
      <c r="M4939"/>
      <c r="N4939"/>
      <c r="O4939"/>
      <c r="P4939" s="225"/>
      <c r="Q4939" s="225"/>
      <c r="R4939"/>
      <c r="S4939"/>
      <c r="T4939"/>
      <c r="U4939"/>
      <c r="V4939"/>
      <c r="W4939"/>
      <c r="X4939"/>
    </row>
    <row r="4940" spans="5:24" x14ac:dyDescent="0.3">
      <c r="E4940" s="173"/>
      <c r="F4940" s="173"/>
      <c r="I4940"/>
      <c r="J4940"/>
      <c r="K4940"/>
      <c r="L4940"/>
      <c r="M4940"/>
      <c r="N4940"/>
      <c r="O4940"/>
      <c r="P4940" s="225"/>
      <c r="Q4940" s="225"/>
      <c r="R4940"/>
      <c r="S4940"/>
      <c r="T4940"/>
      <c r="U4940"/>
      <c r="V4940"/>
      <c r="W4940"/>
      <c r="X4940"/>
    </row>
    <row r="4941" spans="5:24" x14ac:dyDescent="0.3">
      <c r="E4941" s="173"/>
      <c r="F4941" s="173"/>
      <c r="I4941"/>
      <c r="J4941"/>
      <c r="K4941"/>
      <c r="L4941"/>
      <c r="M4941"/>
      <c r="N4941"/>
      <c r="O4941"/>
      <c r="P4941" s="225"/>
      <c r="Q4941" s="225"/>
      <c r="R4941"/>
      <c r="S4941"/>
      <c r="T4941"/>
      <c r="U4941"/>
      <c r="V4941"/>
      <c r="W4941"/>
      <c r="X4941"/>
    </row>
    <row r="4942" spans="5:24" x14ac:dyDescent="0.3">
      <c r="E4942" s="173"/>
      <c r="F4942" s="173"/>
      <c r="I4942"/>
      <c r="J4942"/>
      <c r="K4942"/>
      <c r="L4942"/>
      <c r="M4942"/>
      <c r="N4942"/>
      <c r="O4942"/>
      <c r="P4942" s="225"/>
      <c r="Q4942" s="225"/>
      <c r="R4942"/>
      <c r="S4942"/>
      <c r="T4942"/>
      <c r="U4942"/>
      <c r="V4942"/>
      <c r="W4942"/>
      <c r="X4942"/>
    </row>
    <row r="4943" spans="5:24" x14ac:dyDescent="0.3">
      <c r="E4943" s="173"/>
      <c r="F4943" s="173"/>
      <c r="I4943"/>
      <c r="J4943"/>
      <c r="K4943"/>
      <c r="L4943"/>
      <c r="M4943"/>
      <c r="N4943"/>
      <c r="O4943"/>
      <c r="P4943" s="225"/>
      <c r="Q4943" s="225"/>
      <c r="R4943"/>
      <c r="S4943"/>
      <c r="T4943"/>
      <c r="U4943"/>
      <c r="V4943"/>
      <c r="W4943"/>
      <c r="X4943"/>
    </row>
    <row r="4944" spans="5:24" x14ac:dyDescent="0.3">
      <c r="E4944" s="173"/>
      <c r="F4944" s="173"/>
      <c r="I4944"/>
      <c r="J4944"/>
      <c r="K4944"/>
      <c r="L4944"/>
      <c r="M4944"/>
      <c r="N4944"/>
      <c r="O4944"/>
      <c r="P4944" s="225"/>
      <c r="Q4944" s="225"/>
      <c r="R4944"/>
      <c r="S4944"/>
      <c r="T4944"/>
      <c r="U4944"/>
      <c r="V4944"/>
      <c r="W4944"/>
      <c r="X4944"/>
    </row>
    <row r="4945" spans="5:24" x14ac:dyDescent="0.3">
      <c r="E4945" s="173"/>
      <c r="F4945" s="173"/>
      <c r="I4945"/>
      <c r="J4945"/>
      <c r="K4945"/>
      <c r="L4945"/>
      <c r="M4945"/>
      <c r="N4945"/>
      <c r="O4945"/>
      <c r="P4945" s="225"/>
      <c r="Q4945" s="225"/>
      <c r="R4945"/>
      <c r="S4945"/>
      <c r="T4945"/>
      <c r="U4945"/>
      <c r="V4945"/>
      <c r="W4945"/>
      <c r="X4945"/>
    </row>
    <row r="4946" spans="5:24" x14ac:dyDescent="0.3">
      <c r="E4946" s="173"/>
      <c r="F4946" s="173"/>
      <c r="I4946"/>
      <c r="J4946"/>
      <c r="K4946"/>
      <c r="L4946"/>
      <c r="M4946"/>
      <c r="N4946"/>
      <c r="O4946"/>
      <c r="P4946" s="225"/>
      <c r="Q4946" s="225"/>
      <c r="R4946"/>
      <c r="S4946"/>
      <c r="T4946"/>
      <c r="U4946"/>
      <c r="V4946"/>
      <c r="W4946"/>
      <c r="X4946"/>
    </row>
    <row r="4947" spans="5:24" x14ac:dyDescent="0.3">
      <c r="E4947" s="173"/>
      <c r="F4947" s="173"/>
      <c r="I4947"/>
      <c r="J4947"/>
      <c r="K4947"/>
      <c r="L4947"/>
      <c r="M4947"/>
      <c r="N4947"/>
      <c r="O4947"/>
      <c r="P4947" s="225"/>
      <c r="Q4947" s="225"/>
      <c r="R4947"/>
      <c r="S4947"/>
      <c r="T4947"/>
      <c r="U4947"/>
      <c r="V4947"/>
      <c r="W4947"/>
      <c r="X4947"/>
    </row>
    <row r="4948" spans="5:24" x14ac:dyDescent="0.3">
      <c r="E4948" s="173"/>
      <c r="F4948" s="173"/>
      <c r="I4948"/>
      <c r="J4948"/>
      <c r="K4948"/>
      <c r="L4948"/>
      <c r="M4948"/>
      <c r="N4948"/>
      <c r="O4948"/>
      <c r="P4948" s="225"/>
      <c r="Q4948" s="225"/>
      <c r="R4948"/>
      <c r="S4948"/>
      <c r="T4948"/>
      <c r="U4948"/>
      <c r="V4948"/>
      <c r="W4948"/>
      <c r="X4948"/>
    </row>
    <row r="4949" spans="5:24" x14ac:dyDescent="0.3">
      <c r="E4949" s="173"/>
      <c r="F4949" s="173"/>
      <c r="I4949"/>
      <c r="J4949"/>
      <c r="K4949"/>
      <c r="L4949"/>
      <c r="M4949"/>
      <c r="N4949"/>
      <c r="O4949"/>
      <c r="P4949" s="225"/>
      <c r="Q4949" s="225"/>
      <c r="R4949"/>
      <c r="S4949"/>
      <c r="T4949"/>
      <c r="U4949"/>
      <c r="V4949"/>
      <c r="W4949"/>
      <c r="X4949"/>
    </row>
    <row r="4950" spans="5:24" x14ac:dyDescent="0.3">
      <c r="E4950" s="173"/>
      <c r="F4950" s="173"/>
      <c r="I4950"/>
      <c r="J4950"/>
      <c r="K4950"/>
      <c r="L4950"/>
      <c r="M4950"/>
      <c r="N4950"/>
      <c r="O4950"/>
      <c r="P4950" s="225"/>
      <c r="Q4950" s="225"/>
      <c r="R4950"/>
      <c r="S4950"/>
      <c r="T4950"/>
      <c r="U4950"/>
      <c r="V4950"/>
      <c r="W4950"/>
      <c r="X4950"/>
    </row>
    <row r="4951" spans="5:24" x14ac:dyDescent="0.3">
      <c r="E4951" s="173"/>
      <c r="F4951" s="173"/>
      <c r="I4951"/>
      <c r="J4951"/>
      <c r="K4951"/>
      <c r="L4951"/>
      <c r="M4951"/>
      <c r="N4951"/>
      <c r="O4951"/>
      <c r="P4951" s="225"/>
      <c r="Q4951" s="225"/>
      <c r="R4951"/>
      <c r="S4951"/>
      <c r="T4951"/>
      <c r="U4951"/>
      <c r="V4951"/>
      <c r="W4951"/>
      <c r="X4951"/>
    </row>
    <row r="4952" spans="5:24" x14ac:dyDescent="0.3">
      <c r="E4952" s="173"/>
      <c r="F4952" s="173"/>
      <c r="I4952"/>
      <c r="J4952"/>
      <c r="K4952"/>
      <c r="L4952"/>
      <c r="M4952"/>
      <c r="N4952"/>
      <c r="O4952"/>
      <c r="P4952" s="225"/>
      <c r="Q4952" s="225"/>
      <c r="R4952"/>
      <c r="S4952"/>
      <c r="T4952"/>
      <c r="U4952"/>
      <c r="V4952"/>
      <c r="W4952"/>
      <c r="X4952"/>
    </row>
    <row r="4953" spans="5:24" x14ac:dyDescent="0.3">
      <c r="E4953" s="173"/>
      <c r="F4953" s="173"/>
      <c r="I4953"/>
      <c r="J4953"/>
      <c r="K4953"/>
      <c r="L4953"/>
      <c r="M4953"/>
      <c r="N4953"/>
      <c r="O4953"/>
      <c r="P4953" s="225"/>
      <c r="Q4953" s="225"/>
      <c r="R4953"/>
      <c r="S4953"/>
      <c r="T4953"/>
      <c r="U4953"/>
      <c r="V4953"/>
      <c r="W4953"/>
      <c r="X4953"/>
    </row>
    <row r="4954" spans="5:24" x14ac:dyDescent="0.3">
      <c r="E4954" s="173"/>
      <c r="F4954" s="173"/>
      <c r="I4954"/>
      <c r="J4954"/>
      <c r="K4954"/>
      <c r="L4954"/>
      <c r="M4954"/>
      <c r="N4954"/>
      <c r="O4954"/>
      <c r="P4954" s="225"/>
      <c r="Q4954" s="225"/>
      <c r="R4954"/>
      <c r="S4954"/>
      <c r="T4954"/>
      <c r="U4954"/>
      <c r="V4954"/>
      <c r="W4954"/>
      <c r="X4954"/>
    </row>
    <row r="4955" spans="5:24" x14ac:dyDescent="0.3">
      <c r="E4955" s="173"/>
      <c r="F4955" s="173"/>
      <c r="I4955"/>
      <c r="J4955"/>
      <c r="K4955"/>
      <c r="L4955"/>
      <c r="M4955"/>
      <c r="N4955"/>
      <c r="O4955"/>
      <c r="P4955" s="225"/>
      <c r="Q4955" s="225"/>
      <c r="R4955"/>
      <c r="S4955"/>
      <c r="T4955"/>
      <c r="U4955"/>
      <c r="V4955"/>
      <c r="W4955"/>
      <c r="X4955"/>
    </row>
    <row r="4956" spans="5:24" x14ac:dyDescent="0.3">
      <c r="E4956" s="173"/>
      <c r="F4956" s="173"/>
      <c r="I4956"/>
      <c r="J4956"/>
      <c r="K4956"/>
      <c r="L4956"/>
      <c r="M4956"/>
      <c r="N4956"/>
      <c r="O4956"/>
      <c r="P4956" s="225"/>
      <c r="Q4956" s="225"/>
      <c r="R4956"/>
      <c r="S4956"/>
      <c r="T4956"/>
      <c r="U4956"/>
      <c r="V4956"/>
      <c r="W4956"/>
      <c r="X4956"/>
    </row>
    <row r="4957" spans="5:24" x14ac:dyDescent="0.3">
      <c r="E4957" s="173"/>
      <c r="F4957" s="173"/>
      <c r="I4957"/>
      <c r="J4957"/>
      <c r="K4957"/>
      <c r="L4957"/>
      <c r="M4957"/>
      <c r="N4957"/>
      <c r="O4957"/>
      <c r="P4957" s="225"/>
      <c r="Q4957" s="225"/>
      <c r="R4957"/>
      <c r="S4957"/>
      <c r="T4957"/>
      <c r="U4957"/>
      <c r="V4957"/>
      <c r="W4957"/>
      <c r="X4957"/>
    </row>
    <row r="4958" spans="5:24" x14ac:dyDescent="0.3">
      <c r="E4958" s="173"/>
      <c r="F4958" s="173"/>
      <c r="I4958"/>
      <c r="J4958"/>
      <c r="K4958"/>
      <c r="L4958"/>
      <c r="M4958"/>
      <c r="N4958"/>
      <c r="O4958"/>
      <c r="P4958" s="225"/>
      <c r="Q4958" s="225"/>
      <c r="R4958"/>
      <c r="S4958"/>
      <c r="T4958"/>
      <c r="U4958"/>
      <c r="V4958"/>
      <c r="W4958"/>
      <c r="X4958"/>
    </row>
    <row r="4959" spans="5:24" x14ac:dyDescent="0.3">
      <c r="E4959" s="173"/>
      <c r="F4959" s="173"/>
      <c r="I4959"/>
      <c r="J4959"/>
      <c r="K4959"/>
      <c r="L4959"/>
      <c r="M4959"/>
      <c r="N4959"/>
      <c r="O4959"/>
      <c r="P4959" s="225"/>
      <c r="Q4959" s="225"/>
      <c r="R4959"/>
      <c r="S4959"/>
      <c r="T4959"/>
      <c r="U4959"/>
      <c r="V4959"/>
      <c r="W4959"/>
      <c r="X4959"/>
    </row>
    <row r="4960" spans="5:24" x14ac:dyDescent="0.3">
      <c r="E4960" s="173"/>
      <c r="F4960" s="173"/>
      <c r="I4960"/>
      <c r="J4960"/>
      <c r="K4960"/>
      <c r="L4960"/>
      <c r="M4960"/>
      <c r="N4960"/>
      <c r="O4960"/>
      <c r="P4960" s="225"/>
      <c r="Q4960" s="225"/>
      <c r="R4960"/>
      <c r="S4960"/>
      <c r="T4960"/>
      <c r="U4960"/>
      <c r="V4960"/>
      <c r="W4960"/>
      <c r="X4960"/>
    </row>
    <row r="4961" spans="5:24" x14ac:dyDescent="0.3">
      <c r="E4961" s="173"/>
      <c r="F4961" s="173"/>
      <c r="I4961"/>
      <c r="J4961"/>
      <c r="K4961"/>
      <c r="L4961"/>
      <c r="M4961"/>
      <c r="N4961"/>
      <c r="O4961"/>
      <c r="P4961" s="225"/>
      <c r="Q4961" s="225"/>
      <c r="R4961"/>
      <c r="S4961"/>
      <c r="T4961"/>
      <c r="U4961"/>
      <c r="V4961"/>
      <c r="W4961"/>
      <c r="X4961"/>
    </row>
    <row r="4962" spans="5:24" x14ac:dyDescent="0.3">
      <c r="E4962" s="173"/>
      <c r="F4962" s="173"/>
      <c r="I4962"/>
      <c r="J4962"/>
      <c r="K4962"/>
      <c r="L4962"/>
      <c r="M4962"/>
      <c r="N4962"/>
      <c r="O4962"/>
      <c r="P4962" s="225"/>
      <c r="Q4962" s="225"/>
      <c r="R4962"/>
      <c r="S4962"/>
      <c r="T4962"/>
      <c r="U4962"/>
      <c r="V4962"/>
      <c r="W4962"/>
      <c r="X4962"/>
    </row>
    <row r="4963" spans="5:24" x14ac:dyDescent="0.3">
      <c r="E4963" s="173"/>
      <c r="F4963" s="173"/>
      <c r="I4963"/>
      <c r="J4963"/>
      <c r="K4963"/>
      <c r="L4963"/>
      <c r="M4963"/>
      <c r="N4963"/>
      <c r="O4963"/>
      <c r="P4963" s="225"/>
      <c r="Q4963" s="225"/>
      <c r="R4963"/>
      <c r="S4963"/>
      <c r="T4963"/>
      <c r="U4963"/>
      <c r="V4963"/>
      <c r="W4963"/>
      <c r="X4963"/>
    </row>
    <row r="4964" spans="5:24" x14ac:dyDescent="0.3">
      <c r="E4964" s="173"/>
      <c r="F4964" s="173"/>
      <c r="I4964"/>
      <c r="J4964"/>
      <c r="K4964"/>
      <c r="L4964"/>
      <c r="M4964"/>
      <c r="N4964"/>
      <c r="O4964"/>
      <c r="P4964" s="225"/>
      <c r="Q4964" s="225"/>
      <c r="R4964"/>
      <c r="S4964"/>
      <c r="T4964"/>
      <c r="U4964"/>
      <c r="V4964"/>
      <c r="W4964"/>
      <c r="X4964"/>
    </row>
    <row r="4965" spans="5:24" x14ac:dyDescent="0.3">
      <c r="E4965" s="173"/>
      <c r="F4965" s="173"/>
      <c r="I4965"/>
      <c r="J4965"/>
      <c r="K4965"/>
      <c r="L4965"/>
      <c r="M4965"/>
      <c r="N4965"/>
      <c r="O4965"/>
      <c r="P4965" s="225"/>
      <c r="Q4965" s="225"/>
      <c r="R4965"/>
      <c r="S4965"/>
      <c r="T4965"/>
      <c r="U4965"/>
      <c r="V4965"/>
      <c r="W4965"/>
      <c r="X4965"/>
    </row>
    <row r="4966" spans="5:24" x14ac:dyDescent="0.3">
      <c r="E4966" s="173"/>
      <c r="F4966" s="173"/>
      <c r="I4966"/>
      <c r="J4966"/>
      <c r="K4966"/>
      <c r="L4966"/>
      <c r="M4966"/>
      <c r="N4966"/>
      <c r="O4966"/>
      <c r="P4966" s="225"/>
      <c r="Q4966" s="225"/>
      <c r="R4966"/>
      <c r="S4966"/>
      <c r="T4966"/>
      <c r="U4966"/>
      <c r="V4966"/>
      <c r="W4966"/>
      <c r="X4966"/>
    </row>
    <row r="4967" spans="5:24" x14ac:dyDescent="0.3">
      <c r="E4967" s="173"/>
      <c r="F4967" s="173"/>
      <c r="I4967"/>
      <c r="J4967"/>
      <c r="K4967"/>
      <c r="L4967"/>
      <c r="M4967"/>
      <c r="N4967"/>
      <c r="O4967"/>
      <c r="P4967" s="225"/>
      <c r="Q4967" s="225"/>
      <c r="R4967"/>
      <c r="S4967"/>
      <c r="T4967"/>
      <c r="U4967"/>
      <c r="V4967"/>
      <c r="W4967"/>
      <c r="X4967"/>
    </row>
    <row r="4968" spans="5:24" x14ac:dyDescent="0.3">
      <c r="E4968" s="173"/>
      <c r="F4968" s="173"/>
      <c r="I4968"/>
      <c r="J4968"/>
      <c r="K4968"/>
      <c r="L4968"/>
      <c r="M4968"/>
      <c r="N4968"/>
      <c r="O4968"/>
      <c r="P4968" s="225"/>
      <c r="Q4968" s="225"/>
      <c r="R4968"/>
      <c r="S4968"/>
      <c r="T4968"/>
      <c r="U4968"/>
      <c r="V4968"/>
      <c r="W4968"/>
      <c r="X4968"/>
    </row>
    <row r="4969" spans="5:24" x14ac:dyDescent="0.3">
      <c r="E4969" s="173"/>
      <c r="F4969" s="173"/>
      <c r="I4969"/>
      <c r="J4969"/>
      <c r="K4969"/>
      <c r="L4969"/>
      <c r="M4969"/>
      <c r="N4969"/>
      <c r="O4969"/>
      <c r="P4969" s="225"/>
      <c r="Q4969" s="225"/>
      <c r="R4969"/>
      <c r="S4969"/>
      <c r="T4969"/>
      <c r="U4969"/>
      <c r="V4969"/>
      <c r="W4969"/>
      <c r="X4969"/>
    </row>
    <row r="4970" spans="5:24" x14ac:dyDescent="0.3">
      <c r="E4970" s="173"/>
      <c r="F4970" s="173"/>
      <c r="I4970"/>
      <c r="J4970"/>
      <c r="K4970"/>
      <c r="L4970"/>
      <c r="M4970"/>
      <c r="N4970"/>
      <c r="O4970"/>
      <c r="P4970" s="225"/>
      <c r="Q4970" s="225"/>
      <c r="R4970"/>
      <c r="S4970"/>
      <c r="T4970"/>
      <c r="U4970"/>
      <c r="V4970"/>
      <c r="W4970"/>
      <c r="X4970"/>
    </row>
    <row r="4971" spans="5:24" x14ac:dyDescent="0.3">
      <c r="E4971" s="173"/>
      <c r="F4971" s="173"/>
      <c r="I4971"/>
      <c r="J4971"/>
      <c r="K4971"/>
      <c r="L4971"/>
      <c r="M4971"/>
      <c r="N4971"/>
      <c r="O4971"/>
      <c r="P4971" s="225"/>
      <c r="Q4971" s="225"/>
      <c r="R4971"/>
      <c r="S4971"/>
      <c r="T4971"/>
      <c r="U4971"/>
      <c r="V4971"/>
      <c r="W4971"/>
      <c r="X4971"/>
    </row>
    <row r="4972" spans="5:24" x14ac:dyDescent="0.3">
      <c r="E4972" s="173"/>
      <c r="F4972" s="173"/>
      <c r="I4972"/>
      <c r="J4972"/>
      <c r="K4972"/>
      <c r="L4972"/>
      <c r="M4972"/>
      <c r="N4972"/>
      <c r="O4972"/>
      <c r="P4972" s="225"/>
      <c r="Q4972" s="225"/>
      <c r="R4972"/>
      <c r="S4972"/>
      <c r="T4972"/>
      <c r="U4972"/>
      <c r="V4972"/>
      <c r="W4972"/>
      <c r="X4972"/>
    </row>
    <row r="4973" spans="5:24" x14ac:dyDescent="0.3">
      <c r="E4973" s="173"/>
      <c r="F4973" s="173"/>
      <c r="I4973"/>
      <c r="J4973"/>
      <c r="K4973"/>
      <c r="L4973"/>
      <c r="M4973"/>
      <c r="N4973"/>
      <c r="O4973"/>
      <c r="P4973" s="225"/>
      <c r="Q4973" s="225"/>
      <c r="R4973"/>
      <c r="S4973"/>
      <c r="T4973"/>
      <c r="U4973"/>
      <c r="V4973"/>
      <c r="W4973"/>
      <c r="X4973"/>
    </row>
    <row r="4974" spans="5:24" x14ac:dyDescent="0.3">
      <c r="E4974" s="173"/>
      <c r="F4974" s="173"/>
      <c r="I4974"/>
      <c r="J4974"/>
      <c r="K4974"/>
      <c r="L4974"/>
      <c r="M4974"/>
      <c r="N4974"/>
      <c r="O4974"/>
      <c r="P4974" s="225"/>
      <c r="Q4974" s="225"/>
      <c r="R4974"/>
      <c r="S4974"/>
      <c r="T4974"/>
      <c r="U4974"/>
      <c r="V4974"/>
      <c r="W4974"/>
      <c r="X4974"/>
    </row>
    <row r="4975" spans="5:24" x14ac:dyDescent="0.3">
      <c r="E4975" s="173"/>
      <c r="F4975" s="173"/>
      <c r="I4975"/>
      <c r="J4975"/>
      <c r="K4975"/>
      <c r="L4975"/>
      <c r="M4975"/>
      <c r="N4975"/>
      <c r="O4975"/>
      <c r="P4975" s="225"/>
      <c r="Q4975" s="225"/>
      <c r="R4975"/>
      <c r="S4975"/>
      <c r="T4975"/>
      <c r="U4975"/>
      <c r="V4975"/>
      <c r="W4975"/>
      <c r="X4975"/>
    </row>
    <row r="4976" spans="5:24" x14ac:dyDescent="0.3">
      <c r="E4976" s="173"/>
      <c r="F4976" s="173"/>
      <c r="I4976"/>
      <c r="J4976"/>
      <c r="K4976"/>
      <c r="L4976"/>
      <c r="M4976"/>
      <c r="N4976"/>
      <c r="O4976"/>
      <c r="P4976" s="225"/>
      <c r="Q4976" s="225"/>
      <c r="R4976"/>
      <c r="S4976"/>
      <c r="T4976"/>
      <c r="U4976"/>
      <c r="V4976"/>
      <c r="W4976"/>
      <c r="X4976"/>
    </row>
    <row r="4977" spans="5:24" x14ac:dyDescent="0.3">
      <c r="E4977" s="173"/>
      <c r="F4977" s="173"/>
      <c r="I4977"/>
      <c r="J4977"/>
      <c r="K4977"/>
      <c r="L4977"/>
      <c r="M4977"/>
      <c r="N4977"/>
      <c r="O4977"/>
      <c r="P4977" s="225"/>
      <c r="Q4977" s="225"/>
      <c r="R4977"/>
      <c r="S4977"/>
      <c r="T4977"/>
      <c r="U4977"/>
      <c r="V4977"/>
      <c r="W4977"/>
      <c r="X4977"/>
    </row>
    <row r="4978" spans="5:24" x14ac:dyDescent="0.3">
      <c r="E4978" s="173"/>
      <c r="F4978" s="173"/>
      <c r="I4978"/>
      <c r="J4978"/>
      <c r="K4978"/>
      <c r="L4978"/>
      <c r="M4978"/>
      <c r="N4978"/>
      <c r="O4978"/>
      <c r="P4978" s="225"/>
      <c r="Q4978" s="225"/>
      <c r="R4978"/>
      <c r="S4978"/>
      <c r="T4978"/>
      <c r="U4978"/>
      <c r="V4978"/>
      <c r="W4978"/>
      <c r="X4978"/>
    </row>
    <row r="4979" spans="5:24" x14ac:dyDescent="0.3">
      <c r="E4979" s="173"/>
      <c r="F4979" s="173"/>
      <c r="I4979"/>
      <c r="J4979"/>
      <c r="K4979"/>
      <c r="L4979"/>
      <c r="M4979"/>
      <c r="N4979"/>
      <c r="O4979"/>
      <c r="P4979" s="225"/>
      <c r="Q4979" s="225"/>
      <c r="R4979"/>
      <c r="S4979"/>
      <c r="T4979"/>
      <c r="U4979"/>
      <c r="V4979"/>
      <c r="W4979"/>
      <c r="X4979"/>
    </row>
    <row r="4980" spans="5:24" x14ac:dyDescent="0.3">
      <c r="E4980" s="173"/>
      <c r="F4980" s="173"/>
      <c r="I4980"/>
      <c r="J4980"/>
      <c r="K4980"/>
      <c r="L4980"/>
      <c r="M4980"/>
      <c r="N4980"/>
      <c r="O4980"/>
      <c r="P4980" s="225"/>
      <c r="Q4980" s="225"/>
      <c r="R4980"/>
      <c r="S4980"/>
      <c r="T4980"/>
      <c r="U4980"/>
      <c r="V4980"/>
      <c r="W4980"/>
      <c r="X4980"/>
    </row>
    <row r="4981" spans="5:24" x14ac:dyDescent="0.3">
      <c r="E4981" s="173"/>
      <c r="F4981" s="173"/>
      <c r="I4981"/>
      <c r="J4981"/>
      <c r="K4981"/>
      <c r="L4981"/>
      <c r="M4981"/>
      <c r="N4981"/>
      <c r="O4981"/>
      <c r="P4981" s="225"/>
      <c r="Q4981" s="225"/>
      <c r="R4981"/>
      <c r="S4981"/>
      <c r="T4981"/>
      <c r="U4981"/>
      <c r="V4981"/>
      <c r="W4981"/>
      <c r="X4981"/>
    </row>
    <row r="4982" spans="5:24" x14ac:dyDescent="0.3">
      <c r="E4982" s="173"/>
      <c r="F4982" s="173"/>
      <c r="I4982"/>
      <c r="J4982"/>
      <c r="K4982"/>
      <c r="L4982"/>
      <c r="M4982"/>
      <c r="N4982"/>
      <c r="O4982"/>
      <c r="P4982" s="225"/>
      <c r="Q4982" s="225"/>
      <c r="R4982"/>
      <c r="S4982"/>
      <c r="T4982"/>
      <c r="U4982"/>
      <c r="V4982"/>
      <c r="W4982"/>
      <c r="X4982"/>
    </row>
    <row r="4983" spans="5:24" x14ac:dyDescent="0.3">
      <c r="E4983" s="173"/>
      <c r="F4983" s="173"/>
      <c r="I4983"/>
      <c r="J4983"/>
      <c r="K4983"/>
      <c r="L4983"/>
      <c r="M4983"/>
      <c r="N4983"/>
      <c r="O4983"/>
      <c r="P4983" s="225"/>
      <c r="Q4983" s="225"/>
      <c r="R4983"/>
      <c r="S4983"/>
      <c r="T4983"/>
      <c r="U4983"/>
      <c r="V4983"/>
      <c r="W4983"/>
      <c r="X4983"/>
    </row>
    <row r="4984" spans="5:24" x14ac:dyDescent="0.3">
      <c r="E4984" s="173"/>
      <c r="F4984" s="173"/>
      <c r="I4984"/>
      <c r="J4984"/>
      <c r="K4984"/>
      <c r="L4984"/>
      <c r="M4984"/>
      <c r="N4984"/>
      <c r="O4984"/>
      <c r="P4984" s="225"/>
      <c r="Q4984" s="225"/>
      <c r="R4984"/>
      <c r="S4984"/>
      <c r="T4984"/>
      <c r="U4984"/>
      <c r="V4984"/>
      <c r="W4984"/>
      <c r="X4984"/>
    </row>
    <row r="4985" spans="5:24" x14ac:dyDescent="0.3">
      <c r="E4985" s="173"/>
      <c r="F4985" s="173"/>
      <c r="I4985"/>
      <c r="J4985"/>
      <c r="K4985"/>
      <c r="L4985"/>
      <c r="M4985"/>
      <c r="N4985"/>
      <c r="O4985"/>
      <c r="P4985" s="225"/>
      <c r="Q4985" s="225"/>
      <c r="R4985"/>
      <c r="S4985"/>
      <c r="T4985"/>
      <c r="U4985"/>
      <c r="V4985"/>
      <c r="W4985"/>
      <c r="X4985"/>
    </row>
    <row r="4986" spans="5:24" x14ac:dyDescent="0.3">
      <c r="E4986" s="173"/>
      <c r="F4986" s="173"/>
      <c r="I4986"/>
      <c r="J4986"/>
      <c r="K4986"/>
      <c r="L4986"/>
      <c r="M4986"/>
      <c r="N4986"/>
      <c r="O4986"/>
      <c r="P4986" s="225"/>
      <c r="Q4986" s="225"/>
      <c r="R4986"/>
      <c r="S4986"/>
      <c r="T4986"/>
      <c r="U4986"/>
      <c r="V4986"/>
      <c r="W4986"/>
      <c r="X4986"/>
    </row>
    <row r="4987" spans="5:24" x14ac:dyDescent="0.3">
      <c r="E4987" s="173"/>
      <c r="F4987" s="173"/>
      <c r="I4987"/>
      <c r="J4987"/>
      <c r="K4987"/>
      <c r="L4987"/>
      <c r="M4987"/>
      <c r="N4987"/>
      <c r="O4987"/>
      <c r="P4987" s="225"/>
      <c r="Q4987" s="225"/>
      <c r="R4987"/>
      <c r="S4987"/>
      <c r="T4987"/>
      <c r="U4987"/>
      <c r="V4987"/>
      <c r="W4987"/>
      <c r="X4987"/>
    </row>
    <row r="4988" spans="5:24" x14ac:dyDescent="0.3">
      <c r="E4988" s="173"/>
      <c r="F4988" s="173"/>
      <c r="I4988"/>
      <c r="J4988"/>
      <c r="K4988"/>
      <c r="L4988"/>
      <c r="M4988"/>
      <c r="N4988"/>
      <c r="O4988"/>
      <c r="P4988" s="225"/>
      <c r="Q4988" s="225"/>
      <c r="R4988"/>
      <c r="S4988"/>
      <c r="T4988"/>
      <c r="U4988"/>
      <c r="V4988"/>
      <c r="W4988"/>
      <c r="X4988"/>
    </row>
    <row r="4989" spans="5:24" x14ac:dyDescent="0.3">
      <c r="E4989" s="173"/>
      <c r="F4989" s="173"/>
      <c r="I4989"/>
      <c r="J4989"/>
      <c r="K4989"/>
      <c r="L4989"/>
      <c r="M4989"/>
      <c r="N4989"/>
      <c r="O4989"/>
      <c r="P4989" s="225"/>
      <c r="Q4989" s="225"/>
      <c r="R4989"/>
      <c r="S4989"/>
      <c r="T4989"/>
      <c r="U4989"/>
      <c r="V4989"/>
      <c r="W4989"/>
      <c r="X4989"/>
    </row>
    <row r="4990" spans="5:24" x14ac:dyDescent="0.3">
      <c r="E4990" s="173"/>
      <c r="F4990" s="173"/>
      <c r="I4990"/>
      <c r="J4990"/>
      <c r="K4990"/>
      <c r="L4990"/>
      <c r="M4990"/>
      <c r="N4990"/>
      <c r="O4990"/>
      <c r="P4990" s="225"/>
      <c r="Q4990" s="225"/>
      <c r="R4990"/>
      <c r="S4990"/>
      <c r="T4990"/>
      <c r="U4990"/>
      <c r="V4990"/>
      <c r="W4990"/>
      <c r="X4990"/>
    </row>
    <row r="4991" spans="5:24" x14ac:dyDescent="0.3">
      <c r="E4991" s="173"/>
      <c r="F4991" s="173"/>
      <c r="I4991"/>
      <c r="J4991"/>
      <c r="K4991"/>
      <c r="L4991"/>
      <c r="M4991"/>
      <c r="N4991"/>
      <c r="O4991"/>
      <c r="P4991" s="225"/>
      <c r="Q4991" s="225"/>
      <c r="R4991"/>
      <c r="S4991"/>
      <c r="T4991"/>
      <c r="U4991"/>
      <c r="V4991"/>
      <c r="W4991"/>
      <c r="X4991"/>
    </row>
    <row r="4992" spans="5:24" x14ac:dyDescent="0.3">
      <c r="E4992" s="173"/>
      <c r="F4992" s="173"/>
      <c r="I4992"/>
      <c r="J4992"/>
      <c r="K4992"/>
      <c r="L4992"/>
      <c r="M4992"/>
      <c r="N4992"/>
      <c r="O4992"/>
      <c r="P4992" s="225"/>
      <c r="Q4992" s="225"/>
      <c r="R4992"/>
      <c r="S4992"/>
      <c r="T4992"/>
      <c r="U4992"/>
      <c r="V4992"/>
      <c r="W4992"/>
      <c r="X4992"/>
    </row>
    <row r="4993" spans="5:24" x14ac:dyDescent="0.3">
      <c r="E4993" s="173"/>
      <c r="F4993" s="173"/>
      <c r="I4993"/>
      <c r="J4993"/>
      <c r="K4993"/>
      <c r="L4993"/>
      <c r="M4993"/>
      <c r="N4993"/>
      <c r="O4993"/>
      <c r="P4993" s="225"/>
      <c r="Q4993" s="225"/>
      <c r="R4993"/>
      <c r="S4993"/>
      <c r="T4993"/>
      <c r="U4993"/>
      <c r="V4993"/>
      <c r="W4993"/>
      <c r="X4993"/>
    </row>
    <row r="4994" spans="5:24" x14ac:dyDescent="0.3">
      <c r="E4994" s="173"/>
      <c r="F4994" s="173"/>
      <c r="I4994"/>
      <c r="J4994"/>
      <c r="K4994"/>
      <c r="L4994"/>
      <c r="M4994"/>
      <c r="N4994"/>
      <c r="O4994"/>
      <c r="P4994" s="225"/>
      <c r="Q4994" s="225"/>
      <c r="R4994"/>
      <c r="S4994"/>
      <c r="T4994"/>
      <c r="U4994"/>
      <c r="V4994"/>
      <c r="W4994"/>
      <c r="X4994"/>
    </row>
    <row r="4995" spans="5:24" x14ac:dyDescent="0.3">
      <c r="E4995" s="173"/>
      <c r="F4995" s="173"/>
      <c r="I4995"/>
      <c r="J4995"/>
      <c r="K4995"/>
      <c r="L4995"/>
      <c r="M4995"/>
      <c r="N4995"/>
      <c r="O4995"/>
      <c r="P4995" s="225"/>
      <c r="Q4995" s="225"/>
      <c r="R4995"/>
      <c r="S4995"/>
      <c r="T4995"/>
      <c r="U4995"/>
      <c r="V4995"/>
      <c r="W4995"/>
      <c r="X4995"/>
    </row>
    <row r="4996" spans="5:24" x14ac:dyDescent="0.3">
      <c r="E4996" s="173"/>
      <c r="F4996" s="173"/>
      <c r="I4996"/>
      <c r="J4996"/>
      <c r="K4996"/>
      <c r="L4996"/>
      <c r="M4996"/>
      <c r="N4996"/>
      <c r="O4996"/>
      <c r="P4996" s="225"/>
      <c r="Q4996" s="225"/>
      <c r="R4996"/>
      <c r="S4996"/>
      <c r="T4996"/>
      <c r="U4996"/>
      <c r="V4996"/>
      <c r="W4996"/>
      <c r="X4996"/>
    </row>
    <row r="4997" spans="5:24" x14ac:dyDescent="0.3">
      <c r="E4997" s="173"/>
      <c r="F4997" s="173"/>
      <c r="I4997"/>
      <c r="J4997"/>
      <c r="K4997"/>
      <c r="L4997"/>
      <c r="M4997"/>
      <c r="N4997"/>
      <c r="O4997"/>
      <c r="P4997" s="225"/>
      <c r="Q4997" s="225"/>
      <c r="R4997"/>
      <c r="S4997"/>
      <c r="T4997"/>
      <c r="U4997"/>
      <c r="V4997"/>
      <c r="W4997"/>
      <c r="X4997"/>
    </row>
    <row r="4998" spans="5:24" x14ac:dyDescent="0.3">
      <c r="E4998" s="173"/>
      <c r="F4998" s="173"/>
      <c r="I4998"/>
      <c r="J4998"/>
      <c r="K4998"/>
      <c r="L4998"/>
      <c r="M4998"/>
      <c r="N4998"/>
      <c r="O4998"/>
      <c r="P4998" s="225"/>
      <c r="Q4998" s="225"/>
      <c r="R4998"/>
      <c r="S4998"/>
      <c r="T4998"/>
      <c r="U4998"/>
      <c r="V4998"/>
      <c r="W4998"/>
      <c r="X4998"/>
    </row>
    <row r="4999" spans="5:24" x14ac:dyDescent="0.3">
      <c r="E4999" s="173"/>
      <c r="F4999" s="173"/>
      <c r="I4999"/>
      <c r="J4999"/>
      <c r="K4999"/>
      <c r="L4999"/>
      <c r="M4999"/>
      <c r="N4999"/>
      <c r="O4999"/>
      <c r="P4999" s="225"/>
      <c r="Q4999" s="225"/>
      <c r="R4999"/>
      <c r="S4999"/>
      <c r="T4999"/>
      <c r="U4999"/>
      <c r="V4999"/>
      <c r="W4999"/>
      <c r="X4999"/>
    </row>
    <row r="5000" spans="5:24" x14ac:dyDescent="0.3">
      <c r="E5000" s="173"/>
      <c r="F5000" s="173"/>
      <c r="I5000"/>
      <c r="J5000"/>
      <c r="K5000"/>
      <c r="L5000"/>
      <c r="M5000"/>
      <c r="N5000"/>
      <c r="O5000"/>
      <c r="P5000" s="225"/>
      <c r="Q5000" s="225"/>
      <c r="R5000"/>
      <c r="S5000"/>
      <c r="T5000"/>
      <c r="U5000"/>
      <c r="V5000"/>
      <c r="W5000"/>
      <c r="X5000"/>
    </row>
    <row r="5001" spans="5:24" x14ac:dyDescent="0.3">
      <c r="E5001" s="173"/>
      <c r="F5001" s="173"/>
      <c r="I5001"/>
      <c r="J5001"/>
      <c r="K5001"/>
      <c r="L5001"/>
      <c r="M5001"/>
      <c r="N5001"/>
      <c r="O5001"/>
      <c r="P5001" s="225"/>
      <c r="Q5001" s="225"/>
      <c r="R5001"/>
      <c r="S5001"/>
      <c r="T5001"/>
      <c r="U5001"/>
      <c r="V5001"/>
      <c r="W5001"/>
      <c r="X5001"/>
    </row>
    <row r="5002" spans="5:24" x14ac:dyDescent="0.3">
      <c r="E5002" s="173"/>
      <c r="F5002" s="173"/>
      <c r="I5002"/>
      <c r="J5002"/>
      <c r="K5002"/>
      <c r="L5002"/>
      <c r="M5002"/>
      <c r="N5002"/>
      <c r="O5002"/>
      <c r="P5002" s="225"/>
      <c r="Q5002" s="225"/>
      <c r="R5002"/>
      <c r="S5002"/>
      <c r="T5002"/>
      <c r="U5002"/>
      <c r="V5002"/>
      <c r="W5002"/>
      <c r="X5002"/>
    </row>
    <row r="5003" spans="5:24" x14ac:dyDescent="0.3">
      <c r="E5003" s="173"/>
      <c r="F5003" s="173"/>
      <c r="I5003"/>
      <c r="J5003"/>
      <c r="K5003"/>
      <c r="L5003"/>
      <c r="M5003"/>
      <c r="N5003"/>
      <c r="O5003"/>
      <c r="P5003" s="225"/>
      <c r="Q5003" s="225"/>
      <c r="R5003"/>
      <c r="S5003"/>
      <c r="T5003"/>
      <c r="U5003"/>
      <c r="V5003"/>
      <c r="W5003"/>
      <c r="X5003"/>
    </row>
    <row r="5004" spans="5:24" x14ac:dyDescent="0.3">
      <c r="E5004" s="173"/>
      <c r="F5004" s="173"/>
      <c r="I5004"/>
      <c r="J5004"/>
      <c r="K5004"/>
      <c r="L5004"/>
      <c r="M5004"/>
      <c r="N5004"/>
      <c r="O5004"/>
      <c r="P5004" s="225"/>
      <c r="Q5004" s="225"/>
      <c r="R5004"/>
      <c r="S5004"/>
      <c r="T5004"/>
      <c r="U5004"/>
      <c r="V5004"/>
      <c r="W5004"/>
      <c r="X5004"/>
    </row>
    <row r="5005" spans="5:24" x14ac:dyDescent="0.3">
      <c r="E5005" s="173"/>
      <c r="F5005" s="173"/>
      <c r="I5005"/>
      <c r="J5005"/>
      <c r="K5005"/>
      <c r="L5005"/>
      <c r="M5005"/>
      <c r="N5005"/>
      <c r="O5005"/>
      <c r="P5005" s="225"/>
      <c r="Q5005" s="225"/>
      <c r="R5005"/>
      <c r="S5005"/>
      <c r="T5005"/>
      <c r="U5005"/>
      <c r="V5005"/>
      <c r="W5005"/>
      <c r="X5005"/>
    </row>
    <row r="5006" spans="5:24" x14ac:dyDescent="0.3">
      <c r="E5006" s="173"/>
      <c r="F5006" s="173"/>
      <c r="I5006"/>
      <c r="J5006"/>
      <c r="K5006"/>
      <c r="L5006"/>
      <c r="M5006"/>
      <c r="N5006"/>
      <c r="O5006"/>
      <c r="P5006" s="225"/>
      <c r="Q5006" s="225"/>
      <c r="R5006"/>
      <c r="S5006"/>
      <c r="T5006"/>
      <c r="U5006"/>
      <c r="V5006"/>
      <c r="W5006"/>
      <c r="X5006"/>
    </row>
    <row r="5007" spans="5:24" x14ac:dyDescent="0.3">
      <c r="E5007" s="173"/>
      <c r="F5007" s="173"/>
      <c r="I5007"/>
      <c r="J5007"/>
      <c r="K5007"/>
      <c r="L5007"/>
      <c r="M5007"/>
      <c r="N5007"/>
      <c r="O5007"/>
      <c r="P5007" s="225"/>
      <c r="Q5007" s="225"/>
      <c r="R5007"/>
      <c r="S5007"/>
      <c r="T5007"/>
      <c r="U5007"/>
      <c r="V5007"/>
      <c r="W5007"/>
      <c r="X5007"/>
    </row>
    <row r="5008" spans="5:24" x14ac:dyDescent="0.3">
      <c r="E5008" s="173"/>
      <c r="F5008" s="173"/>
      <c r="I5008"/>
      <c r="J5008"/>
      <c r="K5008"/>
      <c r="L5008"/>
      <c r="M5008"/>
      <c r="N5008"/>
      <c r="O5008"/>
      <c r="P5008" s="225"/>
      <c r="Q5008" s="225"/>
      <c r="R5008"/>
      <c r="S5008"/>
      <c r="T5008"/>
      <c r="U5008"/>
      <c r="V5008"/>
      <c r="W5008"/>
      <c r="X5008"/>
    </row>
    <row r="5009" spans="5:24" x14ac:dyDescent="0.3">
      <c r="E5009" s="173"/>
      <c r="F5009" s="173"/>
      <c r="I5009"/>
      <c r="J5009"/>
      <c r="K5009"/>
      <c r="L5009"/>
      <c r="M5009"/>
      <c r="N5009"/>
      <c r="O5009"/>
      <c r="P5009" s="225"/>
      <c r="Q5009" s="225"/>
      <c r="R5009"/>
      <c r="S5009"/>
      <c r="T5009"/>
      <c r="U5009"/>
      <c r="V5009"/>
      <c r="W5009"/>
      <c r="X5009"/>
    </row>
    <row r="5010" spans="5:24" x14ac:dyDescent="0.3">
      <c r="E5010" s="173"/>
      <c r="F5010" s="173"/>
      <c r="I5010"/>
      <c r="J5010"/>
      <c r="K5010"/>
      <c r="L5010"/>
      <c r="M5010"/>
      <c r="N5010"/>
      <c r="O5010"/>
      <c r="P5010" s="225"/>
      <c r="Q5010" s="225"/>
      <c r="R5010"/>
      <c r="S5010"/>
      <c r="T5010"/>
      <c r="U5010"/>
      <c r="V5010"/>
      <c r="W5010"/>
      <c r="X5010"/>
    </row>
    <row r="5011" spans="5:24" x14ac:dyDescent="0.3">
      <c r="E5011" s="173"/>
      <c r="F5011" s="173"/>
      <c r="I5011"/>
      <c r="J5011"/>
      <c r="K5011"/>
      <c r="L5011"/>
      <c r="M5011"/>
      <c r="N5011"/>
      <c r="O5011"/>
      <c r="P5011" s="225"/>
      <c r="Q5011" s="225"/>
      <c r="R5011"/>
      <c r="S5011"/>
      <c r="T5011"/>
      <c r="U5011"/>
      <c r="V5011"/>
      <c r="W5011"/>
      <c r="X5011"/>
    </row>
    <row r="5012" spans="5:24" x14ac:dyDescent="0.3">
      <c r="E5012" s="173"/>
      <c r="F5012" s="173"/>
      <c r="I5012"/>
      <c r="J5012"/>
      <c r="K5012"/>
      <c r="L5012"/>
      <c r="M5012"/>
      <c r="N5012"/>
      <c r="O5012"/>
      <c r="P5012" s="225"/>
      <c r="Q5012" s="225"/>
      <c r="R5012"/>
      <c r="S5012"/>
      <c r="T5012"/>
      <c r="U5012"/>
      <c r="V5012"/>
      <c r="W5012"/>
      <c r="X5012"/>
    </row>
    <row r="5013" spans="5:24" x14ac:dyDescent="0.3">
      <c r="E5013" s="173"/>
      <c r="F5013" s="173"/>
      <c r="I5013"/>
      <c r="J5013"/>
      <c r="K5013"/>
      <c r="L5013"/>
      <c r="M5013"/>
      <c r="N5013"/>
      <c r="O5013"/>
      <c r="P5013" s="225"/>
      <c r="Q5013" s="225"/>
      <c r="R5013"/>
      <c r="S5013"/>
      <c r="T5013"/>
      <c r="U5013"/>
      <c r="V5013"/>
      <c r="W5013"/>
      <c r="X5013"/>
    </row>
    <row r="5014" spans="5:24" x14ac:dyDescent="0.3">
      <c r="E5014" s="173"/>
      <c r="F5014" s="173"/>
      <c r="I5014"/>
      <c r="J5014"/>
      <c r="K5014"/>
      <c r="L5014"/>
      <c r="M5014"/>
      <c r="N5014"/>
      <c r="O5014"/>
      <c r="P5014" s="225"/>
      <c r="Q5014" s="225"/>
      <c r="R5014"/>
      <c r="S5014"/>
      <c r="T5014"/>
      <c r="U5014"/>
      <c r="V5014"/>
      <c r="W5014"/>
      <c r="X5014"/>
    </row>
    <row r="5015" spans="5:24" x14ac:dyDescent="0.3">
      <c r="E5015" s="173"/>
      <c r="F5015" s="173"/>
      <c r="I5015"/>
      <c r="J5015"/>
      <c r="K5015"/>
      <c r="L5015"/>
      <c r="M5015"/>
      <c r="N5015"/>
      <c r="O5015"/>
      <c r="P5015" s="225"/>
      <c r="Q5015" s="225"/>
      <c r="R5015"/>
      <c r="S5015"/>
      <c r="T5015"/>
      <c r="U5015"/>
      <c r="V5015"/>
      <c r="W5015"/>
      <c r="X5015"/>
    </row>
    <row r="5016" spans="5:24" x14ac:dyDescent="0.3">
      <c r="E5016" s="173"/>
      <c r="F5016" s="173"/>
      <c r="I5016"/>
      <c r="J5016"/>
      <c r="K5016"/>
      <c r="L5016"/>
      <c r="M5016"/>
      <c r="N5016"/>
      <c r="O5016"/>
      <c r="P5016" s="225"/>
      <c r="Q5016" s="225"/>
      <c r="R5016"/>
      <c r="S5016"/>
      <c r="T5016"/>
      <c r="U5016"/>
      <c r="V5016"/>
      <c r="W5016"/>
      <c r="X5016"/>
    </row>
    <row r="5017" spans="5:24" x14ac:dyDescent="0.3">
      <c r="E5017" s="173"/>
      <c r="F5017" s="173"/>
      <c r="I5017"/>
      <c r="J5017"/>
      <c r="K5017"/>
      <c r="L5017"/>
      <c r="M5017"/>
      <c r="N5017"/>
      <c r="O5017"/>
      <c r="P5017" s="225"/>
      <c r="Q5017" s="225"/>
      <c r="R5017"/>
      <c r="S5017"/>
      <c r="T5017"/>
      <c r="U5017"/>
      <c r="V5017"/>
      <c r="W5017"/>
      <c r="X5017"/>
    </row>
    <row r="5018" spans="5:24" x14ac:dyDescent="0.3">
      <c r="E5018" s="173"/>
      <c r="F5018" s="173"/>
      <c r="I5018"/>
      <c r="J5018"/>
      <c r="K5018"/>
      <c r="L5018"/>
      <c r="M5018"/>
      <c r="N5018"/>
      <c r="O5018"/>
      <c r="P5018" s="225"/>
      <c r="Q5018" s="225"/>
      <c r="R5018"/>
      <c r="S5018"/>
      <c r="T5018"/>
      <c r="U5018"/>
      <c r="V5018"/>
      <c r="W5018"/>
      <c r="X5018"/>
    </row>
    <row r="5019" spans="5:24" x14ac:dyDescent="0.3">
      <c r="E5019" s="173"/>
      <c r="F5019" s="173"/>
      <c r="I5019"/>
      <c r="J5019"/>
      <c r="K5019"/>
      <c r="L5019"/>
      <c r="M5019"/>
      <c r="N5019"/>
      <c r="O5019"/>
      <c r="P5019" s="225"/>
      <c r="Q5019" s="225"/>
      <c r="R5019"/>
      <c r="S5019"/>
      <c r="T5019"/>
      <c r="U5019"/>
      <c r="V5019"/>
      <c r="W5019"/>
      <c r="X5019"/>
    </row>
    <row r="5020" spans="5:24" x14ac:dyDescent="0.3">
      <c r="E5020" s="173"/>
      <c r="F5020" s="173"/>
      <c r="I5020"/>
      <c r="J5020"/>
      <c r="K5020"/>
      <c r="L5020"/>
      <c r="M5020"/>
      <c r="N5020"/>
      <c r="O5020"/>
      <c r="P5020" s="225"/>
      <c r="Q5020" s="225"/>
      <c r="R5020"/>
      <c r="S5020"/>
      <c r="T5020"/>
      <c r="U5020"/>
      <c r="V5020"/>
      <c r="W5020"/>
      <c r="X5020"/>
    </row>
    <row r="5021" spans="5:24" x14ac:dyDescent="0.3">
      <c r="E5021" s="173"/>
      <c r="F5021" s="173"/>
      <c r="I5021"/>
      <c r="J5021"/>
      <c r="K5021"/>
      <c r="L5021"/>
      <c r="M5021"/>
      <c r="N5021"/>
      <c r="O5021"/>
      <c r="P5021" s="225"/>
      <c r="Q5021" s="225"/>
      <c r="R5021"/>
      <c r="S5021"/>
      <c r="T5021"/>
      <c r="U5021"/>
      <c r="V5021"/>
      <c r="W5021"/>
      <c r="X5021"/>
    </row>
    <row r="5022" spans="5:24" x14ac:dyDescent="0.3">
      <c r="E5022" s="173"/>
      <c r="F5022" s="173"/>
      <c r="I5022"/>
      <c r="J5022"/>
      <c r="K5022"/>
      <c r="L5022"/>
      <c r="M5022"/>
      <c r="N5022"/>
      <c r="O5022"/>
      <c r="P5022" s="225"/>
      <c r="Q5022" s="225"/>
      <c r="R5022"/>
      <c r="S5022"/>
      <c r="T5022"/>
      <c r="U5022"/>
      <c r="V5022"/>
      <c r="W5022"/>
      <c r="X5022"/>
    </row>
    <row r="5023" spans="5:24" x14ac:dyDescent="0.3">
      <c r="E5023" s="173"/>
      <c r="F5023" s="173"/>
      <c r="I5023"/>
      <c r="J5023"/>
      <c r="K5023"/>
      <c r="L5023"/>
      <c r="M5023"/>
      <c r="N5023"/>
      <c r="O5023"/>
      <c r="P5023" s="225"/>
      <c r="Q5023" s="225"/>
      <c r="R5023"/>
      <c r="S5023"/>
      <c r="T5023"/>
      <c r="U5023"/>
      <c r="V5023"/>
      <c r="W5023"/>
      <c r="X5023"/>
    </row>
    <row r="5024" spans="5:24" x14ac:dyDescent="0.3">
      <c r="E5024" s="173"/>
      <c r="F5024" s="173"/>
      <c r="I5024"/>
      <c r="J5024"/>
      <c r="K5024"/>
      <c r="L5024"/>
      <c r="M5024"/>
      <c r="N5024"/>
      <c r="O5024"/>
      <c r="P5024" s="225"/>
      <c r="Q5024" s="225"/>
      <c r="R5024"/>
      <c r="S5024"/>
      <c r="T5024"/>
      <c r="U5024"/>
      <c r="V5024"/>
      <c r="W5024"/>
      <c r="X5024"/>
    </row>
    <row r="5025" spans="5:24" x14ac:dyDescent="0.3">
      <c r="E5025" s="173"/>
      <c r="F5025" s="173"/>
      <c r="I5025"/>
      <c r="J5025"/>
      <c r="K5025"/>
      <c r="L5025"/>
      <c r="M5025"/>
      <c r="N5025"/>
      <c r="O5025"/>
      <c r="P5025" s="225"/>
      <c r="Q5025" s="225"/>
      <c r="R5025"/>
      <c r="S5025"/>
      <c r="T5025"/>
      <c r="U5025"/>
      <c r="V5025"/>
      <c r="W5025"/>
      <c r="X5025"/>
    </row>
    <row r="5026" spans="5:24" x14ac:dyDescent="0.3">
      <c r="E5026" s="173"/>
      <c r="F5026" s="173"/>
      <c r="I5026"/>
      <c r="J5026"/>
      <c r="K5026"/>
      <c r="L5026"/>
      <c r="M5026"/>
      <c r="N5026"/>
      <c r="O5026"/>
      <c r="P5026" s="225"/>
      <c r="Q5026" s="225"/>
      <c r="R5026"/>
      <c r="S5026"/>
      <c r="T5026"/>
      <c r="U5026"/>
      <c r="V5026"/>
      <c r="W5026"/>
      <c r="X5026"/>
    </row>
    <row r="5027" spans="5:24" x14ac:dyDescent="0.3">
      <c r="E5027" s="173"/>
      <c r="F5027" s="173"/>
      <c r="I5027"/>
      <c r="J5027"/>
      <c r="K5027"/>
      <c r="L5027"/>
      <c r="M5027"/>
      <c r="N5027"/>
      <c r="O5027"/>
      <c r="P5027" s="225"/>
      <c r="Q5027" s="225"/>
      <c r="R5027"/>
      <c r="S5027"/>
      <c r="T5027"/>
      <c r="U5027"/>
      <c r="V5027"/>
      <c r="W5027"/>
      <c r="X5027"/>
    </row>
    <row r="5028" spans="5:24" x14ac:dyDescent="0.3">
      <c r="E5028" s="173"/>
      <c r="F5028" s="173"/>
      <c r="I5028"/>
      <c r="J5028"/>
      <c r="K5028"/>
      <c r="L5028"/>
      <c r="M5028"/>
      <c r="N5028"/>
      <c r="O5028"/>
      <c r="P5028" s="225"/>
      <c r="Q5028" s="225"/>
      <c r="R5028"/>
      <c r="S5028"/>
      <c r="T5028"/>
      <c r="U5028"/>
      <c r="V5028"/>
      <c r="W5028"/>
      <c r="X5028"/>
    </row>
    <row r="5029" spans="5:24" x14ac:dyDescent="0.3">
      <c r="E5029" s="173"/>
      <c r="F5029" s="173"/>
      <c r="I5029"/>
      <c r="J5029"/>
      <c r="K5029"/>
      <c r="L5029"/>
      <c r="M5029"/>
      <c r="N5029"/>
      <c r="O5029"/>
      <c r="P5029" s="225"/>
      <c r="Q5029" s="225"/>
      <c r="R5029"/>
      <c r="S5029"/>
      <c r="T5029"/>
      <c r="U5029"/>
      <c r="V5029"/>
      <c r="W5029"/>
      <c r="X5029"/>
    </row>
    <row r="5030" spans="5:24" x14ac:dyDescent="0.3">
      <c r="E5030" s="173"/>
      <c r="F5030" s="173"/>
      <c r="I5030"/>
      <c r="J5030"/>
      <c r="K5030"/>
      <c r="L5030"/>
      <c r="M5030"/>
      <c r="N5030"/>
      <c r="O5030"/>
      <c r="P5030" s="225"/>
      <c r="Q5030" s="225"/>
      <c r="R5030"/>
      <c r="S5030"/>
      <c r="T5030"/>
      <c r="U5030"/>
      <c r="V5030"/>
      <c r="W5030"/>
      <c r="X5030"/>
    </row>
    <row r="5031" spans="5:24" x14ac:dyDescent="0.3">
      <c r="E5031" s="173"/>
      <c r="F5031" s="173"/>
      <c r="I5031"/>
      <c r="J5031"/>
      <c r="K5031"/>
      <c r="L5031"/>
      <c r="M5031"/>
      <c r="N5031"/>
      <c r="O5031"/>
      <c r="P5031" s="225"/>
      <c r="Q5031" s="225"/>
      <c r="R5031"/>
      <c r="S5031"/>
      <c r="T5031"/>
      <c r="U5031"/>
      <c r="V5031"/>
      <c r="W5031"/>
      <c r="X5031"/>
    </row>
    <row r="5032" spans="5:24" x14ac:dyDescent="0.3">
      <c r="E5032" s="173"/>
      <c r="F5032" s="173"/>
      <c r="I5032"/>
      <c r="J5032"/>
      <c r="K5032"/>
      <c r="L5032"/>
      <c r="M5032"/>
      <c r="N5032"/>
      <c r="O5032"/>
      <c r="P5032" s="225"/>
      <c r="Q5032" s="225"/>
      <c r="R5032"/>
      <c r="S5032"/>
      <c r="T5032"/>
      <c r="U5032"/>
      <c r="V5032"/>
      <c r="W5032"/>
      <c r="X5032"/>
    </row>
    <row r="5033" spans="5:24" x14ac:dyDescent="0.3">
      <c r="E5033" s="173"/>
      <c r="F5033" s="173"/>
      <c r="I5033"/>
      <c r="J5033"/>
      <c r="K5033"/>
      <c r="L5033"/>
      <c r="M5033"/>
      <c r="N5033"/>
      <c r="O5033"/>
      <c r="P5033" s="225"/>
      <c r="Q5033" s="225"/>
      <c r="R5033"/>
      <c r="S5033"/>
      <c r="T5033"/>
      <c r="U5033"/>
      <c r="V5033"/>
      <c r="W5033"/>
      <c r="X5033"/>
    </row>
    <row r="5034" spans="5:24" x14ac:dyDescent="0.3">
      <c r="E5034" s="173"/>
      <c r="F5034" s="173"/>
      <c r="I5034"/>
      <c r="J5034"/>
      <c r="K5034"/>
      <c r="L5034"/>
      <c r="M5034"/>
      <c r="N5034"/>
      <c r="O5034"/>
      <c r="P5034" s="225"/>
      <c r="Q5034" s="225"/>
      <c r="R5034"/>
      <c r="S5034"/>
      <c r="T5034"/>
      <c r="U5034"/>
      <c r="V5034"/>
      <c r="W5034"/>
      <c r="X5034"/>
    </row>
    <row r="5035" spans="5:24" x14ac:dyDescent="0.3">
      <c r="E5035" s="173"/>
      <c r="F5035" s="173"/>
      <c r="I5035"/>
      <c r="J5035"/>
      <c r="K5035"/>
      <c r="L5035"/>
      <c r="M5035"/>
      <c r="N5035"/>
      <c r="O5035"/>
      <c r="P5035" s="225"/>
      <c r="Q5035" s="225"/>
      <c r="R5035"/>
      <c r="S5035"/>
      <c r="T5035"/>
      <c r="U5035"/>
      <c r="V5035"/>
      <c r="W5035"/>
      <c r="X5035"/>
    </row>
    <row r="5036" spans="5:24" x14ac:dyDescent="0.3">
      <c r="E5036" s="173"/>
      <c r="F5036" s="173"/>
      <c r="I5036"/>
      <c r="J5036"/>
      <c r="K5036"/>
      <c r="L5036"/>
      <c r="M5036"/>
      <c r="N5036"/>
      <c r="O5036"/>
      <c r="P5036" s="225"/>
      <c r="Q5036" s="225"/>
      <c r="R5036"/>
      <c r="S5036"/>
      <c r="T5036"/>
      <c r="U5036"/>
      <c r="V5036"/>
      <c r="W5036"/>
      <c r="X5036"/>
    </row>
    <row r="5037" spans="5:24" x14ac:dyDescent="0.3">
      <c r="E5037" s="173"/>
      <c r="F5037" s="173"/>
      <c r="I5037"/>
      <c r="J5037"/>
      <c r="K5037"/>
      <c r="L5037"/>
      <c r="M5037"/>
      <c r="N5037"/>
      <c r="O5037"/>
      <c r="P5037" s="225"/>
      <c r="Q5037" s="225"/>
      <c r="R5037"/>
      <c r="S5037"/>
      <c r="T5037"/>
      <c r="U5037"/>
      <c r="V5037"/>
      <c r="W5037"/>
      <c r="X5037"/>
    </row>
    <row r="5038" spans="5:24" x14ac:dyDescent="0.3">
      <c r="E5038" s="173"/>
      <c r="F5038" s="173"/>
      <c r="I5038"/>
      <c r="J5038"/>
      <c r="K5038"/>
      <c r="L5038"/>
      <c r="M5038"/>
      <c r="N5038"/>
      <c r="O5038"/>
      <c r="P5038" s="225"/>
      <c r="Q5038" s="225"/>
      <c r="R5038"/>
      <c r="S5038"/>
      <c r="T5038"/>
      <c r="U5038"/>
      <c r="V5038"/>
      <c r="W5038"/>
      <c r="X5038"/>
    </row>
    <row r="5039" spans="5:24" x14ac:dyDescent="0.3">
      <c r="E5039" s="173"/>
      <c r="F5039" s="173"/>
      <c r="I5039"/>
      <c r="J5039"/>
      <c r="K5039"/>
      <c r="L5039"/>
      <c r="M5039"/>
      <c r="N5039"/>
      <c r="O5039"/>
      <c r="P5039" s="225"/>
      <c r="Q5039" s="225"/>
      <c r="R5039"/>
      <c r="S5039"/>
      <c r="T5039"/>
      <c r="U5039"/>
      <c r="V5039"/>
      <c r="W5039"/>
      <c r="X5039"/>
    </row>
    <row r="5040" spans="5:24" x14ac:dyDescent="0.3">
      <c r="E5040" s="173"/>
      <c r="F5040" s="173"/>
      <c r="I5040"/>
      <c r="J5040"/>
      <c r="K5040"/>
      <c r="L5040"/>
      <c r="M5040"/>
      <c r="N5040"/>
      <c r="O5040"/>
      <c r="P5040" s="225"/>
      <c r="Q5040" s="225"/>
      <c r="R5040"/>
      <c r="S5040"/>
      <c r="T5040"/>
      <c r="U5040"/>
      <c r="V5040"/>
      <c r="W5040"/>
      <c r="X5040"/>
    </row>
    <row r="5041" spans="5:24" x14ac:dyDescent="0.3">
      <c r="E5041" s="173"/>
      <c r="F5041" s="173"/>
      <c r="I5041"/>
      <c r="J5041"/>
      <c r="K5041"/>
      <c r="L5041"/>
      <c r="M5041"/>
      <c r="N5041"/>
      <c r="O5041"/>
      <c r="P5041" s="225"/>
      <c r="Q5041" s="225"/>
      <c r="R5041"/>
      <c r="S5041"/>
      <c r="T5041"/>
      <c r="U5041"/>
      <c r="V5041"/>
      <c r="W5041"/>
      <c r="X5041"/>
    </row>
    <row r="5042" spans="5:24" x14ac:dyDescent="0.3">
      <c r="E5042" s="173"/>
      <c r="F5042" s="173"/>
      <c r="I5042"/>
      <c r="J5042"/>
      <c r="K5042"/>
      <c r="L5042"/>
      <c r="M5042"/>
      <c r="N5042"/>
      <c r="O5042"/>
      <c r="P5042" s="225"/>
      <c r="Q5042" s="225"/>
      <c r="R5042"/>
      <c r="S5042"/>
      <c r="T5042"/>
      <c r="U5042"/>
      <c r="V5042"/>
      <c r="W5042"/>
      <c r="X5042"/>
    </row>
    <row r="5043" spans="5:24" x14ac:dyDescent="0.3">
      <c r="E5043" s="173"/>
      <c r="F5043" s="173"/>
      <c r="I5043"/>
      <c r="J5043"/>
      <c r="K5043"/>
      <c r="L5043"/>
      <c r="M5043"/>
      <c r="N5043"/>
      <c r="O5043"/>
      <c r="P5043" s="225"/>
      <c r="Q5043" s="225"/>
      <c r="R5043"/>
      <c r="S5043"/>
      <c r="T5043"/>
      <c r="U5043"/>
      <c r="V5043"/>
      <c r="W5043"/>
      <c r="X5043"/>
    </row>
    <row r="5044" spans="5:24" x14ac:dyDescent="0.3">
      <c r="E5044" s="173"/>
      <c r="F5044" s="173"/>
      <c r="I5044"/>
      <c r="J5044"/>
      <c r="K5044"/>
      <c r="L5044"/>
      <c r="M5044"/>
      <c r="N5044"/>
      <c r="O5044"/>
      <c r="P5044" s="225"/>
      <c r="Q5044" s="225"/>
      <c r="R5044"/>
      <c r="S5044"/>
      <c r="T5044"/>
      <c r="U5044"/>
      <c r="V5044"/>
      <c r="W5044"/>
      <c r="X5044"/>
    </row>
    <row r="5045" spans="5:24" x14ac:dyDescent="0.3">
      <c r="E5045" s="173"/>
      <c r="F5045" s="173"/>
      <c r="I5045"/>
      <c r="J5045"/>
      <c r="K5045"/>
      <c r="L5045"/>
      <c r="M5045"/>
      <c r="N5045"/>
      <c r="O5045"/>
      <c r="P5045" s="225"/>
      <c r="Q5045" s="225"/>
      <c r="R5045"/>
      <c r="S5045"/>
      <c r="T5045"/>
      <c r="U5045"/>
      <c r="V5045"/>
      <c r="W5045"/>
      <c r="X5045"/>
    </row>
    <row r="5046" spans="5:24" x14ac:dyDescent="0.3">
      <c r="E5046" s="173"/>
      <c r="F5046" s="173"/>
      <c r="I5046"/>
      <c r="J5046"/>
      <c r="K5046"/>
      <c r="L5046"/>
      <c r="M5046"/>
      <c r="N5046"/>
      <c r="O5046"/>
      <c r="P5046" s="225"/>
      <c r="Q5046" s="225"/>
      <c r="R5046"/>
      <c r="S5046"/>
      <c r="T5046"/>
      <c r="U5046"/>
      <c r="V5046"/>
      <c r="W5046"/>
      <c r="X5046"/>
    </row>
    <row r="5047" spans="5:24" x14ac:dyDescent="0.3">
      <c r="E5047" s="173"/>
      <c r="F5047" s="173"/>
      <c r="I5047"/>
      <c r="J5047"/>
      <c r="K5047"/>
      <c r="L5047"/>
      <c r="M5047"/>
      <c r="N5047"/>
      <c r="O5047"/>
      <c r="P5047" s="225"/>
      <c r="Q5047" s="225"/>
      <c r="R5047"/>
      <c r="S5047"/>
      <c r="T5047"/>
      <c r="U5047"/>
      <c r="V5047"/>
      <c r="W5047"/>
      <c r="X5047"/>
    </row>
    <row r="5048" spans="5:24" x14ac:dyDescent="0.3">
      <c r="E5048" s="173"/>
      <c r="F5048" s="173"/>
      <c r="I5048"/>
      <c r="J5048"/>
      <c r="K5048"/>
      <c r="L5048"/>
      <c r="M5048"/>
      <c r="N5048"/>
      <c r="O5048"/>
      <c r="P5048" s="225"/>
      <c r="Q5048" s="225"/>
      <c r="R5048"/>
      <c r="S5048"/>
      <c r="T5048"/>
      <c r="U5048"/>
      <c r="V5048"/>
      <c r="W5048"/>
      <c r="X5048"/>
    </row>
    <row r="5049" spans="5:24" x14ac:dyDescent="0.3">
      <c r="E5049" s="173"/>
      <c r="F5049" s="173"/>
      <c r="I5049"/>
      <c r="J5049"/>
      <c r="K5049"/>
      <c r="L5049"/>
      <c r="M5049"/>
      <c r="N5049"/>
      <c r="O5049"/>
      <c r="P5049" s="225"/>
      <c r="Q5049" s="225"/>
      <c r="R5049"/>
      <c r="S5049"/>
      <c r="T5049"/>
      <c r="U5049"/>
      <c r="V5049"/>
      <c r="W5049"/>
      <c r="X5049"/>
    </row>
    <row r="5050" spans="5:24" x14ac:dyDescent="0.3">
      <c r="E5050" s="173"/>
      <c r="F5050" s="173"/>
      <c r="I5050"/>
      <c r="J5050"/>
      <c r="K5050"/>
      <c r="L5050"/>
      <c r="M5050"/>
      <c r="N5050"/>
      <c r="O5050"/>
      <c r="P5050" s="225"/>
      <c r="Q5050" s="225"/>
      <c r="R5050"/>
      <c r="S5050"/>
      <c r="T5050"/>
      <c r="U5050"/>
      <c r="V5050"/>
      <c r="W5050"/>
      <c r="X5050"/>
    </row>
    <row r="5051" spans="5:24" x14ac:dyDescent="0.3">
      <c r="E5051" s="173"/>
      <c r="F5051" s="173"/>
      <c r="I5051"/>
      <c r="J5051"/>
      <c r="K5051"/>
      <c r="L5051"/>
      <c r="M5051"/>
      <c r="N5051"/>
      <c r="O5051"/>
      <c r="P5051" s="225"/>
      <c r="Q5051" s="225"/>
      <c r="R5051"/>
      <c r="S5051"/>
      <c r="T5051"/>
      <c r="U5051"/>
      <c r="V5051"/>
      <c r="W5051"/>
      <c r="X5051"/>
    </row>
    <row r="5052" spans="5:24" x14ac:dyDescent="0.3">
      <c r="E5052" s="173"/>
      <c r="F5052" s="173"/>
      <c r="I5052"/>
      <c r="J5052"/>
      <c r="K5052"/>
      <c r="L5052"/>
      <c r="M5052"/>
      <c r="N5052"/>
      <c r="O5052"/>
      <c r="P5052" s="225"/>
      <c r="Q5052" s="225"/>
      <c r="R5052"/>
      <c r="S5052"/>
      <c r="T5052"/>
      <c r="U5052"/>
      <c r="V5052"/>
      <c r="W5052"/>
      <c r="X5052"/>
    </row>
    <row r="5053" spans="5:24" x14ac:dyDescent="0.3">
      <c r="E5053" s="173"/>
      <c r="F5053" s="173"/>
      <c r="I5053"/>
      <c r="J5053"/>
      <c r="K5053"/>
      <c r="L5053"/>
      <c r="M5053"/>
      <c r="N5053"/>
      <c r="O5053"/>
      <c r="P5053" s="225"/>
      <c r="Q5053" s="225"/>
      <c r="R5053"/>
      <c r="S5053"/>
      <c r="T5053"/>
      <c r="U5053"/>
      <c r="V5053"/>
      <c r="W5053"/>
      <c r="X5053"/>
    </row>
    <row r="5054" spans="5:24" x14ac:dyDescent="0.3">
      <c r="E5054" s="173"/>
      <c r="F5054" s="173"/>
      <c r="I5054"/>
      <c r="J5054"/>
      <c r="K5054"/>
      <c r="L5054"/>
      <c r="M5054"/>
      <c r="N5054"/>
      <c r="O5054"/>
      <c r="P5054" s="225"/>
      <c r="Q5054" s="225"/>
      <c r="R5054"/>
      <c r="S5054"/>
      <c r="T5054"/>
      <c r="U5054"/>
      <c r="V5054"/>
      <c r="W5054"/>
      <c r="X5054"/>
    </row>
    <row r="5055" spans="5:24" x14ac:dyDescent="0.3">
      <c r="E5055" s="173"/>
      <c r="F5055" s="173"/>
      <c r="I5055"/>
      <c r="J5055"/>
      <c r="K5055"/>
      <c r="L5055"/>
      <c r="M5055"/>
      <c r="N5055"/>
      <c r="O5055"/>
      <c r="P5055" s="225"/>
      <c r="Q5055" s="225"/>
      <c r="R5055"/>
      <c r="S5055"/>
      <c r="T5055"/>
      <c r="U5055"/>
      <c r="V5055"/>
      <c r="W5055"/>
      <c r="X5055"/>
    </row>
    <row r="5056" spans="5:24" x14ac:dyDescent="0.3">
      <c r="E5056" s="173"/>
      <c r="F5056" s="173"/>
      <c r="I5056"/>
      <c r="J5056"/>
      <c r="K5056"/>
      <c r="L5056"/>
      <c r="M5056"/>
      <c r="N5056"/>
      <c r="O5056"/>
      <c r="P5056" s="225"/>
      <c r="Q5056" s="225"/>
      <c r="R5056"/>
      <c r="S5056"/>
      <c r="T5056"/>
      <c r="U5056"/>
      <c r="V5056"/>
      <c r="W5056"/>
      <c r="X5056"/>
    </row>
    <row r="5057" spans="5:24" x14ac:dyDescent="0.3">
      <c r="E5057" s="173"/>
      <c r="F5057" s="173"/>
      <c r="I5057"/>
      <c r="J5057"/>
      <c r="K5057"/>
      <c r="L5057"/>
      <c r="M5057"/>
      <c r="N5057"/>
      <c r="O5057"/>
      <c r="P5057" s="225"/>
      <c r="Q5057" s="225"/>
      <c r="R5057"/>
      <c r="S5057"/>
      <c r="T5057"/>
      <c r="U5057"/>
      <c r="V5057"/>
      <c r="W5057"/>
      <c r="X5057"/>
    </row>
    <row r="5058" spans="5:24" x14ac:dyDescent="0.3">
      <c r="E5058" s="173"/>
      <c r="F5058" s="173"/>
      <c r="I5058"/>
      <c r="J5058"/>
      <c r="K5058"/>
      <c r="L5058"/>
      <c r="M5058"/>
      <c r="N5058"/>
      <c r="O5058"/>
      <c r="P5058" s="225"/>
      <c r="Q5058" s="225"/>
      <c r="R5058"/>
      <c r="S5058"/>
      <c r="T5058"/>
      <c r="U5058"/>
      <c r="V5058"/>
      <c r="W5058"/>
      <c r="X5058"/>
    </row>
    <row r="5059" spans="5:24" x14ac:dyDescent="0.3">
      <c r="E5059" s="173"/>
      <c r="F5059" s="173"/>
      <c r="I5059"/>
      <c r="J5059"/>
      <c r="K5059"/>
      <c r="L5059"/>
      <c r="M5059"/>
      <c r="N5059"/>
      <c r="O5059"/>
      <c r="P5059" s="225"/>
      <c r="Q5059" s="225"/>
      <c r="R5059"/>
      <c r="S5059"/>
      <c r="T5059"/>
      <c r="U5059"/>
      <c r="V5059"/>
      <c r="W5059"/>
      <c r="X5059"/>
    </row>
    <row r="5060" spans="5:24" x14ac:dyDescent="0.3">
      <c r="E5060" s="173"/>
      <c r="F5060" s="173"/>
      <c r="I5060"/>
      <c r="J5060"/>
      <c r="K5060"/>
      <c r="L5060"/>
      <c r="M5060"/>
      <c r="N5060"/>
      <c r="O5060"/>
      <c r="P5060" s="225"/>
      <c r="Q5060" s="225"/>
      <c r="R5060"/>
      <c r="S5060"/>
      <c r="T5060"/>
      <c r="U5060"/>
      <c r="V5060"/>
      <c r="W5060"/>
      <c r="X5060"/>
    </row>
    <row r="5061" spans="5:24" x14ac:dyDescent="0.3">
      <c r="E5061" s="173"/>
      <c r="F5061" s="173"/>
      <c r="I5061"/>
      <c r="J5061"/>
      <c r="K5061"/>
      <c r="L5061"/>
      <c r="M5061"/>
      <c r="N5061"/>
      <c r="O5061"/>
      <c r="P5061" s="225"/>
      <c r="Q5061" s="225"/>
      <c r="R5061"/>
      <c r="S5061"/>
      <c r="T5061"/>
      <c r="U5061"/>
      <c r="V5061"/>
      <c r="W5061"/>
      <c r="X5061"/>
    </row>
    <row r="5062" spans="5:24" x14ac:dyDescent="0.3">
      <c r="E5062" s="173"/>
      <c r="F5062" s="173"/>
      <c r="I5062"/>
      <c r="J5062"/>
      <c r="K5062"/>
      <c r="L5062"/>
      <c r="M5062"/>
      <c r="N5062"/>
      <c r="O5062"/>
      <c r="P5062" s="225"/>
      <c r="Q5062" s="225"/>
      <c r="R5062"/>
      <c r="S5062"/>
      <c r="T5062"/>
      <c r="U5062"/>
      <c r="V5062"/>
      <c r="W5062"/>
      <c r="X5062"/>
    </row>
    <row r="5063" spans="5:24" x14ac:dyDescent="0.3">
      <c r="E5063" s="173"/>
      <c r="F5063" s="173"/>
      <c r="I5063"/>
      <c r="J5063"/>
      <c r="K5063"/>
      <c r="L5063"/>
      <c r="M5063"/>
      <c r="N5063"/>
      <c r="O5063"/>
      <c r="P5063" s="225"/>
      <c r="Q5063" s="225"/>
      <c r="R5063"/>
      <c r="S5063"/>
      <c r="T5063"/>
      <c r="U5063"/>
      <c r="V5063"/>
      <c r="W5063"/>
      <c r="X5063"/>
    </row>
    <row r="5064" spans="5:24" x14ac:dyDescent="0.3">
      <c r="E5064" s="173"/>
      <c r="F5064" s="173"/>
      <c r="I5064"/>
      <c r="J5064"/>
      <c r="K5064"/>
      <c r="L5064"/>
      <c r="M5064"/>
      <c r="N5064"/>
      <c r="O5064"/>
      <c r="P5064" s="225"/>
      <c r="Q5064" s="225"/>
      <c r="R5064"/>
      <c r="S5064"/>
      <c r="T5064"/>
      <c r="U5064"/>
      <c r="V5064"/>
      <c r="W5064"/>
      <c r="X5064"/>
    </row>
    <row r="5065" spans="5:24" x14ac:dyDescent="0.3">
      <c r="E5065" s="173"/>
      <c r="F5065" s="173"/>
      <c r="I5065"/>
      <c r="J5065"/>
      <c r="K5065"/>
      <c r="L5065"/>
      <c r="M5065"/>
      <c r="N5065"/>
      <c r="O5065"/>
      <c r="P5065" s="225"/>
      <c r="Q5065" s="225"/>
      <c r="R5065"/>
      <c r="S5065"/>
      <c r="T5065"/>
      <c r="U5065"/>
      <c r="V5065"/>
      <c r="W5065"/>
      <c r="X5065"/>
    </row>
    <row r="5066" spans="5:24" x14ac:dyDescent="0.3">
      <c r="E5066" s="173"/>
      <c r="F5066" s="173"/>
      <c r="I5066"/>
      <c r="J5066"/>
      <c r="K5066"/>
      <c r="L5066"/>
      <c r="M5066"/>
      <c r="N5066"/>
      <c r="O5066"/>
      <c r="P5066" s="225"/>
      <c r="Q5066" s="225"/>
      <c r="R5066"/>
      <c r="S5066"/>
      <c r="T5066"/>
      <c r="U5066"/>
      <c r="V5066"/>
      <c r="W5066"/>
      <c r="X5066"/>
    </row>
    <row r="5067" spans="5:24" x14ac:dyDescent="0.3">
      <c r="E5067" s="173"/>
      <c r="F5067" s="173"/>
      <c r="I5067"/>
      <c r="J5067"/>
      <c r="K5067"/>
      <c r="L5067"/>
      <c r="M5067"/>
      <c r="N5067"/>
      <c r="O5067"/>
      <c r="P5067" s="225"/>
      <c r="Q5067" s="225"/>
      <c r="R5067"/>
      <c r="S5067"/>
      <c r="T5067"/>
      <c r="U5067"/>
      <c r="V5067"/>
      <c r="W5067"/>
      <c r="X5067"/>
    </row>
    <row r="5068" spans="5:24" x14ac:dyDescent="0.3">
      <c r="E5068" s="173"/>
      <c r="F5068" s="173"/>
      <c r="I5068"/>
      <c r="J5068"/>
      <c r="K5068"/>
      <c r="L5068"/>
      <c r="M5068"/>
      <c r="N5068"/>
      <c r="O5068"/>
      <c r="P5068" s="225"/>
      <c r="Q5068" s="225"/>
      <c r="R5068"/>
      <c r="S5068"/>
      <c r="T5068"/>
      <c r="U5068"/>
      <c r="V5068"/>
      <c r="W5068"/>
      <c r="X5068"/>
    </row>
    <row r="5069" spans="5:24" x14ac:dyDescent="0.3">
      <c r="E5069" s="173"/>
      <c r="F5069" s="173"/>
      <c r="I5069"/>
      <c r="J5069"/>
      <c r="K5069"/>
      <c r="L5069"/>
      <c r="M5069"/>
      <c r="N5069"/>
      <c r="O5069"/>
      <c r="P5069" s="225"/>
      <c r="Q5069" s="225"/>
      <c r="R5069"/>
      <c r="S5069"/>
      <c r="T5069"/>
      <c r="U5069"/>
      <c r="V5069"/>
      <c r="W5069"/>
      <c r="X5069"/>
    </row>
    <row r="5070" spans="5:24" x14ac:dyDescent="0.3">
      <c r="E5070" s="173"/>
      <c r="F5070" s="173"/>
      <c r="I5070"/>
      <c r="J5070"/>
      <c r="K5070"/>
      <c r="L5070"/>
      <c r="M5070"/>
      <c r="N5070"/>
      <c r="O5070"/>
      <c r="P5070" s="225"/>
      <c r="Q5070" s="225"/>
      <c r="R5070"/>
      <c r="S5070"/>
      <c r="T5070"/>
      <c r="U5070"/>
      <c r="V5070"/>
      <c r="W5070"/>
      <c r="X5070"/>
    </row>
    <row r="5071" spans="5:24" x14ac:dyDescent="0.3">
      <c r="E5071" s="173"/>
      <c r="F5071" s="173"/>
      <c r="I5071"/>
      <c r="J5071"/>
      <c r="K5071"/>
      <c r="L5071"/>
      <c r="M5071"/>
      <c r="N5071"/>
      <c r="O5071"/>
      <c r="P5071" s="225"/>
      <c r="Q5071" s="225"/>
      <c r="R5071"/>
      <c r="S5071"/>
      <c r="T5071"/>
      <c r="U5071"/>
      <c r="V5071"/>
      <c r="W5071"/>
      <c r="X5071"/>
    </row>
    <row r="5072" spans="5:24" x14ac:dyDescent="0.3">
      <c r="E5072" s="173"/>
      <c r="F5072" s="173"/>
      <c r="I5072"/>
      <c r="J5072"/>
      <c r="K5072"/>
      <c r="L5072"/>
      <c r="M5072"/>
      <c r="N5072"/>
      <c r="O5072"/>
      <c r="P5072" s="225"/>
      <c r="Q5072" s="225"/>
      <c r="R5072"/>
      <c r="S5072"/>
      <c r="T5072"/>
      <c r="U5072"/>
      <c r="V5072"/>
      <c r="W5072"/>
      <c r="X5072"/>
    </row>
    <row r="5073" spans="5:24" x14ac:dyDescent="0.3">
      <c r="E5073" s="173"/>
      <c r="F5073" s="173"/>
      <c r="I5073"/>
      <c r="J5073"/>
      <c r="K5073"/>
      <c r="L5073"/>
      <c r="M5073"/>
      <c r="N5073"/>
      <c r="O5073"/>
      <c r="P5073" s="225"/>
      <c r="Q5073" s="225"/>
      <c r="R5073"/>
      <c r="S5073"/>
      <c r="T5073"/>
      <c r="U5073"/>
      <c r="V5073"/>
      <c r="W5073"/>
      <c r="X5073"/>
    </row>
    <row r="5074" spans="5:24" x14ac:dyDescent="0.3">
      <c r="E5074" s="173"/>
      <c r="F5074" s="173"/>
      <c r="I5074"/>
      <c r="J5074"/>
      <c r="K5074"/>
      <c r="L5074"/>
      <c r="M5074"/>
      <c r="N5074"/>
      <c r="O5074"/>
      <c r="P5074" s="225"/>
      <c r="Q5074" s="225"/>
      <c r="R5074"/>
      <c r="S5074"/>
      <c r="T5074"/>
      <c r="U5074"/>
      <c r="V5074"/>
      <c r="W5074"/>
      <c r="X5074"/>
    </row>
    <row r="5075" spans="5:24" x14ac:dyDescent="0.3">
      <c r="E5075" s="173"/>
      <c r="F5075" s="173"/>
      <c r="I5075"/>
      <c r="J5075"/>
      <c r="K5075"/>
      <c r="L5075"/>
      <c r="M5075"/>
      <c r="N5075"/>
      <c r="O5075"/>
      <c r="P5075" s="225"/>
      <c r="Q5075" s="225"/>
      <c r="R5075"/>
      <c r="S5075"/>
      <c r="T5075"/>
      <c r="U5075"/>
      <c r="V5075"/>
      <c r="W5075"/>
      <c r="X5075"/>
    </row>
    <row r="5076" spans="5:24" x14ac:dyDescent="0.3">
      <c r="E5076" s="173"/>
      <c r="F5076" s="173"/>
      <c r="I5076"/>
      <c r="J5076"/>
      <c r="K5076"/>
      <c r="L5076"/>
      <c r="M5076"/>
      <c r="N5076"/>
      <c r="O5076"/>
      <c r="P5076" s="225"/>
      <c r="Q5076" s="225"/>
      <c r="R5076"/>
      <c r="S5076"/>
      <c r="T5076"/>
      <c r="U5076"/>
      <c r="V5076"/>
      <c r="W5076"/>
      <c r="X5076"/>
    </row>
    <row r="5077" spans="5:24" x14ac:dyDescent="0.3">
      <c r="E5077" s="173"/>
      <c r="F5077" s="173"/>
      <c r="I5077"/>
      <c r="J5077"/>
      <c r="K5077"/>
      <c r="L5077"/>
      <c r="M5077"/>
      <c r="N5077"/>
      <c r="O5077"/>
      <c r="P5077" s="225"/>
      <c r="Q5077" s="225"/>
      <c r="R5077"/>
      <c r="S5077"/>
      <c r="T5077"/>
      <c r="U5077"/>
      <c r="V5077"/>
      <c r="W5077"/>
      <c r="X5077"/>
    </row>
    <row r="5078" spans="5:24" x14ac:dyDescent="0.3">
      <c r="E5078" s="173"/>
      <c r="F5078" s="173"/>
      <c r="I5078"/>
      <c r="J5078"/>
      <c r="K5078"/>
      <c r="L5078"/>
      <c r="M5078"/>
      <c r="N5078"/>
      <c r="O5078"/>
      <c r="P5078" s="225"/>
      <c r="Q5078" s="225"/>
      <c r="R5078"/>
      <c r="S5078"/>
      <c r="T5078"/>
      <c r="U5078"/>
      <c r="V5078"/>
      <c r="W5078"/>
      <c r="X5078"/>
    </row>
    <row r="5079" spans="5:24" x14ac:dyDescent="0.3">
      <c r="E5079" s="173"/>
      <c r="F5079" s="173"/>
      <c r="I5079"/>
      <c r="J5079"/>
      <c r="K5079"/>
      <c r="L5079"/>
      <c r="M5079"/>
      <c r="N5079"/>
      <c r="O5079"/>
      <c r="P5079" s="225"/>
      <c r="Q5079" s="225"/>
      <c r="R5079"/>
      <c r="S5079"/>
      <c r="T5079"/>
      <c r="U5079"/>
      <c r="V5079"/>
      <c r="W5079"/>
      <c r="X5079"/>
    </row>
    <row r="5080" spans="5:24" x14ac:dyDescent="0.3">
      <c r="E5080" s="173"/>
      <c r="F5080" s="173"/>
      <c r="I5080"/>
      <c r="J5080"/>
      <c r="K5080"/>
      <c r="L5080"/>
      <c r="M5080"/>
      <c r="N5080"/>
      <c r="O5080"/>
      <c r="P5080" s="225"/>
      <c r="Q5080" s="225"/>
      <c r="R5080"/>
      <c r="S5080"/>
      <c r="T5080"/>
      <c r="U5080"/>
      <c r="V5080"/>
      <c r="W5080"/>
      <c r="X5080"/>
    </row>
    <row r="5081" spans="5:24" x14ac:dyDescent="0.3">
      <c r="E5081" s="173"/>
      <c r="F5081" s="173"/>
      <c r="I5081"/>
      <c r="J5081"/>
      <c r="K5081"/>
      <c r="L5081"/>
      <c r="M5081"/>
      <c r="N5081"/>
      <c r="O5081"/>
      <c r="P5081" s="225"/>
      <c r="Q5081" s="225"/>
      <c r="R5081"/>
      <c r="S5081"/>
      <c r="T5081"/>
      <c r="U5081"/>
      <c r="V5081"/>
      <c r="W5081"/>
      <c r="X5081"/>
    </row>
    <row r="5082" spans="5:24" x14ac:dyDescent="0.3">
      <c r="E5082" s="173"/>
      <c r="F5082" s="173"/>
      <c r="I5082"/>
      <c r="J5082"/>
      <c r="K5082"/>
      <c r="L5082"/>
      <c r="M5082"/>
      <c r="N5082"/>
      <c r="O5082"/>
      <c r="P5082" s="225"/>
      <c r="Q5082" s="225"/>
      <c r="R5082"/>
      <c r="S5082"/>
      <c r="T5082"/>
      <c r="U5082"/>
      <c r="V5082"/>
      <c r="W5082"/>
      <c r="X5082"/>
    </row>
    <row r="5083" spans="5:24" x14ac:dyDescent="0.3">
      <c r="E5083" s="173"/>
      <c r="F5083" s="173"/>
      <c r="I5083"/>
      <c r="J5083"/>
      <c r="K5083"/>
      <c r="L5083"/>
      <c r="M5083"/>
      <c r="N5083"/>
      <c r="O5083"/>
      <c r="P5083" s="225"/>
      <c r="Q5083" s="225"/>
      <c r="R5083"/>
      <c r="S5083"/>
      <c r="T5083"/>
      <c r="U5083"/>
      <c r="V5083"/>
      <c r="W5083"/>
      <c r="X5083"/>
    </row>
    <row r="5084" spans="5:24" x14ac:dyDescent="0.3">
      <c r="E5084" s="173"/>
      <c r="F5084" s="173"/>
      <c r="I5084"/>
      <c r="J5084"/>
      <c r="K5084"/>
      <c r="L5084"/>
      <c r="M5084"/>
      <c r="N5084"/>
      <c r="O5084"/>
      <c r="P5084" s="225"/>
      <c r="Q5084" s="225"/>
      <c r="R5084"/>
      <c r="S5084"/>
      <c r="T5084"/>
      <c r="U5084"/>
      <c r="V5084"/>
      <c r="W5084"/>
      <c r="X5084"/>
    </row>
    <row r="5085" spans="5:24" x14ac:dyDescent="0.3">
      <c r="E5085" s="173"/>
      <c r="F5085" s="173"/>
      <c r="I5085"/>
      <c r="J5085"/>
      <c r="K5085"/>
      <c r="L5085"/>
      <c r="M5085"/>
      <c r="N5085"/>
      <c r="O5085"/>
      <c r="P5085" s="225"/>
      <c r="Q5085" s="225"/>
      <c r="R5085"/>
      <c r="S5085"/>
      <c r="T5085"/>
      <c r="U5085"/>
      <c r="V5085"/>
      <c r="W5085"/>
      <c r="X5085"/>
    </row>
    <row r="5086" spans="5:24" x14ac:dyDescent="0.3">
      <c r="E5086" s="173"/>
      <c r="F5086" s="173"/>
      <c r="I5086"/>
      <c r="J5086"/>
      <c r="K5086"/>
      <c r="L5086"/>
      <c r="M5086"/>
      <c r="N5086"/>
      <c r="O5086"/>
      <c r="P5086" s="225"/>
      <c r="Q5086" s="225"/>
      <c r="R5086"/>
      <c r="S5086"/>
      <c r="T5086"/>
      <c r="U5086"/>
      <c r="V5086"/>
      <c r="W5086"/>
      <c r="X5086"/>
    </row>
    <row r="5087" spans="5:24" x14ac:dyDescent="0.3">
      <c r="E5087" s="173"/>
      <c r="F5087" s="173"/>
      <c r="I5087"/>
      <c r="J5087"/>
      <c r="K5087"/>
      <c r="L5087"/>
      <c r="M5087"/>
      <c r="N5087"/>
      <c r="O5087"/>
      <c r="P5087" s="225"/>
      <c r="Q5087" s="225"/>
      <c r="R5087"/>
      <c r="S5087"/>
      <c r="T5087"/>
      <c r="U5087"/>
      <c r="V5087"/>
      <c r="W5087"/>
      <c r="X5087"/>
    </row>
    <row r="5088" spans="5:24" x14ac:dyDescent="0.3">
      <c r="E5088" s="173"/>
      <c r="F5088" s="173"/>
      <c r="I5088"/>
      <c r="J5088"/>
      <c r="K5088"/>
      <c r="L5088"/>
      <c r="M5088"/>
      <c r="N5088"/>
      <c r="O5088"/>
      <c r="P5088" s="225"/>
      <c r="Q5088" s="225"/>
      <c r="R5088"/>
      <c r="S5088"/>
      <c r="T5088"/>
      <c r="U5088"/>
      <c r="V5088"/>
      <c r="W5088"/>
      <c r="X5088"/>
    </row>
    <row r="5089" spans="5:24" x14ac:dyDescent="0.3">
      <c r="E5089" s="173"/>
      <c r="F5089" s="173"/>
      <c r="I5089"/>
      <c r="J5089"/>
      <c r="K5089"/>
      <c r="L5089"/>
      <c r="M5089"/>
      <c r="N5089"/>
      <c r="O5089"/>
      <c r="P5089" s="225"/>
      <c r="Q5089" s="225"/>
      <c r="R5089"/>
      <c r="S5089"/>
      <c r="T5089"/>
      <c r="U5089"/>
      <c r="V5089"/>
      <c r="W5089"/>
      <c r="X5089"/>
    </row>
    <row r="5090" spans="5:24" x14ac:dyDescent="0.3">
      <c r="E5090" s="173"/>
      <c r="F5090" s="173"/>
      <c r="I5090"/>
      <c r="J5090"/>
      <c r="K5090"/>
      <c r="L5090"/>
      <c r="M5090"/>
      <c r="N5090"/>
      <c r="O5090"/>
      <c r="P5090" s="225"/>
      <c r="Q5090" s="225"/>
      <c r="R5090"/>
      <c r="S5090"/>
      <c r="T5090"/>
      <c r="U5090"/>
      <c r="V5090"/>
      <c r="W5090"/>
      <c r="X5090"/>
    </row>
    <row r="5091" spans="5:24" x14ac:dyDescent="0.3">
      <c r="E5091" s="173"/>
      <c r="F5091" s="173"/>
      <c r="I5091"/>
      <c r="J5091"/>
      <c r="K5091"/>
      <c r="L5091"/>
      <c r="M5091"/>
      <c r="N5091"/>
      <c r="O5091"/>
      <c r="P5091" s="225"/>
      <c r="Q5091" s="225"/>
      <c r="R5091"/>
      <c r="S5091"/>
      <c r="T5091"/>
      <c r="U5091"/>
      <c r="V5091"/>
      <c r="W5091"/>
      <c r="X5091"/>
    </row>
    <row r="5092" spans="5:24" x14ac:dyDescent="0.3">
      <c r="E5092" s="173"/>
      <c r="F5092" s="173"/>
      <c r="I5092"/>
      <c r="J5092"/>
      <c r="K5092"/>
      <c r="L5092"/>
      <c r="M5092"/>
      <c r="N5092"/>
      <c r="O5092"/>
      <c r="P5092" s="225"/>
      <c r="Q5092" s="225"/>
      <c r="R5092"/>
      <c r="S5092"/>
      <c r="T5092"/>
      <c r="U5092"/>
      <c r="V5092"/>
      <c r="W5092"/>
      <c r="X5092"/>
    </row>
    <row r="5093" spans="5:24" x14ac:dyDescent="0.3">
      <c r="E5093" s="173"/>
      <c r="F5093" s="173"/>
      <c r="I5093"/>
      <c r="J5093"/>
      <c r="K5093"/>
      <c r="L5093"/>
      <c r="M5093"/>
      <c r="N5093"/>
      <c r="O5093"/>
      <c r="P5093" s="225"/>
      <c r="Q5093" s="225"/>
      <c r="R5093"/>
      <c r="S5093"/>
      <c r="T5093"/>
      <c r="U5093"/>
      <c r="V5093"/>
      <c r="W5093"/>
      <c r="X5093"/>
    </row>
    <row r="5094" spans="5:24" x14ac:dyDescent="0.3">
      <c r="E5094" s="173"/>
      <c r="F5094" s="173"/>
      <c r="I5094"/>
      <c r="J5094"/>
      <c r="K5094"/>
      <c r="L5094"/>
      <c r="M5094"/>
      <c r="N5094"/>
      <c r="O5094"/>
      <c r="P5094" s="225"/>
      <c r="Q5094" s="225"/>
      <c r="R5094"/>
      <c r="S5094"/>
      <c r="T5094"/>
      <c r="U5094"/>
      <c r="V5094"/>
      <c r="W5094"/>
      <c r="X5094"/>
    </row>
    <row r="5095" spans="5:24" x14ac:dyDescent="0.3">
      <c r="E5095" s="173"/>
      <c r="F5095" s="173"/>
      <c r="I5095"/>
      <c r="J5095"/>
      <c r="K5095"/>
      <c r="L5095"/>
      <c r="M5095"/>
      <c r="N5095"/>
      <c r="O5095"/>
      <c r="P5095" s="225"/>
      <c r="Q5095" s="225"/>
      <c r="R5095"/>
      <c r="S5095"/>
      <c r="T5095"/>
      <c r="U5095"/>
      <c r="V5095"/>
      <c r="W5095"/>
      <c r="X5095"/>
    </row>
    <row r="5096" spans="5:24" x14ac:dyDescent="0.3">
      <c r="E5096" s="173"/>
      <c r="F5096" s="173"/>
      <c r="I5096"/>
      <c r="J5096"/>
      <c r="K5096"/>
      <c r="L5096"/>
      <c r="M5096"/>
      <c r="N5096"/>
      <c r="O5096"/>
      <c r="P5096" s="225"/>
      <c r="Q5096" s="225"/>
      <c r="R5096"/>
      <c r="S5096"/>
      <c r="T5096"/>
      <c r="U5096"/>
      <c r="V5096"/>
      <c r="W5096"/>
      <c r="X5096"/>
    </row>
    <row r="5097" spans="5:24" x14ac:dyDescent="0.3">
      <c r="E5097" s="173"/>
      <c r="F5097" s="173"/>
      <c r="I5097"/>
      <c r="J5097"/>
      <c r="K5097"/>
      <c r="L5097"/>
      <c r="M5097"/>
      <c r="N5097"/>
      <c r="O5097"/>
      <c r="P5097" s="225"/>
      <c r="Q5097" s="225"/>
      <c r="R5097"/>
      <c r="S5097"/>
      <c r="T5097"/>
      <c r="U5097"/>
      <c r="V5097"/>
      <c r="W5097"/>
      <c r="X5097"/>
    </row>
    <row r="5098" spans="5:24" x14ac:dyDescent="0.3">
      <c r="E5098" s="173"/>
      <c r="F5098" s="173"/>
      <c r="I5098"/>
      <c r="J5098"/>
      <c r="K5098"/>
      <c r="L5098"/>
      <c r="M5098"/>
      <c r="N5098"/>
      <c r="O5098"/>
      <c r="P5098" s="225"/>
      <c r="Q5098" s="225"/>
      <c r="R5098"/>
      <c r="S5098"/>
      <c r="T5098"/>
      <c r="U5098"/>
      <c r="V5098"/>
      <c r="W5098"/>
      <c r="X5098"/>
    </row>
    <row r="5099" spans="5:24" x14ac:dyDescent="0.3">
      <c r="E5099" s="173"/>
      <c r="F5099" s="173"/>
      <c r="I5099"/>
      <c r="J5099"/>
      <c r="K5099"/>
      <c r="L5099"/>
      <c r="M5099"/>
      <c r="N5099"/>
      <c r="O5099"/>
      <c r="P5099" s="225"/>
      <c r="Q5099" s="225"/>
      <c r="R5099"/>
      <c r="S5099"/>
      <c r="T5099"/>
      <c r="U5099"/>
      <c r="V5099"/>
      <c r="W5099"/>
      <c r="X5099"/>
    </row>
    <row r="5100" spans="5:24" x14ac:dyDescent="0.3">
      <c r="E5100" s="173"/>
      <c r="F5100" s="173"/>
      <c r="I5100"/>
      <c r="J5100"/>
      <c r="K5100"/>
      <c r="L5100"/>
      <c r="M5100"/>
      <c r="N5100"/>
      <c r="O5100"/>
      <c r="P5100" s="225"/>
      <c r="Q5100" s="225"/>
      <c r="R5100"/>
      <c r="S5100"/>
      <c r="T5100"/>
      <c r="U5100"/>
      <c r="V5100"/>
      <c r="W5100"/>
      <c r="X5100"/>
    </row>
    <row r="5101" spans="5:24" x14ac:dyDescent="0.3">
      <c r="E5101" s="173"/>
      <c r="F5101" s="173"/>
      <c r="I5101"/>
      <c r="J5101"/>
      <c r="K5101"/>
      <c r="L5101"/>
      <c r="M5101"/>
      <c r="N5101"/>
      <c r="O5101"/>
      <c r="P5101" s="225"/>
      <c r="Q5101" s="225"/>
      <c r="R5101"/>
      <c r="S5101"/>
      <c r="T5101"/>
      <c r="U5101"/>
      <c r="V5101"/>
      <c r="W5101"/>
      <c r="X5101"/>
    </row>
    <row r="5102" spans="5:24" x14ac:dyDescent="0.3">
      <c r="E5102" s="173"/>
      <c r="F5102" s="173"/>
      <c r="I5102"/>
      <c r="J5102"/>
      <c r="K5102"/>
      <c r="L5102"/>
      <c r="M5102"/>
      <c r="N5102"/>
      <c r="O5102"/>
      <c r="P5102" s="225"/>
      <c r="Q5102" s="225"/>
      <c r="R5102"/>
      <c r="S5102"/>
      <c r="T5102"/>
      <c r="U5102"/>
      <c r="V5102"/>
      <c r="W5102"/>
      <c r="X5102"/>
    </row>
    <row r="5103" spans="5:24" x14ac:dyDescent="0.3">
      <c r="E5103" s="173"/>
      <c r="F5103" s="173"/>
      <c r="I5103"/>
      <c r="J5103"/>
      <c r="K5103"/>
      <c r="L5103"/>
      <c r="M5103"/>
      <c r="N5103"/>
      <c r="O5103"/>
      <c r="P5103" s="225"/>
      <c r="Q5103" s="225"/>
      <c r="R5103"/>
      <c r="S5103"/>
      <c r="T5103"/>
      <c r="U5103"/>
      <c r="V5103"/>
      <c r="W5103"/>
      <c r="X5103"/>
    </row>
    <row r="5104" spans="5:24" x14ac:dyDescent="0.3">
      <c r="E5104" s="173"/>
      <c r="F5104" s="173"/>
      <c r="I5104"/>
      <c r="J5104"/>
      <c r="K5104"/>
      <c r="L5104"/>
      <c r="M5104"/>
      <c r="N5104"/>
      <c r="O5104"/>
      <c r="P5104" s="225"/>
      <c r="Q5104" s="225"/>
      <c r="R5104"/>
      <c r="S5104"/>
      <c r="T5104"/>
      <c r="U5104"/>
      <c r="V5104"/>
      <c r="W5104"/>
      <c r="X5104"/>
    </row>
    <row r="5105" spans="5:24" x14ac:dyDescent="0.3">
      <c r="E5105" s="173"/>
      <c r="F5105" s="173"/>
      <c r="I5105"/>
      <c r="J5105"/>
      <c r="K5105"/>
      <c r="L5105"/>
      <c r="M5105"/>
      <c r="N5105"/>
      <c r="O5105"/>
      <c r="P5105" s="225"/>
      <c r="Q5105" s="225"/>
      <c r="R5105"/>
      <c r="S5105"/>
      <c r="T5105"/>
      <c r="U5105"/>
      <c r="V5105"/>
      <c r="W5105"/>
      <c r="X5105"/>
    </row>
    <row r="5106" spans="5:24" x14ac:dyDescent="0.3">
      <c r="E5106" s="173"/>
      <c r="F5106" s="173"/>
      <c r="I5106"/>
      <c r="J5106"/>
      <c r="K5106"/>
      <c r="L5106"/>
      <c r="M5106"/>
      <c r="N5106"/>
      <c r="O5106"/>
      <c r="P5106" s="225"/>
      <c r="Q5106" s="225"/>
      <c r="R5106"/>
      <c r="S5106"/>
      <c r="T5106"/>
      <c r="U5106"/>
      <c r="V5106"/>
      <c r="W5106"/>
      <c r="X5106"/>
    </row>
    <row r="5107" spans="5:24" x14ac:dyDescent="0.3">
      <c r="E5107" s="173"/>
      <c r="F5107" s="173"/>
      <c r="I5107"/>
      <c r="J5107"/>
      <c r="K5107"/>
      <c r="L5107"/>
      <c r="M5107"/>
      <c r="N5107"/>
      <c r="O5107"/>
      <c r="P5107" s="225"/>
      <c r="Q5107" s="225"/>
      <c r="R5107"/>
      <c r="S5107"/>
      <c r="T5107"/>
      <c r="U5107"/>
      <c r="V5107"/>
      <c r="W5107"/>
      <c r="X5107"/>
    </row>
    <row r="5108" spans="5:24" x14ac:dyDescent="0.3">
      <c r="E5108" s="173"/>
      <c r="F5108" s="173"/>
      <c r="I5108"/>
      <c r="J5108"/>
      <c r="K5108"/>
      <c r="L5108"/>
      <c r="M5108"/>
      <c r="N5108"/>
      <c r="O5108"/>
      <c r="P5108" s="225"/>
      <c r="Q5108" s="225"/>
      <c r="R5108"/>
      <c r="S5108"/>
      <c r="T5108"/>
      <c r="U5108"/>
      <c r="V5108"/>
      <c r="W5108"/>
      <c r="X5108"/>
    </row>
    <row r="5109" spans="5:24" x14ac:dyDescent="0.3">
      <c r="E5109" s="173"/>
      <c r="F5109" s="173"/>
      <c r="I5109"/>
      <c r="J5109"/>
      <c r="K5109"/>
      <c r="L5109"/>
      <c r="M5109"/>
      <c r="N5109"/>
      <c r="O5109"/>
      <c r="P5109" s="225"/>
      <c r="Q5109" s="225"/>
      <c r="R5109"/>
      <c r="S5109"/>
      <c r="T5109"/>
      <c r="U5109"/>
      <c r="V5109"/>
      <c r="W5109"/>
      <c r="X5109"/>
    </row>
    <row r="5110" spans="5:24" x14ac:dyDescent="0.3">
      <c r="E5110" s="173"/>
      <c r="F5110" s="173"/>
      <c r="I5110"/>
      <c r="J5110"/>
      <c r="K5110"/>
      <c r="L5110"/>
      <c r="M5110"/>
      <c r="N5110"/>
      <c r="O5110"/>
      <c r="P5110" s="225"/>
      <c r="Q5110" s="225"/>
      <c r="R5110"/>
      <c r="S5110"/>
      <c r="T5110"/>
      <c r="U5110"/>
      <c r="V5110"/>
      <c r="W5110"/>
      <c r="X5110"/>
    </row>
    <row r="5111" spans="5:24" x14ac:dyDescent="0.3">
      <c r="E5111" s="173"/>
      <c r="F5111" s="173"/>
      <c r="I5111"/>
      <c r="J5111"/>
      <c r="K5111"/>
      <c r="L5111"/>
      <c r="M5111"/>
      <c r="N5111"/>
      <c r="O5111"/>
      <c r="P5111" s="225"/>
      <c r="Q5111" s="225"/>
      <c r="R5111"/>
      <c r="S5111"/>
      <c r="T5111"/>
      <c r="U5111"/>
      <c r="V5111"/>
      <c r="W5111"/>
      <c r="X5111"/>
    </row>
    <row r="5112" spans="5:24" x14ac:dyDescent="0.3">
      <c r="E5112" s="173"/>
      <c r="F5112" s="173"/>
      <c r="I5112"/>
      <c r="J5112"/>
      <c r="K5112"/>
      <c r="L5112"/>
      <c r="M5112"/>
      <c r="N5112"/>
      <c r="O5112"/>
      <c r="P5112" s="225"/>
      <c r="Q5112" s="225"/>
      <c r="R5112"/>
      <c r="S5112"/>
      <c r="T5112"/>
      <c r="U5112"/>
      <c r="V5112"/>
      <c r="W5112"/>
      <c r="X5112"/>
    </row>
    <row r="5113" spans="5:24" x14ac:dyDescent="0.3">
      <c r="E5113" s="173"/>
      <c r="F5113" s="173"/>
      <c r="I5113"/>
      <c r="J5113"/>
      <c r="K5113"/>
      <c r="L5113"/>
      <c r="M5113"/>
      <c r="N5113"/>
      <c r="O5113"/>
      <c r="P5113" s="225"/>
      <c r="Q5113" s="225"/>
      <c r="R5113"/>
      <c r="S5113"/>
      <c r="T5113"/>
      <c r="U5113"/>
      <c r="V5113"/>
      <c r="W5113"/>
      <c r="X5113"/>
    </row>
    <row r="5114" spans="5:24" x14ac:dyDescent="0.3">
      <c r="E5114" s="173"/>
      <c r="F5114" s="173"/>
      <c r="I5114"/>
      <c r="J5114"/>
      <c r="K5114"/>
      <c r="L5114"/>
      <c r="M5114"/>
      <c r="N5114"/>
      <c r="O5114"/>
      <c r="P5114" s="225"/>
      <c r="Q5114" s="225"/>
      <c r="R5114"/>
      <c r="S5114"/>
      <c r="T5114"/>
      <c r="U5114"/>
      <c r="V5114"/>
      <c r="W5114"/>
      <c r="X5114"/>
    </row>
    <row r="5115" spans="5:24" x14ac:dyDescent="0.3">
      <c r="E5115" s="173"/>
      <c r="F5115" s="173"/>
      <c r="I5115"/>
      <c r="J5115"/>
      <c r="K5115"/>
      <c r="L5115"/>
      <c r="M5115"/>
      <c r="N5115"/>
      <c r="O5115"/>
      <c r="P5115" s="225"/>
      <c r="Q5115" s="225"/>
      <c r="R5115"/>
      <c r="S5115"/>
      <c r="T5115"/>
      <c r="U5115"/>
      <c r="V5115"/>
      <c r="W5115"/>
      <c r="X5115"/>
    </row>
    <row r="5116" spans="5:24" x14ac:dyDescent="0.3">
      <c r="E5116" s="173"/>
      <c r="F5116" s="173"/>
      <c r="I5116"/>
      <c r="J5116"/>
      <c r="K5116"/>
      <c r="L5116"/>
      <c r="M5116"/>
      <c r="N5116"/>
      <c r="O5116"/>
      <c r="P5116" s="225"/>
      <c r="Q5116" s="225"/>
      <c r="R5116"/>
      <c r="S5116"/>
      <c r="T5116"/>
      <c r="U5116"/>
      <c r="V5116"/>
      <c r="W5116"/>
      <c r="X5116"/>
    </row>
    <row r="5117" spans="5:24" x14ac:dyDescent="0.3">
      <c r="E5117" s="173"/>
      <c r="F5117" s="173"/>
      <c r="I5117"/>
      <c r="J5117"/>
      <c r="K5117"/>
      <c r="L5117"/>
      <c r="M5117"/>
      <c r="N5117"/>
      <c r="O5117"/>
      <c r="P5117" s="225"/>
      <c r="Q5117" s="225"/>
      <c r="R5117"/>
      <c r="S5117"/>
      <c r="T5117"/>
      <c r="U5117"/>
      <c r="V5117"/>
      <c r="W5117"/>
      <c r="X5117"/>
    </row>
    <row r="5118" spans="5:24" x14ac:dyDescent="0.3">
      <c r="E5118" s="173"/>
      <c r="F5118" s="173"/>
      <c r="I5118"/>
      <c r="J5118"/>
      <c r="K5118"/>
      <c r="L5118"/>
      <c r="M5118"/>
      <c r="N5118"/>
      <c r="O5118"/>
      <c r="P5118" s="225"/>
      <c r="Q5118" s="225"/>
      <c r="R5118"/>
      <c r="S5118"/>
      <c r="T5118"/>
      <c r="U5118"/>
      <c r="V5118"/>
      <c r="W5118"/>
      <c r="X5118"/>
    </row>
    <row r="5119" spans="5:24" x14ac:dyDescent="0.3">
      <c r="E5119" s="173"/>
      <c r="F5119" s="173"/>
      <c r="I5119"/>
      <c r="J5119"/>
      <c r="K5119"/>
      <c r="L5119"/>
      <c r="M5119"/>
      <c r="N5119"/>
      <c r="O5119"/>
      <c r="P5119" s="225"/>
      <c r="Q5119" s="225"/>
      <c r="R5119"/>
      <c r="S5119"/>
      <c r="T5119"/>
      <c r="U5119"/>
      <c r="V5119"/>
      <c r="W5119"/>
      <c r="X5119"/>
    </row>
    <row r="5120" spans="5:24" x14ac:dyDescent="0.3">
      <c r="E5120" s="173"/>
      <c r="F5120" s="173"/>
      <c r="I5120"/>
      <c r="J5120"/>
      <c r="K5120"/>
      <c r="L5120"/>
      <c r="M5120"/>
      <c r="N5120"/>
      <c r="O5120"/>
      <c r="P5120" s="225"/>
      <c r="Q5120" s="225"/>
      <c r="R5120"/>
      <c r="S5120"/>
      <c r="T5120"/>
      <c r="U5120"/>
      <c r="V5120"/>
      <c r="W5120"/>
      <c r="X5120"/>
    </row>
    <row r="5121" spans="5:24" x14ac:dyDescent="0.3">
      <c r="E5121" s="173"/>
      <c r="F5121" s="173"/>
      <c r="I5121"/>
      <c r="J5121"/>
      <c r="K5121"/>
      <c r="L5121"/>
      <c r="M5121"/>
      <c r="N5121"/>
      <c r="O5121"/>
      <c r="P5121" s="225"/>
      <c r="Q5121" s="225"/>
      <c r="R5121"/>
      <c r="S5121"/>
      <c r="T5121"/>
      <c r="U5121"/>
      <c r="V5121"/>
      <c r="W5121"/>
      <c r="X5121"/>
    </row>
    <row r="5122" spans="5:24" x14ac:dyDescent="0.3">
      <c r="E5122" s="173"/>
      <c r="F5122" s="173"/>
      <c r="I5122"/>
      <c r="J5122"/>
      <c r="K5122"/>
      <c r="L5122"/>
      <c r="M5122"/>
      <c r="N5122"/>
      <c r="O5122"/>
      <c r="P5122" s="225"/>
      <c r="Q5122" s="225"/>
      <c r="R5122"/>
      <c r="S5122"/>
      <c r="T5122"/>
      <c r="U5122"/>
      <c r="V5122"/>
      <c r="W5122"/>
      <c r="X5122"/>
    </row>
    <row r="5123" spans="5:24" x14ac:dyDescent="0.3">
      <c r="E5123" s="173"/>
      <c r="F5123" s="173"/>
      <c r="I5123"/>
      <c r="J5123"/>
      <c r="K5123"/>
      <c r="L5123"/>
      <c r="M5123"/>
      <c r="N5123"/>
      <c r="O5123"/>
      <c r="P5123" s="225"/>
      <c r="Q5123" s="225"/>
      <c r="R5123"/>
      <c r="S5123"/>
      <c r="T5123"/>
      <c r="U5123"/>
      <c r="V5123"/>
      <c r="W5123"/>
      <c r="X5123"/>
    </row>
    <row r="5124" spans="5:24" x14ac:dyDescent="0.3">
      <c r="E5124" s="173"/>
      <c r="F5124" s="173"/>
      <c r="I5124"/>
      <c r="J5124"/>
      <c r="K5124"/>
      <c r="L5124"/>
      <c r="M5124"/>
      <c r="N5124"/>
      <c r="O5124"/>
      <c r="P5124" s="225"/>
      <c r="Q5124" s="225"/>
      <c r="R5124"/>
      <c r="S5124"/>
      <c r="T5124"/>
      <c r="U5124"/>
      <c r="V5124"/>
      <c r="W5124"/>
      <c r="X5124"/>
    </row>
    <row r="5125" spans="5:24" x14ac:dyDescent="0.3">
      <c r="E5125" s="173"/>
      <c r="F5125" s="173"/>
      <c r="I5125"/>
      <c r="J5125"/>
      <c r="K5125"/>
      <c r="L5125"/>
      <c r="M5125"/>
      <c r="N5125"/>
      <c r="O5125"/>
      <c r="P5125" s="225"/>
      <c r="Q5125" s="225"/>
      <c r="R5125"/>
      <c r="S5125"/>
      <c r="T5125"/>
      <c r="U5125"/>
      <c r="V5125"/>
      <c r="W5125"/>
      <c r="X5125"/>
    </row>
    <row r="5126" spans="5:24" x14ac:dyDescent="0.3">
      <c r="E5126" s="173"/>
      <c r="F5126" s="173"/>
      <c r="I5126"/>
      <c r="J5126"/>
      <c r="K5126"/>
      <c r="L5126"/>
      <c r="M5126"/>
      <c r="N5126"/>
      <c r="O5126"/>
      <c r="P5126" s="225"/>
      <c r="Q5126" s="225"/>
      <c r="R5126"/>
      <c r="S5126"/>
      <c r="T5126"/>
      <c r="U5126"/>
      <c r="V5126"/>
      <c r="W5126"/>
      <c r="X5126"/>
    </row>
    <row r="5127" spans="5:24" x14ac:dyDescent="0.3">
      <c r="E5127" s="173"/>
      <c r="F5127" s="173"/>
      <c r="I5127"/>
      <c r="J5127"/>
      <c r="K5127"/>
      <c r="L5127"/>
      <c r="M5127"/>
      <c r="N5127"/>
      <c r="O5127"/>
      <c r="P5127" s="225"/>
      <c r="Q5127" s="225"/>
      <c r="R5127"/>
      <c r="S5127"/>
      <c r="T5127"/>
      <c r="U5127"/>
      <c r="V5127"/>
      <c r="W5127"/>
      <c r="X5127"/>
    </row>
    <row r="5128" spans="5:24" x14ac:dyDescent="0.3">
      <c r="E5128" s="173"/>
      <c r="F5128" s="173"/>
      <c r="I5128"/>
      <c r="J5128"/>
      <c r="K5128"/>
      <c r="L5128"/>
      <c r="M5128"/>
      <c r="N5128"/>
      <c r="O5128"/>
      <c r="P5128" s="225"/>
      <c r="Q5128" s="225"/>
      <c r="R5128"/>
      <c r="S5128"/>
      <c r="T5128"/>
      <c r="U5128"/>
      <c r="V5128"/>
      <c r="W5128"/>
      <c r="X5128"/>
    </row>
    <row r="5129" spans="5:24" x14ac:dyDescent="0.3">
      <c r="E5129" s="173"/>
      <c r="F5129" s="173"/>
      <c r="I5129"/>
      <c r="J5129"/>
      <c r="K5129"/>
      <c r="L5129"/>
      <c r="M5129"/>
      <c r="N5129"/>
      <c r="O5129"/>
      <c r="P5129" s="225"/>
      <c r="Q5129" s="225"/>
      <c r="R5129"/>
      <c r="S5129"/>
      <c r="T5129"/>
      <c r="U5129"/>
      <c r="V5129"/>
      <c r="W5129"/>
      <c r="X5129"/>
    </row>
    <row r="5130" spans="5:24" x14ac:dyDescent="0.3">
      <c r="E5130" s="173"/>
      <c r="F5130" s="173"/>
      <c r="I5130"/>
      <c r="J5130"/>
      <c r="K5130"/>
      <c r="L5130"/>
      <c r="M5130"/>
      <c r="N5130"/>
      <c r="O5130"/>
      <c r="P5130" s="225"/>
      <c r="Q5130" s="225"/>
      <c r="R5130"/>
      <c r="S5130"/>
      <c r="T5130"/>
      <c r="U5130"/>
      <c r="V5130"/>
      <c r="W5130"/>
      <c r="X5130"/>
    </row>
    <row r="5131" spans="5:24" x14ac:dyDescent="0.3">
      <c r="E5131" s="173"/>
      <c r="F5131" s="173"/>
      <c r="I5131"/>
      <c r="J5131"/>
      <c r="K5131"/>
      <c r="L5131"/>
      <c r="M5131"/>
      <c r="N5131"/>
      <c r="O5131"/>
      <c r="P5131" s="225"/>
      <c r="Q5131" s="225"/>
      <c r="R5131"/>
      <c r="S5131"/>
      <c r="T5131"/>
      <c r="U5131"/>
      <c r="V5131"/>
      <c r="W5131"/>
      <c r="X5131"/>
    </row>
    <row r="5132" spans="5:24" x14ac:dyDescent="0.3">
      <c r="E5132" s="173"/>
      <c r="F5132" s="173"/>
      <c r="I5132"/>
      <c r="J5132"/>
      <c r="K5132"/>
      <c r="L5132"/>
      <c r="M5132"/>
      <c r="N5132"/>
      <c r="O5132"/>
      <c r="P5132" s="225"/>
      <c r="Q5132" s="225"/>
      <c r="R5132"/>
      <c r="S5132"/>
      <c r="T5132"/>
      <c r="U5132"/>
      <c r="V5132"/>
      <c r="W5132"/>
      <c r="X5132"/>
    </row>
    <row r="5133" spans="5:24" x14ac:dyDescent="0.3">
      <c r="E5133" s="173"/>
      <c r="F5133" s="173"/>
      <c r="I5133"/>
      <c r="J5133"/>
      <c r="K5133"/>
      <c r="L5133"/>
      <c r="M5133"/>
      <c r="N5133"/>
      <c r="O5133"/>
      <c r="P5133" s="225"/>
      <c r="Q5133" s="225"/>
      <c r="R5133"/>
      <c r="S5133"/>
      <c r="T5133"/>
      <c r="U5133"/>
      <c r="V5133"/>
      <c r="W5133"/>
      <c r="X5133"/>
    </row>
    <row r="5134" spans="5:24" x14ac:dyDescent="0.3">
      <c r="E5134" s="173"/>
      <c r="F5134" s="173"/>
      <c r="I5134"/>
      <c r="J5134"/>
      <c r="K5134"/>
      <c r="L5134"/>
      <c r="M5134"/>
      <c r="N5134"/>
      <c r="O5134"/>
      <c r="P5134" s="225"/>
      <c r="Q5134" s="225"/>
      <c r="R5134"/>
      <c r="S5134"/>
      <c r="T5134"/>
      <c r="U5134"/>
      <c r="V5134"/>
      <c r="W5134"/>
      <c r="X5134"/>
    </row>
    <row r="5135" spans="5:24" x14ac:dyDescent="0.3">
      <c r="E5135" s="173"/>
      <c r="F5135" s="173"/>
      <c r="I5135"/>
      <c r="J5135"/>
      <c r="K5135"/>
      <c r="L5135"/>
      <c r="M5135"/>
      <c r="N5135"/>
      <c r="O5135"/>
      <c r="P5135" s="225"/>
      <c r="Q5135" s="225"/>
      <c r="R5135"/>
      <c r="S5135"/>
      <c r="T5135"/>
      <c r="U5135"/>
      <c r="V5135"/>
      <c r="W5135"/>
      <c r="X5135"/>
    </row>
    <row r="5136" spans="5:24" x14ac:dyDescent="0.3">
      <c r="E5136" s="173"/>
      <c r="F5136" s="173"/>
      <c r="I5136"/>
      <c r="J5136"/>
      <c r="K5136"/>
      <c r="L5136"/>
      <c r="M5136"/>
      <c r="N5136"/>
      <c r="O5136"/>
      <c r="P5136" s="225"/>
      <c r="Q5136" s="225"/>
      <c r="R5136"/>
      <c r="S5136"/>
      <c r="T5136"/>
      <c r="U5136"/>
      <c r="V5136"/>
      <c r="W5136"/>
      <c r="X5136"/>
    </row>
    <row r="5137" spans="5:24" x14ac:dyDescent="0.3">
      <c r="E5137" s="173"/>
      <c r="F5137" s="173"/>
      <c r="I5137"/>
      <c r="J5137"/>
      <c r="K5137"/>
      <c r="L5137"/>
      <c r="M5137"/>
      <c r="N5137"/>
      <c r="O5137"/>
      <c r="P5137" s="225"/>
      <c r="Q5137" s="225"/>
      <c r="R5137"/>
      <c r="S5137"/>
      <c r="T5137"/>
      <c r="U5137"/>
      <c r="V5137"/>
      <c r="W5137"/>
      <c r="X5137"/>
    </row>
    <row r="5138" spans="5:24" x14ac:dyDescent="0.3">
      <c r="E5138" s="173"/>
      <c r="F5138" s="173"/>
      <c r="I5138"/>
      <c r="J5138"/>
      <c r="K5138"/>
      <c r="L5138"/>
      <c r="M5138"/>
      <c r="N5138"/>
      <c r="O5138"/>
      <c r="P5138" s="225"/>
      <c r="Q5138" s="225"/>
      <c r="R5138"/>
      <c r="S5138"/>
      <c r="T5138"/>
      <c r="U5138"/>
      <c r="V5138"/>
      <c r="W5138"/>
      <c r="X5138"/>
    </row>
    <row r="5139" spans="5:24" x14ac:dyDescent="0.3">
      <c r="E5139" s="173"/>
      <c r="F5139" s="173"/>
      <c r="I5139"/>
      <c r="J5139"/>
      <c r="K5139"/>
      <c r="L5139"/>
      <c r="M5139"/>
      <c r="N5139"/>
      <c r="O5139"/>
      <c r="P5139" s="225"/>
      <c r="Q5139" s="225"/>
      <c r="R5139"/>
      <c r="S5139"/>
      <c r="T5139"/>
      <c r="U5139"/>
      <c r="V5139"/>
      <c r="W5139"/>
      <c r="X5139"/>
    </row>
    <row r="5140" spans="5:24" x14ac:dyDescent="0.3">
      <c r="E5140" s="173"/>
      <c r="F5140" s="173"/>
      <c r="I5140"/>
      <c r="J5140"/>
      <c r="K5140"/>
      <c r="L5140"/>
      <c r="M5140"/>
      <c r="N5140"/>
      <c r="O5140"/>
      <c r="P5140" s="225"/>
      <c r="Q5140" s="225"/>
      <c r="R5140"/>
      <c r="S5140"/>
      <c r="T5140"/>
      <c r="U5140"/>
      <c r="V5140"/>
      <c r="W5140"/>
      <c r="X5140"/>
    </row>
    <row r="5141" spans="5:24" x14ac:dyDescent="0.3">
      <c r="E5141" s="173"/>
      <c r="F5141" s="173"/>
      <c r="I5141"/>
      <c r="J5141"/>
      <c r="K5141"/>
      <c r="L5141"/>
      <c r="M5141"/>
      <c r="N5141"/>
      <c r="O5141"/>
      <c r="P5141" s="225"/>
      <c r="Q5141" s="225"/>
      <c r="R5141"/>
      <c r="S5141"/>
      <c r="T5141"/>
      <c r="U5141"/>
      <c r="V5141"/>
      <c r="W5141"/>
      <c r="X5141"/>
    </row>
    <row r="5142" spans="5:24" x14ac:dyDescent="0.3">
      <c r="E5142" s="173"/>
      <c r="F5142" s="173"/>
      <c r="I5142"/>
      <c r="J5142"/>
      <c r="K5142"/>
      <c r="L5142"/>
      <c r="M5142"/>
      <c r="N5142"/>
      <c r="O5142"/>
      <c r="P5142" s="225"/>
      <c r="Q5142" s="225"/>
      <c r="R5142"/>
      <c r="S5142"/>
      <c r="T5142"/>
      <c r="U5142"/>
      <c r="V5142"/>
      <c r="W5142"/>
      <c r="X5142"/>
    </row>
    <row r="5143" spans="5:24" x14ac:dyDescent="0.3">
      <c r="E5143" s="173"/>
      <c r="F5143" s="173"/>
      <c r="I5143"/>
      <c r="J5143"/>
      <c r="K5143"/>
      <c r="L5143"/>
      <c r="M5143"/>
      <c r="N5143"/>
      <c r="O5143"/>
      <c r="P5143" s="225"/>
      <c r="Q5143" s="225"/>
      <c r="R5143"/>
      <c r="S5143"/>
      <c r="T5143"/>
      <c r="U5143"/>
      <c r="V5143"/>
      <c r="W5143"/>
      <c r="X5143"/>
    </row>
    <row r="5144" spans="5:24" x14ac:dyDescent="0.3">
      <c r="E5144" s="173"/>
      <c r="F5144" s="173"/>
      <c r="I5144"/>
      <c r="J5144"/>
      <c r="K5144"/>
      <c r="L5144"/>
      <c r="M5144"/>
      <c r="N5144"/>
      <c r="O5144"/>
      <c r="P5144" s="225"/>
      <c r="Q5144" s="225"/>
      <c r="R5144"/>
      <c r="S5144"/>
      <c r="T5144"/>
      <c r="U5144"/>
      <c r="V5144"/>
      <c r="W5144"/>
      <c r="X5144"/>
    </row>
    <row r="5145" spans="5:24" x14ac:dyDescent="0.3">
      <c r="E5145" s="173"/>
      <c r="F5145" s="173"/>
      <c r="I5145"/>
      <c r="J5145"/>
      <c r="K5145"/>
      <c r="L5145"/>
      <c r="M5145"/>
      <c r="N5145"/>
      <c r="O5145"/>
      <c r="P5145" s="225"/>
      <c r="Q5145" s="225"/>
      <c r="R5145"/>
      <c r="S5145"/>
      <c r="T5145"/>
      <c r="U5145"/>
      <c r="V5145"/>
      <c r="W5145"/>
      <c r="X5145"/>
    </row>
    <row r="5146" spans="5:24" x14ac:dyDescent="0.3">
      <c r="E5146" s="173"/>
      <c r="F5146" s="173"/>
      <c r="I5146"/>
      <c r="J5146"/>
      <c r="K5146"/>
      <c r="L5146"/>
      <c r="M5146"/>
      <c r="N5146"/>
      <c r="O5146"/>
      <c r="P5146" s="225"/>
      <c r="Q5146" s="225"/>
      <c r="R5146"/>
      <c r="S5146"/>
      <c r="T5146"/>
      <c r="U5146"/>
      <c r="V5146"/>
      <c r="W5146"/>
      <c r="X5146"/>
    </row>
    <row r="5147" spans="5:24" x14ac:dyDescent="0.3">
      <c r="E5147" s="173"/>
      <c r="F5147" s="173"/>
      <c r="I5147"/>
      <c r="J5147"/>
      <c r="K5147"/>
      <c r="L5147"/>
      <c r="M5147"/>
      <c r="N5147"/>
      <c r="O5147"/>
      <c r="P5147" s="225"/>
      <c r="Q5147" s="225"/>
      <c r="R5147"/>
      <c r="S5147"/>
      <c r="T5147"/>
      <c r="U5147"/>
      <c r="V5147"/>
      <c r="W5147"/>
      <c r="X5147"/>
    </row>
    <row r="5148" spans="5:24" x14ac:dyDescent="0.3">
      <c r="E5148" s="173"/>
      <c r="F5148" s="173"/>
      <c r="I5148"/>
      <c r="J5148"/>
      <c r="K5148"/>
      <c r="L5148"/>
      <c r="M5148"/>
      <c r="N5148"/>
      <c r="O5148"/>
      <c r="P5148" s="225"/>
      <c r="Q5148" s="225"/>
      <c r="R5148"/>
      <c r="S5148"/>
      <c r="T5148"/>
      <c r="U5148"/>
      <c r="V5148"/>
      <c r="W5148"/>
      <c r="X5148"/>
    </row>
    <row r="5149" spans="5:24" x14ac:dyDescent="0.3">
      <c r="E5149" s="173"/>
      <c r="F5149" s="173"/>
      <c r="I5149"/>
      <c r="J5149"/>
      <c r="K5149"/>
      <c r="L5149"/>
      <c r="M5149"/>
      <c r="N5149"/>
      <c r="O5149"/>
      <c r="P5149" s="225"/>
      <c r="Q5149" s="225"/>
      <c r="R5149"/>
      <c r="S5149"/>
      <c r="T5149"/>
      <c r="U5149"/>
      <c r="V5149"/>
      <c r="W5149"/>
      <c r="X5149"/>
    </row>
    <row r="5150" spans="5:24" x14ac:dyDescent="0.3">
      <c r="E5150" s="173"/>
      <c r="F5150" s="173"/>
      <c r="I5150"/>
      <c r="J5150"/>
      <c r="K5150"/>
      <c r="L5150"/>
      <c r="M5150"/>
      <c r="N5150"/>
      <c r="O5150"/>
      <c r="P5150" s="225"/>
      <c r="Q5150" s="225"/>
      <c r="R5150"/>
      <c r="S5150"/>
      <c r="T5150"/>
      <c r="U5150"/>
      <c r="V5150"/>
      <c r="W5150"/>
      <c r="X5150"/>
    </row>
    <row r="5151" spans="5:24" x14ac:dyDescent="0.3">
      <c r="E5151" s="173"/>
      <c r="F5151" s="173"/>
      <c r="I5151"/>
      <c r="J5151"/>
      <c r="K5151"/>
      <c r="L5151"/>
      <c r="M5151"/>
      <c r="N5151"/>
      <c r="O5151"/>
      <c r="P5151" s="225"/>
      <c r="Q5151" s="225"/>
      <c r="R5151"/>
      <c r="S5151"/>
      <c r="T5151"/>
      <c r="U5151"/>
      <c r="V5151"/>
      <c r="W5151"/>
      <c r="X5151"/>
    </row>
    <row r="5152" spans="5:24" x14ac:dyDescent="0.3">
      <c r="E5152" s="173"/>
      <c r="F5152" s="173"/>
      <c r="I5152"/>
      <c r="J5152"/>
      <c r="K5152"/>
      <c r="L5152"/>
      <c r="M5152"/>
      <c r="N5152"/>
      <c r="O5152"/>
      <c r="P5152" s="225"/>
      <c r="Q5152" s="225"/>
      <c r="R5152"/>
      <c r="S5152"/>
      <c r="T5152"/>
      <c r="U5152"/>
      <c r="V5152"/>
      <c r="W5152"/>
      <c r="X5152"/>
    </row>
    <row r="5153" spans="5:24" x14ac:dyDescent="0.3">
      <c r="E5153" s="173"/>
      <c r="F5153" s="173"/>
      <c r="I5153"/>
      <c r="J5153"/>
      <c r="K5153"/>
      <c r="L5153"/>
      <c r="M5153"/>
      <c r="N5153"/>
      <c r="O5153"/>
      <c r="P5153" s="225"/>
      <c r="Q5153" s="225"/>
      <c r="R5153"/>
      <c r="S5153"/>
      <c r="T5153"/>
      <c r="U5153"/>
      <c r="V5153"/>
      <c r="W5153"/>
      <c r="X5153"/>
    </row>
    <row r="5154" spans="5:24" x14ac:dyDescent="0.3">
      <c r="E5154" s="173"/>
      <c r="F5154" s="173"/>
      <c r="I5154"/>
      <c r="J5154"/>
      <c r="K5154"/>
      <c r="L5154"/>
      <c r="M5154"/>
      <c r="N5154"/>
      <c r="O5154"/>
      <c r="P5154" s="225"/>
      <c r="Q5154" s="225"/>
      <c r="R5154"/>
      <c r="S5154"/>
      <c r="T5154"/>
      <c r="U5154"/>
      <c r="V5154"/>
      <c r="W5154"/>
      <c r="X5154"/>
    </row>
    <row r="5155" spans="5:24" x14ac:dyDescent="0.3">
      <c r="E5155" s="173"/>
      <c r="F5155" s="173"/>
      <c r="I5155"/>
      <c r="J5155"/>
      <c r="K5155"/>
      <c r="L5155"/>
      <c r="M5155"/>
      <c r="N5155"/>
      <c r="O5155"/>
      <c r="P5155" s="225"/>
      <c r="Q5155" s="225"/>
      <c r="R5155"/>
      <c r="S5155"/>
      <c r="T5155"/>
      <c r="U5155"/>
      <c r="V5155"/>
      <c r="W5155"/>
      <c r="X5155"/>
    </row>
    <row r="5156" spans="5:24" x14ac:dyDescent="0.3">
      <c r="E5156" s="173"/>
      <c r="F5156" s="173"/>
      <c r="I5156"/>
      <c r="J5156"/>
      <c r="K5156"/>
      <c r="L5156"/>
      <c r="M5156"/>
      <c r="N5156"/>
      <c r="O5156"/>
      <c r="P5156" s="225"/>
      <c r="Q5156" s="225"/>
      <c r="R5156"/>
      <c r="S5156"/>
      <c r="T5156"/>
      <c r="U5156"/>
      <c r="V5156"/>
      <c r="W5156"/>
      <c r="X5156"/>
    </row>
    <row r="5157" spans="5:24" x14ac:dyDescent="0.3">
      <c r="E5157" s="173"/>
      <c r="F5157" s="173"/>
      <c r="I5157"/>
      <c r="J5157"/>
      <c r="K5157"/>
      <c r="L5157"/>
      <c r="M5157"/>
      <c r="N5157"/>
      <c r="O5157"/>
      <c r="P5157" s="225"/>
      <c r="Q5157" s="225"/>
      <c r="R5157"/>
      <c r="S5157"/>
      <c r="T5157"/>
      <c r="U5157"/>
      <c r="V5157"/>
      <c r="W5157"/>
      <c r="X5157"/>
    </row>
    <row r="5158" spans="5:24" x14ac:dyDescent="0.3">
      <c r="E5158" s="173"/>
      <c r="F5158" s="173"/>
      <c r="I5158"/>
      <c r="J5158"/>
      <c r="K5158"/>
      <c r="L5158"/>
      <c r="M5158"/>
      <c r="N5158"/>
      <c r="O5158"/>
      <c r="P5158" s="225"/>
      <c r="Q5158" s="225"/>
      <c r="R5158"/>
      <c r="S5158"/>
      <c r="T5158"/>
      <c r="U5158"/>
      <c r="V5158"/>
      <c r="W5158"/>
      <c r="X5158"/>
    </row>
    <row r="5159" spans="5:24" x14ac:dyDescent="0.3">
      <c r="E5159" s="173"/>
      <c r="F5159" s="173"/>
      <c r="I5159"/>
      <c r="J5159"/>
      <c r="K5159"/>
      <c r="L5159"/>
      <c r="M5159"/>
      <c r="N5159"/>
      <c r="O5159"/>
      <c r="P5159" s="225"/>
      <c r="Q5159" s="225"/>
      <c r="R5159"/>
      <c r="S5159"/>
      <c r="T5159"/>
      <c r="U5159"/>
      <c r="V5159"/>
      <c r="W5159"/>
      <c r="X5159"/>
    </row>
    <row r="5160" spans="5:24" x14ac:dyDescent="0.3">
      <c r="E5160" s="173"/>
      <c r="F5160" s="173"/>
      <c r="I5160"/>
      <c r="J5160"/>
      <c r="K5160"/>
      <c r="L5160"/>
      <c r="M5160"/>
      <c r="N5160"/>
      <c r="O5160"/>
      <c r="P5160" s="225"/>
      <c r="Q5160" s="225"/>
      <c r="R5160"/>
      <c r="S5160"/>
      <c r="T5160"/>
      <c r="U5160"/>
      <c r="V5160"/>
      <c r="W5160"/>
      <c r="X5160"/>
    </row>
    <row r="5161" spans="5:24" x14ac:dyDescent="0.3">
      <c r="E5161" s="173"/>
      <c r="F5161" s="173"/>
      <c r="I5161"/>
      <c r="J5161"/>
      <c r="K5161"/>
      <c r="L5161"/>
      <c r="M5161"/>
      <c r="N5161"/>
      <c r="O5161"/>
      <c r="P5161" s="225"/>
      <c r="Q5161" s="225"/>
      <c r="R5161"/>
      <c r="S5161"/>
      <c r="T5161"/>
      <c r="U5161"/>
      <c r="V5161"/>
      <c r="W5161"/>
      <c r="X5161"/>
    </row>
    <row r="5162" spans="5:24" x14ac:dyDescent="0.3">
      <c r="E5162" s="173"/>
      <c r="F5162" s="173"/>
      <c r="I5162"/>
      <c r="J5162"/>
      <c r="K5162"/>
      <c r="L5162"/>
      <c r="M5162"/>
      <c r="N5162"/>
      <c r="O5162"/>
      <c r="P5162" s="225"/>
      <c r="Q5162" s="225"/>
      <c r="R5162"/>
      <c r="S5162"/>
      <c r="T5162"/>
      <c r="U5162"/>
      <c r="V5162"/>
      <c r="W5162"/>
      <c r="X5162"/>
    </row>
    <row r="5163" spans="5:24" x14ac:dyDescent="0.3">
      <c r="E5163" s="173"/>
      <c r="F5163" s="173"/>
      <c r="I5163"/>
      <c r="J5163"/>
      <c r="K5163"/>
      <c r="L5163"/>
      <c r="M5163"/>
      <c r="N5163"/>
      <c r="O5163"/>
      <c r="P5163" s="225"/>
      <c r="Q5163" s="225"/>
      <c r="R5163"/>
      <c r="S5163"/>
      <c r="T5163"/>
      <c r="U5163"/>
      <c r="V5163"/>
      <c r="W5163"/>
      <c r="X5163"/>
    </row>
    <row r="5164" spans="5:24" x14ac:dyDescent="0.3">
      <c r="E5164" s="173"/>
      <c r="F5164" s="173"/>
      <c r="I5164"/>
      <c r="J5164"/>
      <c r="K5164"/>
      <c r="L5164"/>
      <c r="M5164"/>
      <c r="N5164"/>
      <c r="O5164"/>
      <c r="P5164" s="225"/>
      <c r="Q5164" s="225"/>
      <c r="R5164"/>
      <c r="S5164"/>
      <c r="T5164"/>
      <c r="U5164"/>
      <c r="V5164"/>
      <c r="W5164"/>
      <c r="X5164"/>
    </row>
    <row r="5165" spans="5:24" x14ac:dyDescent="0.3">
      <c r="E5165" s="173"/>
      <c r="F5165" s="173"/>
      <c r="I5165"/>
      <c r="J5165"/>
      <c r="K5165"/>
      <c r="L5165"/>
      <c r="M5165"/>
      <c r="N5165"/>
      <c r="O5165"/>
      <c r="P5165" s="225"/>
      <c r="Q5165" s="225"/>
      <c r="R5165"/>
      <c r="S5165"/>
      <c r="T5165"/>
      <c r="U5165"/>
      <c r="V5165"/>
      <c r="W5165"/>
      <c r="X5165"/>
    </row>
    <row r="5166" spans="5:24" x14ac:dyDescent="0.3">
      <c r="E5166" s="173"/>
      <c r="F5166" s="173"/>
      <c r="I5166"/>
      <c r="J5166"/>
      <c r="K5166"/>
      <c r="L5166"/>
      <c r="M5166"/>
      <c r="N5166"/>
      <c r="O5166"/>
      <c r="P5166" s="225"/>
      <c r="Q5166" s="225"/>
      <c r="R5166"/>
      <c r="S5166"/>
      <c r="T5166"/>
      <c r="U5166"/>
      <c r="V5166"/>
      <c r="W5166"/>
      <c r="X5166"/>
    </row>
    <row r="5167" spans="5:24" x14ac:dyDescent="0.3">
      <c r="E5167" s="173"/>
      <c r="F5167" s="173"/>
      <c r="I5167"/>
      <c r="J5167"/>
      <c r="K5167"/>
      <c r="L5167"/>
      <c r="M5167"/>
      <c r="N5167"/>
      <c r="O5167"/>
      <c r="P5167" s="225"/>
      <c r="Q5167" s="225"/>
      <c r="R5167"/>
      <c r="S5167"/>
      <c r="T5167"/>
      <c r="U5167"/>
      <c r="V5167"/>
      <c r="W5167"/>
      <c r="X5167"/>
    </row>
    <row r="5168" spans="5:24" x14ac:dyDescent="0.3">
      <c r="E5168" s="173"/>
      <c r="F5168" s="173"/>
      <c r="I5168"/>
      <c r="J5168"/>
      <c r="K5168"/>
      <c r="L5168"/>
      <c r="M5168"/>
      <c r="N5168"/>
      <c r="O5168"/>
      <c r="P5168" s="225"/>
      <c r="Q5168" s="225"/>
      <c r="R5168"/>
      <c r="S5168"/>
      <c r="T5168"/>
      <c r="U5168"/>
      <c r="V5168"/>
      <c r="W5168"/>
      <c r="X5168"/>
    </row>
    <row r="5169" spans="5:24" x14ac:dyDescent="0.3">
      <c r="E5169" s="173"/>
      <c r="F5169" s="173"/>
      <c r="I5169"/>
      <c r="J5169"/>
      <c r="K5169"/>
      <c r="L5169"/>
      <c r="M5169"/>
      <c r="N5169"/>
      <c r="O5169"/>
      <c r="P5169" s="225"/>
      <c r="Q5169" s="225"/>
      <c r="R5169"/>
      <c r="S5169"/>
      <c r="T5169"/>
      <c r="U5169"/>
      <c r="V5169"/>
      <c r="W5169"/>
      <c r="X5169"/>
    </row>
    <row r="5170" spans="5:24" x14ac:dyDescent="0.3">
      <c r="E5170" s="173"/>
      <c r="F5170" s="173"/>
      <c r="I5170"/>
      <c r="J5170"/>
      <c r="K5170"/>
      <c r="L5170"/>
      <c r="M5170"/>
      <c r="N5170"/>
      <c r="O5170"/>
      <c r="P5170" s="225"/>
      <c r="Q5170" s="225"/>
      <c r="R5170"/>
      <c r="S5170"/>
      <c r="T5170"/>
      <c r="U5170"/>
      <c r="V5170"/>
      <c r="W5170"/>
      <c r="X5170"/>
    </row>
    <row r="5171" spans="5:24" x14ac:dyDescent="0.3">
      <c r="E5171" s="173"/>
      <c r="F5171" s="173"/>
      <c r="I5171"/>
      <c r="J5171"/>
      <c r="K5171"/>
      <c r="L5171"/>
      <c r="M5171"/>
      <c r="N5171"/>
      <c r="O5171"/>
      <c r="P5171" s="225"/>
      <c r="Q5171" s="225"/>
      <c r="R5171"/>
      <c r="S5171"/>
      <c r="T5171"/>
      <c r="U5171"/>
      <c r="V5171"/>
      <c r="W5171"/>
      <c r="X5171"/>
    </row>
    <row r="5172" spans="5:24" x14ac:dyDescent="0.3">
      <c r="E5172" s="173"/>
      <c r="F5172" s="173"/>
      <c r="I5172"/>
      <c r="J5172"/>
      <c r="K5172"/>
      <c r="L5172"/>
      <c r="M5172"/>
      <c r="N5172"/>
      <c r="O5172"/>
      <c r="P5172" s="225"/>
      <c r="Q5172" s="225"/>
      <c r="R5172"/>
      <c r="S5172"/>
      <c r="T5172"/>
      <c r="U5172"/>
      <c r="V5172"/>
      <c r="W5172"/>
      <c r="X5172"/>
    </row>
    <row r="5173" spans="5:24" x14ac:dyDescent="0.3">
      <c r="E5173" s="173"/>
      <c r="F5173" s="173"/>
      <c r="I5173"/>
      <c r="J5173"/>
      <c r="K5173"/>
      <c r="L5173"/>
      <c r="M5173"/>
      <c r="N5173"/>
      <c r="O5173"/>
      <c r="P5173" s="225"/>
      <c r="Q5173" s="225"/>
      <c r="R5173"/>
      <c r="S5173"/>
      <c r="T5173"/>
      <c r="U5173"/>
      <c r="V5173"/>
      <c r="W5173"/>
      <c r="X5173"/>
    </row>
    <row r="5174" spans="5:24" x14ac:dyDescent="0.3">
      <c r="E5174" s="173"/>
      <c r="F5174" s="173"/>
      <c r="I5174"/>
      <c r="J5174"/>
      <c r="K5174"/>
      <c r="L5174"/>
      <c r="M5174"/>
      <c r="N5174"/>
      <c r="O5174"/>
      <c r="P5174" s="225"/>
      <c r="Q5174" s="225"/>
      <c r="R5174"/>
      <c r="S5174"/>
      <c r="T5174"/>
      <c r="U5174"/>
      <c r="V5174"/>
      <c r="W5174"/>
      <c r="X5174"/>
    </row>
    <row r="5175" spans="5:24" x14ac:dyDescent="0.3">
      <c r="E5175" s="173"/>
      <c r="F5175" s="173"/>
      <c r="I5175"/>
      <c r="J5175"/>
      <c r="K5175"/>
      <c r="L5175"/>
      <c r="M5175"/>
      <c r="N5175"/>
      <c r="O5175"/>
      <c r="P5175" s="225"/>
      <c r="Q5175" s="225"/>
      <c r="R5175"/>
      <c r="S5175"/>
      <c r="T5175"/>
      <c r="U5175"/>
      <c r="V5175"/>
      <c r="W5175"/>
      <c r="X5175"/>
    </row>
    <row r="5176" spans="5:24" x14ac:dyDescent="0.3">
      <c r="E5176" s="173"/>
      <c r="F5176" s="173"/>
      <c r="I5176"/>
      <c r="J5176"/>
      <c r="K5176"/>
      <c r="L5176"/>
      <c r="M5176"/>
      <c r="N5176"/>
      <c r="O5176"/>
      <c r="P5176" s="225"/>
      <c r="Q5176" s="225"/>
      <c r="R5176"/>
      <c r="S5176"/>
      <c r="T5176"/>
      <c r="U5176"/>
      <c r="V5176"/>
      <c r="W5176"/>
      <c r="X5176"/>
    </row>
    <row r="5177" spans="5:24" x14ac:dyDescent="0.3">
      <c r="E5177" s="173"/>
      <c r="F5177" s="173"/>
      <c r="I5177"/>
      <c r="J5177"/>
      <c r="K5177"/>
      <c r="L5177"/>
      <c r="M5177"/>
      <c r="N5177"/>
      <c r="O5177"/>
      <c r="P5177" s="225"/>
      <c r="Q5177" s="225"/>
      <c r="R5177"/>
      <c r="S5177"/>
      <c r="T5177"/>
      <c r="U5177"/>
      <c r="V5177"/>
      <c r="W5177"/>
      <c r="X5177"/>
    </row>
    <row r="5178" spans="5:24" x14ac:dyDescent="0.3">
      <c r="E5178" s="173"/>
      <c r="F5178" s="173"/>
      <c r="I5178"/>
      <c r="J5178"/>
      <c r="K5178"/>
      <c r="L5178"/>
      <c r="M5178"/>
      <c r="N5178"/>
      <c r="O5178"/>
      <c r="P5178" s="225"/>
      <c r="Q5178" s="225"/>
      <c r="R5178"/>
      <c r="S5178"/>
      <c r="T5178"/>
      <c r="U5178"/>
      <c r="V5178"/>
      <c r="W5178"/>
      <c r="X5178"/>
    </row>
    <row r="5179" spans="5:24" x14ac:dyDescent="0.3">
      <c r="E5179" s="173"/>
      <c r="F5179" s="173"/>
      <c r="I5179"/>
      <c r="J5179"/>
      <c r="K5179"/>
      <c r="L5179"/>
      <c r="M5179"/>
      <c r="N5179"/>
      <c r="O5179"/>
      <c r="P5179" s="225"/>
      <c r="Q5179" s="225"/>
      <c r="R5179"/>
      <c r="S5179"/>
      <c r="T5179"/>
      <c r="U5179"/>
      <c r="V5179"/>
      <c r="W5179"/>
      <c r="X5179"/>
    </row>
    <row r="5180" spans="5:24" x14ac:dyDescent="0.3">
      <c r="E5180" s="173"/>
      <c r="F5180" s="173"/>
      <c r="I5180"/>
      <c r="J5180"/>
      <c r="K5180"/>
      <c r="L5180"/>
      <c r="M5180"/>
      <c r="N5180"/>
      <c r="O5180"/>
      <c r="P5180" s="225"/>
      <c r="Q5180" s="225"/>
      <c r="R5180"/>
      <c r="S5180"/>
      <c r="T5180"/>
      <c r="U5180"/>
      <c r="V5180"/>
      <c r="W5180"/>
      <c r="X5180"/>
    </row>
    <row r="5181" spans="5:24" x14ac:dyDescent="0.3">
      <c r="E5181" s="173"/>
      <c r="F5181" s="173"/>
      <c r="I5181"/>
      <c r="J5181"/>
      <c r="K5181"/>
      <c r="L5181"/>
      <c r="M5181"/>
      <c r="N5181"/>
      <c r="O5181"/>
      <c r="P5181" s="225"/>
      <c r="Q5181" s="225"/>
      <c r="R5181"/>
      <c r="S5181"/>
      <c r="T5181"/>
      <c r="U5181"/>
      <c r="V5181"/>
      <c r="W5181"/>
      <c r="X5181"/>
    </row>
    <row r="5182" spans="5:24" x14ac:dyDescent="0.3">
      <c r="E5182" s="173"/>
      <c r="F5182" s="173"/>
      <c r="I5182"/>
      <c r="J5182"/>
      <c r="K5182"/>
      <c r="L5182"/>
      <c r="M5182"/>
      <c r="N5182"/>
      <c r="O5182"/>
      <c r="P5182" s="225"/>
      <c r="Q5182" s="225"/>
      <c r="R5182"/>
      <c r="S5182"/>
      <c r="T5182"/>
      <c r="U5182"/>
      <c r="V5182"/>
      <c r="W5182"/>
      <c r="X5182"/>
    </row>
    <row r="5183" spans="5:24" x14ac:dyDescent="0.3">
      <c r="E5183" s="173"/>
      <c r="F5183" s="173"/>
      <c r="I5183"/>
      <c r="J5183"/>
      <c r="K5183"/>
      <c r="L5183"/>
      <c r="M5183"/>
      <c r="N5183"/>
      <c r="O5183"/>
      <c r="P5183" s="225"/>
      <c r="Q5183" s="225"/>
      <c r="R5183"/>
      <c r="S5183"/>
      <c r="T5183"/>
      <c r="U5183"/>
      <c r="V5183"/>
      <c r="W5183"/>
      <c r="X5183"/>
    </row>
    <row r="5184" spans="5:24" x14ac:dyDescent="0.3">
      <c r="E5184" s="173"/>
      <c r="F5184" s="173"/>
      <c r="I5184"/>
      <c r="J5184"/>
      <c r="K5184"/>
      <c r="L5184"/>
      <c r="M5184"/>
      <c r="N5184"/>
      <c r="O5184"/>
      <c r="P5184" s="225"/>
      <c r="Q5184" s="225"/>
      <c r="R5184"/>
      <c r="S5184"/>
      <c r="T5184"/>
      <c r="U5184"/>
      <c r="V5184"/>
      <c r="W5184"/>
      <c r="X5184"/>
    </row>
    <row r="5185" spans="5:24" x14ac:dyDescent="0.3">
      <c r="E5185" s="173"/>
      <c r="F5185" s="173"/>
      <c r="I5185"/>
      <c r="J5185"/>
      <c r="K5185"/>
      <c r="L5185"/>
      <c r="M5185"/>
      <c r="N5185"/>
      <c r="O5185"/>
      <c r="P5185" s="225"/>
      <c r="Q5185" s="225"/>
      <c r="R5185"/>
      <c r="S5185"/>
      <c r="T5185"/>
      <c r="U5185"/>
      <c r="V5185"/>
      <c r="W5185"/>
      <c r="X5185"/>
    </row>
    <row r="5186" spans="5:24" x14ac:dyDescent="0.3">
      <c r="E5186" s="173"/>
      <c r="F5186" s="173"/>
      <c r="I5186"/>
      <c r="J5186"/>
      <c r="K5186"/>
      <c r="L5186"/>
      <c r="M5186"/>
      <c r="N5186"/>
      <c r="O5186"/>
      <c r="P5186" s="225"/>
      <c r="Q5186" s="225"/>
      <c r="R5186"/>
      <c r="S5186"/>
      <c r="T5186"/>
      <c r="U5186"/>
      <c r="V5186"/>
      <c r="W5186"/>
      <c r="X5186"/>
    </row>
    <row r="5187" spans="5:24" x14ac:dyDescent="0.3">
      <c r="E5187" s="173"/>
      <c r="F5187" s="173"/>
      <c r="I5187"/>
      <c r="J5187"/>
      <c r="K5187"/>
      <c r="L5187"/>
      <c r="M5187"/>
      <c r="N5187"/>
      <c r="O5187"/>
      <c r="P5187" s="225"/>
      <c r="Q5187" s="225"/>
      <c r="R5187"/>
      <c r="S5187"/>
      <c r="T5187"/>
      <c r="U5187"/>
      <c r="V5187"/>
      <c r="W5187"/>
      <c r="X5187"/>
    </row>
    <row r="5188" spans="5:24" x14ac:dyDescent="0.3">
      <c r="E5188" s="173"/>
      <c r="F5188" s="173"/>
      <c r="I5188"/>
      <c r="J5188"/>
      <c r="K5188"/>
      <c r="L5188"/>
      <c r="M5188"/>
      <c r="N5188"/>
      <c r="O5188"/>
      <c r="P5188" s="225"/>
      <c r="Q5188" s="225"/>
      <c r="R5188"/>
      <c r="S5188"/>
      <c r="T5188"/>
      <c r="U5188"/>
      <c r="V5188"/>
      <c r="W5188"/>
      <c r="X5188"/>
    </row>
    <row r="5189" spans="5:24" x14ac:dyDescent="0.3">
      <c r="E5189" s="173"/>
      <c r="F5189" s="173"/>
      <c r="I5189"/>
      <c r="J5189"/>
      <c r="K5189"/>
      <c r="L5189"/>
      <c r="M5189"/>
      <c r="N5189"/>
      <c r="O5189"/>
      <c r="P5189" s="225"/>
      <c r="Q5189" s="225"/>
      <c r="R5189"/>
      <c r="S5189"/>
      <c r="T5189"/>
      <c r="U5189"/>
      <c r="V5189"/>
      <c r="W5189"/>
      <c r="X5189"/>
    </row>
    <row r="5190" spans="5:24" x14ac:dyDescent="0.3">
      <c r="E5190" s="173"/>
      <c r="F5190" s="173"/>
      <c r="I5190"/>
      <c r="J5190"/>
      <c r="K5190"/>
      <c r="L5190"/>
      <c r="M5190"/>
      <c r="N5190"/>
      <c r="O5190"/>
      <c r="P5190" s="225"/>
      <c r="Q5190" s="225"/>
      <c r="R5190"/>
      <c r="S5190"/>
      <c r="T5190"/>
      <c r="U5190"/>
      <c r="V5190"/>
      <c r="W5190"/>
      <c r="X5190"/>
    </row>
    <row r="5191" spans="5:24" x14ac:dyDescent="0.3">
      <c r="E5191" s="173"/>
      <c r="F5191" s="173"/>
      <c r="I5191"/>
      <c r="J5191"/>
      <c r="K5191"/>
      <c r="L5191"/>
      <c r="M5191"/>
      <c r="N5191"/>
      <c r="O5191"/>
      <c r="P5191" s="225"/>
      <c r="Q5191" s="225"/>
      <c r="R5191"/>
      <c r="S5191"/>
      <c r="T5191"/>
      <c r="U5191"/>
      <c r="V5191"/>
      <c r="W5191"/>
      <c r="X5191"/>
    </row>
    <row r="5192" spans="5:24" x14ac:dyDescent="0.3">
      <c r="E5192" s="173"/>
      <c r="F5192" s="173"/>
      <c r="I5192"/>
      <c r="J5192"/>
      <c r="K5192"/>
      <c r="L5192"/>
      <c r="M5192"/>
      <c r="N5192"/>
      <c r="O5192"/>
      <c r="P5192" s="225"/>
      <c r="Q5192" s="225"/>
      <c r="R5192"/>
      <c r="S5192"/>
      <c r="T5192"/>
      <c r="U5192"/>
      <c r="V5192"/>
      <c r="W5192"/>
      <c r="X5192"/>
    </row>
    <row r="5193" spans="5:24" x14ac:dyDescent="0.3">
      <c r="E5193" s="173"/>
      <c r="F5193" s="173"/>
      <c r="I5193"/>
      <c r="J5193"/>
      <c r="K5193"/>
      <c r="L5193"/>
      <c r="M5193"/>
      <c r="N5193"/>
      <c r="O5193"/>
      <c r="P5193" s="225"/>
      <c r="Q5193" s="225"/>
      <c r="R5193"/>
      <c r="S5193"/>
      <c r="T5193"/>
      <c r="U5193"/>
      <c r="V5193"/>
      <c r="W5193"/>
      <c r="X5193"/>
    </row>
    <row r="5194" spans="5:24" x14ac:dyDescent="0.3">
      <c r="E5194" s="173"/>
      <c r="F5194" s="173"/>
      <c r="I5194"/>
      <c r="J5194"/>
      <c r="K5194"/>
      <c r="L5194"/>
      <c r="M5194"/>
      <c r="N5194"/>
      <c r="O5194"/>
      <c r="P5194" s="225"/>
      <c r="Q5194" s="225"/>
      <c r="R5194"/>
      <c r="S5194"/>
      <c r="T5194"/>
      <c r="U5194"/>
      <c r="V5194"/>
      <c r="W5194"/>
      <c r="X5194"/>
    </row>
    <row r="5195" spans="5:24" x14ac:dyDescent="0.3">
      <c r="E5195" s="173"/>
      <c r="F5195" s="173"/>
      <c r="I5195"/>
      <c r="J5195"/>
      <c r="K5195"/>
      <c r="L5195"/>
      <c r="M5195"/>
      <c r="N5195"/>
      <c r="O5195"/>
      <c r="P5195" s="225"/>
      <c r="Q5195" s="225"/>
      <c r="R5195"/>
      <c r="S5195"/>
      <c r="T5195"/>
      <c r="U5195"/>
      <c r="V5195"/>
      <c r="W5195"/>
      <c r="X5195"/>
    </row>
    <row r="5196" spans="5:24" x14ac:dyDescent="0.3">
      <c r="E5196" s="173"/>
      <c r="F5196" s="173"/>
      <c r="I5196"/>
      <c r="J5196"/>
      <c r="K5196"/>
      <c r="L5196"/>
      <c r="M5196"/>
      <c r="N5196"/>
      <c r="O5196"/>
      <c r="P5196" s="225"/>
      <c r="Q5196" s="225"/>
      <c r="R5196"/>
      <c r="S5196"/>
      <c r="T5196"/>
      <c r="U5196"/>
      <c r="V5196"/>
      <c r="W5196"/>
      <c r="X5196"/>
    </row>
    <row r="5197" spans="5:24" x14ac:dyDescent="0.3">
      <c r="E5197" s="173"/>
      <c r="F5197" s="173"/>
      <c r="I5197"/>
      <c r="J5197"/>
      <c r="K5197"/>
      <c r="L5197"/>
      <c r="M5197"/>
      <c r="N5197"/>
      <c r="O5197"/>
      <c r="P5197" s="225"/>
      <c r="Q5197" s="225"/>
      <c r="R5197"/>
      <c r="S5197"/>
      <c r="T5197"/>
      <c r="U5197"/>
      <c r="V5197"/>
      <c r="W5197"/>
      <c r="X5197"/>
    </row>
    <row r="5198" spans="5:24" x14ac:dyDescent="0.3">
      <c r="E5198" s="173"/>
      <c r="F5198" s="173"/>
      <c r="I5198"/>
      <c r="J5198"/>
      <c r="K5198"/>
      <c r="L5198"/>
      <c r="M5198"/>
      <c r="N5198"/>
      <c r="O5198"/>
      <c r="P5198" s="225"/>
      <c r="Q5198" s="225"/>
      <c r="R5198"/>
      <c r="S5198"/>
      <c r="T5198"/>
      <c r="U5198"/>
      <c r="V5198"/>
      <c r="W5198"/>
      <c r="X5198"/>
    </row>
    <row r="5199" spans="5:24" x14ac:dyDescent="0.3">
      <c r="E5199" s="173"/>
      <c r="F5199" s="173"/>
      <c r="I5199"/>
      <c r="J5199"/>
      <c r="K5199"/>
      <c r="L5199"/>
      <c r="M5199"/>
      <c r="N5199"/>
      <c r="O5199"/>
      <c r="P5199" s="225"/>
      <c r="Q5199" s="225"/>
      <c r="R5199"/>
      <c r="S5199"/>
      <c r="T5199"/>
      <c r="U5199"/>
      <c r="V5199"/>
      <c r="W5199"/>
      <c r="X5199"/>
    </row>
    <row r="5200" spans="5:24" x14ac:dyDescent="0.3">
      <c r="E5200" s="173"/>
      <c r="F5200" s="173"/>
      <c r="I5200"/>
      <c r="J5200"/>
      <c r="K5200"/>
      <c r="L5200"/>
      <c r="M5200"/>
      <c r="N5200"/>
      <c r="O5200"/>
      <c r="P5200" s="225"/>
      <c r="Q5200" s="225"/>
      <c r="R5200"/>
      <c r="S5200"/>
      <c r="T5200"/>
      <c r="U5200"/>
      <c r="V5200"/>
      <c r="W5200"/>
      <c r="X5200"/>
    </row>
    <row r="5201" spans="5:24" x14ac:dyDescent="0.3">
      <c r="E5201" s="173"/>
      <c r="F5201" s="173"/>
      <c r="I5201"/>
      <c r="J5201"/>
      <c r="K5201"/>
      <c r="L5201"/>
      <c r="M5201"/>
      <c r="N5201"/>
      <c r="O5201"/>
      <c r="P5201" s="225"/>
      <c r="Q5201" s="225"/>
      <c r="R5201"/>
      <c r="S5201"/>
      <c r="T5201"/>
      <c r="U5201"/>
      <c r="V5201"/>
      <c r="W5201"/>
      <c r="X5201"/>
    </row>
    <row r="5202" spans="5:24" x14ac:dyDescent="0.3">
      <c r="E5202" s="173"/>
      <c r="F5202" s="173"/>
      <c r="I5202"/>
      <c r="J5202"/>
      <c r="K5202"/>
      <c r="L5202"/>
      <c r="M5202"/>
      <c r="N5202"/>
      <c r="O5202"/>
      <c r="P5202" s="225"/>
      <c r="Q5202" s="225"/>
      <c r="R5202"/>
      <c r="S5202"/>
      <c r="T5202"/>
      <c r="U5202"/>
      <c r="V5202"/>
      <c r="W5202"/>
      <c r="X5202"/>
    </row>
    <row r="5203" spans="5:24" x14ac:dyDescent="0.3">
      <c r="E5203" s="173"/>
      <c r="F5203" s="173"/>
      <c r="I5203"/>
      <c r="J5203"/>
      <c r="K5203"/>
      <c r="L5203"/>
      <c r="M5203"/>
      <c r="N5203"/>
      <c r="O5203"/>
      <c r="P5203" s="225"/>
      <c r="Q5203" s="225"/>
      <c r="R5203"/>
      <c r="S5203"/>
      <c r="T5203"/>
      <c r="U5203"/>
      <c r="V5203"/>
      <c r="W5203"/>
      <c r="X5203"/>
    </row>
    <row r="5204" spans="5:24" x14ac:dyDescent="0.3">
      <c r="E5204" s="173"/>
      <c r="F5204" s="173"/>
      <c r="I5204"/>
      <c r="J5204"/>
      <c r="K5204"/>
      <c r="L5204"/>
      <c r="M5204"/>
      <c r="N5204"/>
      <c r="O5204"/>
      <c r="P5204" s="225"/>
      <c r="Q5204" s="225"/>
      <c r="R5204"/>
      <c r="S5204"/>
      <c r="T5204"/>
      <c r="U5204"/>
      <c r="V5204"/>
      <c r="W5204"/>
      <c r="X5204"/>
    </row>
    <row r="5205" spans="5:24" x14ac:dyDescent="0.3">
      <c r="E5205" s="173"/>
      <c r="F5205" s="173"/>
      <c r="I5205"/>
      <c r="J5205"/>
      <c r="K5205"/>
      <c r="L5205"/>
      <c r="M5205"/>
      <c r="N5205"/>
      <c r="O5205"/>
      <c r="P5205" s="225"/>
      <c r="Q5205" s="225"/>
      <c r="R5205"/>
      <c r="S5205"/>
      <c r="T5205"/>
      <c r="U5205"/>
      <c r="V5205"/>
      <c r="W5205"/>
      <c r="X5205"/>
    </row>
    <row r="5206" spans="5:24" x14ac:dyDescent="0.3">
      <c r="E5206" s="173"/>
      <c r="F5206" s="173"/>
      <c r="I5206"/>
      <c r="J5206"/>
      <c r="K5206"/>
      <c r="L5206"/>
      <c r="M5206"/>
      <c r="N5206"/>
      <c r="O5206"/>
      <c r="P5206" s="225"/>
      <c r="Q5206" s="225"/>
      <c r="R5206"/>
      <c r="S5206"/>
      <c r="T5206"/>
      <c r="U5206"/>
      <c r="V5206"/>
      <c r="W5206"/>
      <c r="X5206"/>
    </row>
    <row r="5207" spans="5:24" x14ac:dyDescent="0.3">
      <c r="E5207" s="173"/>
      <c r="F5207" s="173"/>
      <c r="I5207"/>
      <c r="J5207"/>
      <c r="K5207"/>
      <c r="L5207"/>
      <c r="M5207"/>
      <c r="N5207"/>
      <c r="O5207"/>
      <c r="P5207" s="225"/>
      <c r="Q5207" s="225"/>
      <c r="R5207"/>
      <c r="S5207"/>
      <c r="T5207"/>
      <c r="U5207"/>
      <c r="V5207"/>
      <c r="W5207"/>
      <c r="X5207"/>
    </row>
    <row r="5208" spans="5:24" x14ac:dyDescent="0.3">
      <c r="E5208" s="173"/>
      <c r="F5208" s="173"/>
      <c r="I5208"/>
      <c r="J5208"/>
      <c r="K5208"/>
      <c r="L5208"/>
      <c r="M5208"/>
      <c r="N5208"/>
      <c r="O5208"/>
      <c r="P5208" s="225"/>
      <c r="Q5208" s="225"/>
      <c r="R5208"/>
      <c r="S5208"/>
      <c r="T5208"/>
      <c r="U5208"/>
      <c r="V5208"/>
      <c r="W5208"/>
      <c r="X5208"/>
    </row>
    <row r="5209" spans="5:24" x14ac:dyDescent="0.3">
      <c r="E5209" s="173"/>
      <c r="F5209" s="173"/>
      <c r="I5209"/>
      <c r="J5209"/>
      <c r="K5209"/>
      <c r="L5209"/>
      <c r="M5209"/>
      <c r="N5209"/>
      <c r="O5209"/>
      <c r="P5209" s="225"/>
      <c r="Q5209" s="225"/>
      <c r="R5209"/>
      <c r="S5209"/>
      <c r="T5209"/>
      <c r="U5209"/>
      <c r="V5209"/>
      <c r="W5209"/>
      <c r="X5209"/>
    </row>
    <row r="5210" spans="5:24" x14ac:dyDescent="0.3">
      <c r="E5210" s="173"/>
      <c r="F5210" s="173"/>
      <c r="I5210"/>
      <c r="J5210"/>
      <c r="K5210"/>
      <c r="L5210"/>
      <c r="M5210"/>
      <c r="N5210"/>
      <c r="O5210"/>
      <c r="P5210" s="225"/>
      <c r="Q5210" s="225"/>
      <c r="R5210"/>
      <c r="S5210"/>
      <c r="T5210"/>
      <c r="U5210"/>
      <c r="V5210"/>
      <c r="W5210"/>
      <c r="X5210"/>
    </row>
    <row r="5211" spans="5:24" x14ac:dyDescent="0.3">
      <c r="E5211" s="173"/>
      <c r="F5211" s="173"/>
      <c r="I5211"/>
      <c r="J5211"/>
      <c r="K5211"/>
      <c r="L5211"/>
      <c r="M5211"/>
      <c r="N5211"/>
      <c r="O5211"/>
      <c r="P5211" s="225"/>
      <c r="Q5211" s="225"/>
      <c r="R5211"/>
      <c r="S5211"/>
      <c r="T5211"/>
      <c r="U5211"/>
      <c r="V5211"/>
      <c r="W5211"/>
      <c r="X5211"/>
    </row>
    <row r="5212" spans="5:24" x14ac:dyDescent="0.3">
      <c r="E5212" s="173"/>
      <c r="F5212" s="173"/>
      <c r="I5212"/>
      <c r="J5212"/>
      <c r="K5212"/>
      <c r="L5212"/>
      <c r="M5212"/>
      <c r="N5212"/>
      <c r="O5212"/>
      <c r="P5212" s="225"/>
      <c r="Q5212" s="225"/>
      <c r="R5212"/>
      <c r="S5212"/>
      <c r="T5212"/>
      <c r="U5212"/>
      <c r="V5212"/>
      <c r="W5212"/>
      <c r="X5212"/>
    </row>
    <row r="5213" spans="5:24" x14ac:dyDescent="0.3">
      <c r="E5213" s="173"/>
      <c r="F5213" s="173"/>
      <c r="I5213"/>
      <c r="J5213"/>
      <c r="K5213"/>
      <c r="L5213"/>
      <c r="M5213"/>
      <c r="N5213"/>
      <c r="O5213"/>
      <c r="P5213" s="225"/>
      <c r="Q5213" s="225"/>
      <c r="R5213"/>
      <c r="S5213"/>
      <c r="T5213"/>
      <c r="U5213"/>
      <c r="V5213"/>
      <c r="W5213"/>
      <c r="X5213"/>
    </row>
    <row r="5214" spans="5:24" x14ac:dyDescent="0.3">
      <c r="E5214" s="173"/>
      <c r="F5214" s="173"/>
      <c r="I5214"/>
      <c r="J5214"/>
      <c r="K5214"/>
      <c r="L5214"/>
      <c r="M5214"/>
      <c r="N5214"/>
      <c r="O5214"/>
      <c r="P5214" s="225"/>
      <c r="Q5214" s="225"/>
      <c r="R5214"/>
      <c r="S5214"/>
      <c r="T5214"/>
      <c r="U5214"/>
      <c r="V5214"/>
      <c r="W5214"/>
      <c r="X5214"/>
    </row>
    <row r="5215" spans="5:24" x14ac:dyDescent="0.3">
      <c r="E5215" s="173"/>
      <c r="F5215" s="173"/>
      <c r="I5215"/>
      <c r="J5215"/>
      <c r="K5215"/>
      <c r="L5215"/>
      <c r="M5215"/>
      <c r="N5215"/>
      <c r="O5215"/>
      <c r="P5215" s="225"/>
      <c r="Q5215" s="225"/>
      <c r="R5215"/>
      <c r="S5215"/>
      <c r="T5215"/>
      <c r="U5215"/>
      <c r="V5215"/>
      <c r="W5215"/>
      <c r="X5215"/>
    </row>
    <row r="5216" spans="5:24" x14ac:dyDescent="0.3">
      <c r="E5216" s="173"/>
      <c r="F5216" s="173"/>
      <c r="I5216"/>
      <c r="J5216"/>
      <c r="K5216"/>
      <c r="L5216"/>
      <c r="M5216"/>
      <c r="N5216"/>
      <c r="O5216"/>
      <c r="P5216" s="225"/>
      <c r="Q5216" s="225"/>
      <c r="R5216"/>
      <c r="S5216"/>
      <c r="T5216"/>
      <c r="U5216"/>
      <c r="V5216"/>
      <c r="W5216"/>
      <c r="X5216"/>
    </row>
    <row r="5217" spans="5:24" x14ac:dyDescent="0.3">
      <c r="E5217" s="173"/>
      <c r="F5217" s="173"/>
      <c r="I5217"/>
      <c r="J5217"/>
      <c r="K5217"/>
      <c r="L5217"/>
      <c r="M5217"/>
      <c r="N5217"/>
      <c r="O5217"/>
      <c r="P5217" s="225"/>
      <c r="Q5217" s="225"/>
      <c r="R5217"/>
      <c r="S5217"/>
      <c r="T5217"/>
      <c r="U5217"/>
      <c r="V5217"/>
      <c r="W5217"/>
      <c r="X5217"/>
    </row>
    <row r="5218" spans="5:24" x14ac:dyDescent="0.3">
      <c r="E5218" s="173"/>
      <c r="F5218" s="173"/>
      <c r="I5218"/>
      <c r="J5218"/>
      <c r="K5218"/>
      <c r="L5218"/>
      <c r="M5218"/>
      <c r="N5218"/>
      <c r="O5218"/>
      <c r="P5218" s="225"/>
      <c r="Q5218" s="225"/>
      <c r="R5218"/>
      <c r="S5218"/>
      <c r="T5218"/>
      <c r="U5218"/>
      <c r="V5218"/>
      <c r="W5218"/>
      <c r="X5218"/>
    </row>
    <row r="5219" spans="5:24" x14ac:dyDescent="0.3">
      <c r="E5219" s="173"/>
      <c r="F5219" s="173"/>
      <c r="I5219"/>
      <c r="J5219"/>
      <c r="K5219"/>
      <c r="L5219"/>
      <c r="M5219"/>
      <c r="N5219"/>
      <c r="O5219"/>
      <c r="P5219" s="225"/>
      <c r="Q5219" s="225"/>
      <c r="R5219"/>
      <c r="S5219"/>
      <c r="T5219"/>
      <c r="U5219"/>
      <c r="V5219"/>
      <c r="W5219"/>
      <c r="X5219"/>
    </row>
    <row r="5220" spans="5:24" x14ac:dyDescent="0.3">
      <c r="E5220" s="173"/>
      <c r="F5220" s="173"/>
      <c r="I5220"/>
      <c r="J5220"/>
      <c r="K5220"/>
      <c r="L5220"/>
      <c r="M5220"/>
      <c r="N5220"/>
      <c r="O5220"/>
      <c r="P5220" s="225"/>
      <c r="Q5220" s="225"/>
      <c r="R5220"/>
      <c r="S5220"/>
      <c r="T5220"/>
      <c r="U5220"/>
      <c r="V5220"/>
      <c r="W5220"/>
      <c r="X5220"/>
    </row>
    <row r="5221" spans="5:24" x14ac:dyDescent="0.3">
      <c r="E5221" s="173"/>
      <c r="F5221" s="173"/>
      <c r="I5221"/>
      <c r="J5221"/>
      <c r="K5221"/>
      <c r="L5221"/>
      <c r="M5221"/>
      <c r="N5221"/>
      <c r="O5221"/>
      <c r="P5221" s="225"/>
      <c r="Q5221" s="225"/>
      <c r="R5221"/>
      <c r="S5221"/>
      <c r="T5221"/>
      <c r="U5221"/>
      <c r="V5221"/>
      <c r="W5221"/>
      <c r="X5221"/>
    </row>
    <row r="5222" spans="5:24" x14ac:dyDescent="0.3">
      <c r="E5222" s="173"/>
      <c r="F5222" s="173"/>
      <c r="I5222"/>
      <c r="J5222"/>
      <c r="K5222"/>
      <c r="L5222"/>
      <c r="M5222"/>
      <c r="N5222"/>
      <c r="O5222"/>
      <c r="P5222" s="225"/>
      <c r="Q5222" s="225"/>
      <c r="R5222"/>
      <c r="S5222"/>
      <c r="T5222"/>
      <c r="U5222"/>
      <c r="V5222"/>
      <c r="W5222"/>
      <c r="X5222"/>
    </row>
    <row r="5223" spans="5:24" x14ac:dyDescent="0.3">
      <c r="E5223" s="173"/>
      <c r="F5223" s="173"/>
      <c r="I5223"/>
      <c r="J5223"/>
      <c r="K5223"/>
      <c r="L5223"/>
      <c r="M5223"/>
      <c r="N5223"/>
      <c r="O5223"/>
      <c r="P5223" s="225"/>
      <c r="Q5223" s="225"/>
      <c r="R5223"/>
      <c r="S5223"/>
      <c r="T5223"/>
      <c r="U5223"/>
      <c r="V5223"/>
      <c r="W5223"/>
      <c r="X5223"/>
    </row>
    <row r="5224" spans="5:24" x14ac:dyDescent="0.3">
      <c r="E5224" s="173"/>
      <c r="F5224" s="173"/>
      <c r="I5224"/>
      <c r="J5224"/>
      <c r="K5224"/>
      <c r="L5224"/>
      <c r="M5224"/>
      <c r="N5224"/>
      <c r="O5224"/>
      <c r="P5224" s="225"/>
      <c r="Q5224" s="225"/>
      <c r="R5224"/>
      <c r="S5224"/>
      <c r="T5224"/>
      <c r="U5224"/>
      <c r="V5224"/>
      <c r="W5224"/>
      <c r="X5224"/>
    </row>
    <row r="5225" spans="5:24" x14ac:dyDescent="0.3">
      <c r="E5225" s="173"/>
      <c r="F5225" s="173"/>
      <c r="I5225"/>
      <c r="J5225"/>
      <c r="K5225"/>
      <c r="L5225"/>
      <c r="M5225"/>
      <c r="N5225"/>
      <c r="O5225"/>
      <c r="P5225" s="225"/>
      <c r="Q5225" s="225"/>
      <c r="R5225"/>
      <c r="S5225"/>
      <c r="T5225"/>
      <c r="U5225"/>
      <c r="V5225"/>
      <c r="W5225"/>
      <c r="X5225"/>
    </row>
    <row r="5226" spans="5:24" x14ac:dyDescent="0.3">
      <c r="E5226" s="173"/>
      <c r="F5226" s="173"/>
      <c r="I5226"/>
      <c r="J5226"/>
      <c r="K5226"/>
      <c r="L5226"/>
      <c r="M5226"/>
      <c r="N5226"/>
      <c r="O5226"/>
      <c r="P5226" s="225"/>
      <c r="Q5226" s="225"/>
      <c r="R5226"/>
      <c r="S5226"/>
      <c r="T5226"/>
      <c r="U5226"/>
      <c r="V5226"/>
      <c r="W5226"/>
      <c r="X5226"/>
    </row>
    <row r="5227" spans="5:24" x14ac:dyDescent="0.3">
      <c r="E5227" s="173"/>
      <c r="F5227" s="173"/>
      <c r="I5227"/>
      <c r="J5227"/>
      <c r="K5227"/>
      <c r="L5227"/>
      <c r="M5227"/>
      <c r="N5227"/>
      <c r="O5227"/>
      <c r="P5227" s="225"/>
      <c r="Q5227" s="225"/>
      <c r="R5227"/>
      <c r="S5227"/>
      <c r="T5227"/>
      <c r="U5227"/>
      <c r="V5227"/>
      <c r="W5227"/>
      <c r="X5227"/>
    </row>
    <row r="5228" spans="5:24" x14ac:dyDescent="0.3">
      <c r="E5228" s="173"/>
      <c r="F5228" s="173"/>
      <c r="I5228"/>
      <c r="J5228"/>
      <c r="K5228"/>
      <c r="L5228"/>
      <c r="M5228"/>
      <c r="N5228"/>
      <c r="O5228"/>
      <c r="P5228" s="225"/>
      <c r="Q5228" s="225"/>
      <c r="R5228"/>
      <c r="S5228"/>
      <c r="T5228"/>
      <c r="U5228"/>
      <c r="V5228"/>
      <c r="W5228"/>
      <c r="X5228"/>
    </row>
    <row r="5229" spans="5:24" x14ac:dyDescent="0.3">
      <c r="E5229" s="173"/>
      <c r="F5229" s="173"/>
      <c r="I5229"/>
      <c r="J5229"/>
      <c r="K5229"/>
      <c r="L5229"/>
      <c r="M5229"/>
      <c r="N5229"/>
      <c r="O5229"/>
      <c r="P5229" s="225"/>
      <c r="Q5229" s="225"/>
      <c r="R5229"/>
      <c r="S5229"/>
      <c r="T5229"/>
      <c r="U5229"/>
      <c r="V5229"/>
      <c r="W5229"/>
      <c r="X5229"/>
    </row>
    <row r="5230" spans="5:24" x14ac:dyDescent="0.3">
      <c r="E5230" s="173"/>
      <c r="F5230" s="173"/>
      <c r="I5230"/>
      <c r="J5230"/>
      <c r="K5230"/>
      <c r="L5230"/>
      <c r="M5230"/>
      <c r="N5230"/>
      <c r="O5230"/>
      <c r="P5230" s="225"/>
      <c r="Q5230" s="225"/>
      <c r="R5230"/>
      <c r="S5230"/>
      <c r="T5230"/>
      <c r="U5230"/>
      <c r="V5230"/>
      <c r="W5230"/>
      <c r="X5230"/>
    </row>
    <row r="5231" spans="5:24" x14ac:dyDescent="0.3">
      <c r="E5231" s="173"/>
      <c r="F5231" s="173"/>
      <c r="I5231"/>
      <c r="J5231"/>
      <c r="K5231"/>
      <c r="L5231"/>
      <c r="M5231"/>
      <c r="N5231"/>
      <c r="O5231"/>
      <c r="P5231" s="225"/>
      <c r="Q5231" s="225"/>
      <c r="R5231"/>
      <c r="S5231"/>
      <c r="T5231"/>
      <c r="U5231"/>
      <c r="V5231"/>
      <c r="W5231"/>
      <c r="X5231"/>
    </row>
    <row r="5232" spans="5:24" x14ac:dyDescent="0.3">
      <c r="E5232" s="173"/>
      <c r="F5232" s="173"/>
      <c r="I5232"/>
      <c r="J5232"/>
      <c r="K5232"/>
      <c r="L5232"/>
      <c r="M5232"/>
      <c r="N5232"/>
      <c r="O5232"/>
      <c r="P5232" s="225"/>
      <c r="Q5232" s="225"/>
      <c r="R5232"/>
      <c r="S5232"/>
      <c r="T5232"/>
      <c r="U5232"/>
      <c r="V5232"/>
      <c r="W5232"/>
      <c r="X5232"/>
    </row>
    <row r="5233" spans="5:24" x14ac:dyDescent="0.3">
      <c r="E5233" s="173"/>
      <c r="F5233" s="173"/>
      <c r="I5233"/>
      <c r="J5233"/>
      <c r="K5233"/>
      <c r="L5233"/>
      <c r="M5233"/>
      <c r="N5233"/>
      <c r="O5233"/>
      <c r="P5233" s="225"/>
      <c r="Q5233" s="225"/>
      <c r="R5233"/>
      <c r="S5233"/>
      <c r="T5233"/>
      <c r="U5233"/>
      <c r="V5233"/>
      <c r="W5233"/>
      <c r="X5233"/>
    </row>
    <row r="5234" spans="5:24" x14ac:dyDescent="0.3">
      <c r="E5234" s="173"/>
      <c r="F5234" s="173"/>
      <c r="I5234"/>
      <c r="J5234"/>
      <c r="K5234"/>
      <c r="L5234"/>
      <c r="M5234"/>
      <c r="N5234"/>
      <c r="O5234"/>
      <c r="P5234" s="225"/>
      <c r="Q5234" s="225"/>
      <c r="R5234"/>
      <c r="S5234"/>
      <c r="T5234"/>
      <c r="U5234"/>
      <c r="V5234"/>
      <c r="W5234"/>
      <c r="X5234"/>
    </row>
    <row r="5235" spans="5:24" x14ac:dyDescent="0.3">
      <c r="E5235" s="173"/>
      <c r="F5235" s="173"/>
      <c r="I5235"/>
      <c r="J5235"/>
      <c r="K5235"/>
      <c r="L5235"/>
      <c r="M5235"/>
      <c r="N5235"/>
      <c r="O5235"/>
      <c r="P5235" s="225"/>
      <c r="Q5235" s="225"/>
      <c r="R5235"/>
      <c r="S5235"/>
      <c r="T5235"/>
      <c r="U5235"/>
      <c r="V5235"/>
      <c r="W5235"/>
      <c r="X5235"/>
    </row>
    <row r="5236" spans="5:24" x14ac:dyDescent="0.3">
      <c r="E5236" s="173"/>
      <c r="F5236" s="173"/>
      <c r="I5236"/>
      <c r="J5236"/>
      <c r="K5236"/>
      <c r="L5236"/>
      <c r="M5236"/>
      <c r="N5236"/>
      <c r="O5236"/>
      <c r="P5236" s="225"/>
      <c r="Q5236" s="225"/>
      <c r="R5236"/>
      <c r="S5236"/>
      <c r="T5236"/>
      <c r="U5236"/>
      <c r="V5236"/>
      <c r="W5236"/>
      <c r="X5236"/>
    </row>
    <row r="5237" spans="5:24" x14ac:dyDescent="0.3">
      <c r="E5237" s="173"/>
      <c r="F5237" s="173"/>
      <c r="I5237"/>
      <c r="J5237"/>
      <c r="K5237"/>
      <c r="L5237"/>
      <c r="M5237"/>
      <c r="N5237"/>
      <c r="O5237"/>
      <c r="P5237" s="225"/>
      <c r="Q5237" s="225"/>
      <c r="R5237"/>
      <c r="S5237"/>
      <c r="T5237"/>
      <c r="U5237"/>
      <c r="V5237"/>
      <c r="W5237"/>
      <c r="X5237"/>
    </row>
    <row r="5238" spans="5:24" x14ac:dyDescent="0.3">
      <c r="E5238" s="173"/>
      <c r="F5238" s="173"/>
      <c r="I5238"/>
      <c r="J5238"/>
      <c r="K5238"/>
      <c r="L5238"/>
      <c r="M5238"/>
      <c r="N5238"/>
      <c r="O5238"/>
      <c r="P5238" s="225"/>
      <c r="Q5238" s="225"/>
      <c r="R5238"/>
      <c r="S5238"/>
      <c r="T5238"/>
      <c r="U5238"/>
      <c r="V5238"/>
      <c r="W5238"/>
      <c r="X5238"/>
    </row>
    <row r="5239" spans="5:24" x14ac:dyDescent="0.3">
      <c r="E5239" s="173"/>
      <c r="F5239" s="173"/>
      <c r="I5239"/>
      <c r="J5239"/>
      <c r="K5239"/>
      <c r="L5239"/>
      <c r="M5239"/>
      <c r="N5239"/>
      <c r="O5239"/>
      <c r="P5239" s="225"/>
      <c r="Q5239" s="225"/>
      <c r="R5239"/>
      <c r="S5239"/>
      <c r="T5239"/>
      <c r="U5239"/>
      <c r="V5239"/>
      <c r="W5239"/>
      <c r="X5239"/>
    </row>
    <row r="5240" spans="5:24" x14ac:dyDescent="0.3">
      <c r="E5240" s="173"/>
      <c r="F5240" s="173"/>
      <c r="I5240"/>
      <c r="J5240"/>
      <c r="K5240"/>
      <c r="L5240"/>
      <c r="M5240"/>
      <c r="N5240"/>
      <c r="O5240"/>
      <c r="P5240" s="225"/>
      <c r="Q5240" s="225"/>
      <c r="R5240"/>
      <c r="S5240"/>
      <c r="T5240"/>
      <c r="U5240"/>
      <c r="V5240"/>
      <c r="W5240"/>
      <c r="X5240"/>
    </row>
    <row r="5241" spans="5:24" x14ac:dyDescent="0.3">
      <c r="E5241" s="173"/>
      <c r="F5241" s="173"/>
      <c r="I5241"/>
      <c r="J5241"/>
      <c r="K5241"/>
      <c r="L5241"/>
      <c r="M5241"/>
      <c r="N5241"/>
      <c r="O5241"/>
      <c r="P5241" s="225"/>
      <c r="Q5241" s="225"/>
      <c r="R5241"/>
      <c r="S5241"/>
      <c r="T5241"/>
      <c r="U5241"/>
      <c r="V5241"/>
      <c r="W5241"/>
      <c r="X5241"/>
    </row>
    <row r="5242" spans="5:24" x14ac:dyDescent="0.3">
      <c r="E5242" s="173"/>
      <c r="F5242" s="173"/>
      <c r="I5242"/>
      <c r="J5242"/>
      <c r="K5242"/>
      <c r="L5242"/>
      <c r="M5242"/>
      <c r="N5242"/>
      <c r="O5242"/>
      <c r="P5242" s="225"/>
      <c r="Q5242" s="225"/>
      <c r="R5242"/>
      <c r="S5242"/>
      <c r="T5242"/>
      <c r="U5242"/>
      <c r="V5242"/>
      <c r="W5242"/>
      <c r="X5242"/>
    </row>
    <row r="5243" spans="5:24" x14ac:dyDescent="0.3">
      <c r="E5243" s="173"/>
      <c r="F5243" s="173"/>
      <c r="I5243"/>
      <c r="J5243"/>
      <c r="K5243"/>
      <c r="L5243"/>
      <c r="M5243"/>
      <c r="N5243"/>
      <c r="O5243"/>
      <c r="P5243" s="225"/>
      <c r="Q5243" s="225"/>
      <c r="R5243"/>
      <c r="S5243"/>
      <c r="T5243"/>
      <c r="U5243"/>
      <c r="V5243"/>
      <c r="W5243"/>
      <c r="X5243"/>
    </row>
    <row r="5244" spans="5:24" x14ac:dyDescent="0.3">
      <c r="E5244" s="173"/>
      <c r="F5244" s="173"/>
      <c r="I5244"/>
      <c r="J5244"/>
      <c r="K5244"/>
      <c r="L5244"/>
      <c r="M5244"/>
      <c r="N5244"/>
      <c r="O5244"/>
      <c r="P5244" s="225"/>
      <c r="Q5244" s="225"/>
      <c r="R5244"/>
      <c r="S5244"/>
      <c r="T5244"/>
      <c r="U5244"/>
      <c r="V5244"/>
      <c r="W5244"/>
      <c r="X5244"/>
    </row>
    <row r="5245" spans="5:24" x14ac:dyDescent="0.3">
      <c r="E5245" s="173"/>
      <c r="F5245" s="173"/>
      <c r="I5245"/>
      <c r="J5245"/>
      <c r="K5245"/>
      <c r="L5245"/>
      <c r="M5245"/>
      <c r="N5245"/>
      <c r="O5245"/>
      <c r="P5245" s="225"/>
      <c r="Q5245" s="225"/>
      <c r="R5245"/>
      <c r="S5245"/>
      <c r="T5245"/>
      <c r="U5245"/>
      <c r="V5245"/>
      <c r="W5245"/>
      <c r="X5245"/>
    </row>
    <row r="5246" spans="5:24" x14ac:dyDescent="0.3">
      <c r="E5246" s="173"/>
      <c r="F5246" s="173"/>
      <c r="I5246"/>
      <c r="J5246"/>
      <c r="K5246"/>
      <c r="L5246"/>
      <c r="M5246"/>
      <c r="N5246"/>
      <c r="O5246"/>
      <c r="P5246" s="225"/>
      <c r="Q5246" s="225"/>
      <c r="R5246"/>
      <c r="S5246"/>
      <c r="T5246"/>
      <c r="U5246"/>
      <c r="V5246"/>
      <c r="W5246"/>
      <c r="X5246"/>
    </row>
    <row r="5247" spans="5:24" x14ac:dyDescent="0.3">
      <c r="E5247" s="173"/>
      <c r="F5247" s="173"/>
      <c r="I5247"/>
      <c r="J5247"/>
      <c r="K5247"/>
      <c r="L5247"/>
      <c r="M5247"/>
      <c r="N5247"/>
      <c r="O5247"/>
      <c r="P5247" s="225"/>
      <c r="Q5247" s="225"/>
      <c r="R5247"/>
      <c r="S5247"/>
      <c r="T5247"/>
      <c r="U5247"/>
      <c r="V5247"/>
      <c r="W5247"/>
      <c r="X5247"/>
    </row>
    <row r="5248" spans="5:24" x14ac:dyDescent="0.3">
      <c r="E5248" s="173"/>
      <c r="F5248" s="173"/>
      <c r="I5248"/>
      <c r="J5248"/>
      <c r="K5248"/>
      <c r="L5248"/>
      <c r="M5248"/>
      <c r="N5248"/>
      <c r="O5248"/>
      <c r="P5248" s="225"/>
      <c r="Q5248" s="225"/>
      <c r="R5248"/>
      <c r="S5248"/>
      <c r="T5248"/>
      <c r="U5248"/>
      <c r="V5248"/>
      <c r="W5248"/>
      <c r="X5248"/>
    </row>
    <row r="5249" spans="5:24" x14ac:dyDescent="0.3">
      <c r="E5249" s="173"/>
      <c r="F5249" s="173"/>
      <c r="I5249"/>
      <c r="J5249"/>
      <c r="K5249"/>
      <c r="L5249"/>
      <c r="M5249"/>
      <c r="N5249"/>
      <c r="O5249"/>
      <c r="P5249" s="225"/>
      <c r="Q5249" s="225"/>
      <c r="R5249"/>
      <c r="S5249"/>
      <c r="T5249"/>
      <c r="U5249"/>
      <c r="V5249"/>
      <c r="W5249"/>
      <c r="X5249"/>
    </row>
    <row r="5250" spans="5:24" x14ac:dyDescent="0.3">
      <c r="E5250" s="173"/>
      <c r="F5250" s="173"/>
      <c r="I5250"/>
      <c r="J5250"/>
      <c r="K5250"/>
      <c r="L5250"/>
      <c r="M5250"/>
      <c r="N5250"/>
      <c r="O5250"/>
      <c r="P5250" s="225"/>
      <c r="Q5250" s="225"/>
      <c r="R5250"/>
      <c r="S5250"/>
      <c r="T5250"/>
      <c r="U5250"/>
      <c r="V5250"/>
      <c r="W5250"/>
      <c r="X5250"/>
    </row>
    <row r="5251" spans="5:24" x14ac:dyDescent="0.3">
      <c r="E5251" s="173"/>
      <c r="F5251" s="173"/>
      <c r="I5251"/>
      <c r="J5251"/>
      <c r="K5251"/>
      <c r="L5251"/>
      <c r="M5251"/>
      <c r="N5251"/>
      <c r="O5251"/>
      <c r="P5251" s="225"/>
      <c r="Q5251" s="225"/>
      <c r="R5251"/>
      <c r="S5251"/>
      <c r="T5251"/>
      <c r="U5251"/>
      <c r="V5251"/>
      <c r="W5251"/>
      <c r="X5251"/>
    </row>
    <row r="5252" spans="5:24" x14ac:dyDescent="0.3">
      <c r="E5252" s="173"/>
      <c r="F5252" s="173"/>
      <c r="I5252"/>
      <c r="J5252"/>
      <c r="K5252"/>
      <c r="L5252"/>
      <c r="M5252"/>
      <c r="N5252"/>
      <c r="O5252"/>
      <c r="P5252" s="225"/>
      <c r="Q5252" s="225"/>
      <c r="R5252"/>
      <c r="S5252"/>
      <c r="T5252"/>
      <c r="U5252"/>
      <c r="V5252"/>
      <c r="W5252"/>
      <c r="X5252"/>
    </row>
    <row r="5253" spans="5:24" x14ac:dyDescent="0.3">
      <c r="E5253" s="173"/>
      <c r="F5253" s="173"/>
      <c r="I5253"/>
      <c r="J5253"/>
      <c r="K5253"/>
      <c r="L5253"/>
      <c r="M5253"/>
      <c r="N5253"/>
      <c r="O5253"/>
      <c r="P5253" s="225"/>
      <c r="Q5253" s="225"/>
      <c r="R5253"/>
      <c r="S5253"/>
      <c r="T5253"/>
      <c r="U5253"/>
      <c r="V5253"/>
      <c r="W5253"/>
      <c r="X5253"/>
    </row>
    <row r="5254" spans="5:24" x14ac:dyDescent="0.3">
      <c r="E5254" s="173"/>
      <c r="F5254" s="173"/>
      <c r="I5254"/>
      <c r="J5254"/>
      <c r="K5254"/>
      <c r="L5254"/>
      <c r="M5254"/>
      <c r="N5254"/>
      <c r="O5254"/>
      <c r="P5254" s="225"/>
      <c r="Q5254" s="225"/>
      <c r="R5254"/>
      <c r="S5254"/>
      <c r="T5254"/>
      <c r="U5254"/>
      <c r="V5254"/>
      <c r="W5254"/>
      <c r="X5254"/>
    </row>
    <row r="5255" spans="5:24" x14ac:dyDescent="0.3">
      <c r="E5255" s="173"/>
      <c r="F5255" s="173"/>
      <c r="I5255"/>
      <c r="J5255"/>
      <c r="K5255"/>
      <c r="L5255"/>
      <c r="M5255"/>
      <c r="N5255"/>
      <c r="O5255"/>
      <c r="P5255" s="225"/>
      <c r="Q5255" s="225"/>
      <c r="R5255"/>
      <c r="S5255"/>
      <c r="T5255"/>
      <c r="U5255"/>
      <c r="V5255"/>
      <c r="W5255"/>
      <c r="X5255"/>
    </row>
    <row r="5256" spans="5:24" x14ac:dyDescent="0.3">
      <c r="E5256" s="173"/>
      <c r="F5256" s="173"/>
      <c r="I5256"/>
      <c r="J5256"/>
      <c r="K5256"/>
      <c r="L5256"/>
      <c r="M5256"/>
      <c r="N5256"/>
      <c r="O5256"/>
      <c r="P5256" s="225"/>
      <c r="Q5256" s="225"/>
      <c r="R5256"/>
      <c r="S5256"/>
      <c r="T5256"/>
      <c r="U5256"/>
      <c r="V5256"/>
      <c r="W5256"/>
      <c r="X5256"/>
    </row>
    <row r="5257" spans="5:24" x14ac:dyDescent="0.3">
      <c r="E5257" s="173"/>
      <c r="F5257" s="173"/>
      <c r="I5257"/>
      <c r="J5257"/>
      <c r="K5257"/>
      <c r="L5257"/>
      <c r="M5257"/>
      <c r="N5257"/>
      <c r="O5257"/>
      <c r="P5257" s="225"/>
      <c r="Q5257" s="225"/>
      <c r="R5257"/>
      <c r="S5257"/>
      <c r="T5257"/>
      <c r="U5257"/>
      <c r="V5257"/>
      <c r="W5257"/>
      <c r="X5257"/>
    </row>
    <row r="5258" spans="5:24" x14ac:dyDescent="0.3">
      <c r="E5258" s="173"/>
      <c r="F5258" s="173"/>
      <c r="I5258"/>
      <c r="J5258"/>
      <c r="K5258"/>
      <c r="L5258"/>
      <c r="M5258"/>
      <c r="N5258"/>
      <c r="O5258"/>
      <c r="P5258" s="225"/>
      <c r="Q5258" s="225"/>
      <c r="R5258"/>
      <c r="S5258"/>
      <c r="T5258"/>
      <c r="U5258"/>
      <c r="V5258"/>
      <c r="W5258"/>
      <c r="X5258"/>
    </row>
    <row r="5259" spans="5:24" x14ac:dyDescent="0.3">
      <c r="E5259" s="173"/>
      <c r="F5259" s="173"/>
      <c r="I5259"/>
      <c r="J5259"/>
      <c r="K5259"/>
      <c r="L5259"/>
      <c r="M5259"/>
      <c r="N5259"/>
      <c r="O5259"/>
      <c r="P5259" s="225"/>
      <c r="Q5259" s="225"/>
      <c r="R5259"/>
      <c r="S5259"/>
      <c r="T5259"/>
      <c r="U5259"/>
      <c r="V5259"/>
      <c r="W5259"/>
      <c r="X5259"/>
    </row>
    <row r="5260" spans="5:24" x14ac:dyDescent="0.3">
      <c r="E5260" s="173"/>
      <c r="F5260" s="173"/>
      <c r="I5260"/>
      <c r="J5260"/>
      <c r="K5260"/>
      <c r="L5260"/>
      <c r="M5260"/>
      <c r="N5260"/>
      <c r="O5260"/>
      <c r="P5260" s="225"/>
      <c r="Q5260" s="225"/>
      <c r="R5260"/>
      <c r="S5260"/>
      <c r="T5260"/>
      <c r="U5260"/>
      <c r="V5260"/>
      <c r="W5260"/>
      <c r="X5260"/>
    </row>
    <row r="5261" spans="5:24" x14ac:dyDescent="0.3">
      <c r="E5261" s="173"/>
      <c r="F5261" s="173"/>
      <c r="I5261"/>
      <c r="J5261"/>
      <c r="K5261"/>
      <c r="L5261"/>
      <c r="M5261"/>
      <c r="N5261"/>
      <c r="O5261"/>
      <c r="P5261" s="225"/>
      <c r="Q5261" s="225"/>
      <c r="R5261"/>
      <c r="S5261"/>
      <c r="T5261"/>
      <c r="U5261"/>
      <c r="V5261"/>
      <c r="W5261"/>
      <c r="X5261"/>
    </row>
    <row r="5262" spans="5:24" x14ac:dyDescent="0.3">
      <c r="E5262" s="173"/>
      <c r="F5262" s="173"/>
      <c r="I5262"/>
      <c r="J5262"/>
      <c r="K5262"/>
      <c r="L5262"/>
      <c r="M5262"/>
      <c r="N5262"/>
      <c r="O5262"/>
      <c r="P5262" s="225"/>
      <c r="Q5262" s="225"/>
      <c r="R5262"/>
      <c r="S5262"/>
      <c r="T5262"/>
      <c r="U5262"/>
      <c r="V5262"/>
      <c r="W5262"/>
      <c r="X5262"/>
    </row>
    <row r="5263" spans="5:24" x14ac:dyDescent="0.3">
      <c r="E5263" s="173"/>
      <c r="F5263" s="173"/>
      <c r="I5263"/>
      <c r="J5263"/>
      <c r="K5263"/>
      <c r="L5263"/>
      <c r="M5263"/>
      <c r="N5263"/>
      <c r="O5263"/>
      <c r="P5263" s="225"/>
      <c r="Q5263" s="225"/>
      <c r="R5263"/>
      <c r="S5263"/>
      <c r="T5263"/>
      <c r="U5263"/>
      <c r="V5263"/>
      <c r="W5263"/>
      <c r="X5263"/>
    </row>
    <row r="5264" spans="5:24" x14ac:dyDescent="0.3">
      <c r="E5264" s="173"/>
      <c r="F5264" s="173"/>
      <c r="I5264"/>
      <c r="J5264"/>
      <c r="K5264"/>
      <c r="L5264"/>
      <c r="M5264"/>
      <c r="N5264"/>
      <c r="O5264"/>
      <c r="P5264" s="225"/>
      <c r="Q5264" s="225"/>
      <c r="R5264"/>
      <c r="S5264"/>
      <c r="T5264"/>
      <c r="U5264"/>
      <c r="V5264"/>
      <c r="W5264"/>
      <c r="X5264"/>
    </row>
    <row r="5265" spans="5:24" x14ac:dyDescent="0.3">
      <c r="E5265" s="173"/>
      <c r="F5265" s="173"/>
      <c r="I5265"/>
      <c r="J5265"/>
      <c r="K5265"/>
      <c r="L5265"/>
      <c r="M5265"/>
      <c r="N5265"/>
      <c r="O5265"/>
      <c r="P5265" s="225"/>
      <c r="Q5265" s="225"/>
      <c r="R5265"/>
      <c r="S5265"/>
      <c r="T5265"/>
      <c r="U5265"/>
      <c r="V5265"/>
      <c r="W5265"/>
      <c r="X5265"/>
    </row>
    <row r="5266" spans="5:24" x14ac:dyDescent="0.3">
      <c r="E5266" s="173"/>
      <c r="F5266" s="173"/>
      <c r="I5266"/>
      <c r="J5266"/>
      <c r="K5266"/>
      <c r="L5266"/>
      <c r="M5266"/>
      <c r="N5266"/>
      <c r="O5266"/>
      <c r="P5266" s="225"/>
      <c r="Q5266" s="225"/>
      <c r="R5266"/>
      <c r="S5266"/>
      <c r="T5266"/>
      <c r="U5266"/>
      <c r="V5266"/>
      <c r="W5266"/>
      <c r="X5266"/>
    </row>
    <row r="5267" spans="5:24" x14ac:dyDescent="0.3">
      <c r="E5267" s="173"/>
      <c r="F5267" s="173"/>
      <c r="I5267"/>
      <c r="J5267"/>
      <c r="K5267"/>
      <c r="L5267"/>
      <c r="M5267"/>
      <c r="N5267"/>
      <c r="O5267"/>
      <c r="P5267" s="225"/>
      <c r="Q5267" s="225"/>
      <c r="R5267"/>
      <c r="S5267"/>
      <c r="T5267"/>
      <c r="U5267"/>
      <c r="V5267"/>
      <c r="W5267"/>
      <c r="X5267"/>
    </row>
    <row r="5268" spans="5:24" x14ac:dyDescent="0.3">
      <c r="E5268" s="173"/>
      <c r="F5268" s="173"/>
      <c r="I5268"/>
      <c r="J5268"/>
      <c r="K5268"/>
      <c r="L5268"/>
      <c r="M5268"/>
      <c r="N5268"/>
      <c r="O5268"/>
      <c r="P5268" s="225"/>
      <c r="Q5268" s="225"/>
      <c r="R5268"/>
      <c r="S5268"/>
      <c r="T5268"/>
      <c r="U5268"/>
      <c r="V5268"/>
      <c r="W5268"/>
      <c r="X5268"/>
    </row>
    <row r="5269" spans="5:24" x14ac:dyDescent="0.3">
      <c r="E5269" s="173"/>
      <c r="F5269" s="173"/>
      <c r="I5269"/>
      <c r="J5269"/>
      <c r="K5269"/>
      <c r="L5269"/>
      <c r="M5269"/>
      <c r="N5269"/>
      <c r="O5269"/>
      <c r="P5269" s="225"/>
      <c r="Q5269" s="225"/>
      <c r="R5269"/>
      <c r="S5269"/>
      <c r="T5269"/>
      <c r="U5269"/>
      <c r="V5269"/>
      <c r="W5269"/>
      <c r="X5269"/>
    </row>
    <row r="5270" spans="5:24" x14ac:dyDescent="0.3">
      <c r="E5270" s="173"/>
      <c r="F5270" s="173"/>
      <c r="I5270"/>
      <c r="J5270"/>
      <c r="K5270"/>
      <c r="L5270"/>
      <c r="M5270"/>
      <c r="N5270"/>
      <c r="O5270"/>
      <c r="P5270" s="225"/>
      <c r="Q5270" s="225"/>
      <c r="R5270"/>
      <c r="S5270"/>
      <c r="T5270"/>
      <c r="U5270"/>
      <c r="V5270"/>
      <c r="W5270"/>
      <c r="X5270"/>
    </row>
    <row r="5271" spans="5:24" x14ac:dyDescent="0.3">
      <c r="E5271" s="173"/>
      <c r="F5271" s="173"/>
      <c r="I5271"/>
      <c r="J5271"/>
      <c r="K5271"/>
      <c r="L5271"/>
      <c r="M5271"/>
      <c r="N5271"/>
      <c r="O5271"/>
      <c r="P5271" s="225"/>
      <c r="Q5271" s="225"/>
      <c r="R5271"/>
      <c r="S5271"/>
      <c r="T5271"/>
      <c r="U5271"/>
      <c r="V5271"/>
      <c r="W5271"/>
      <c r="X5271"/>
    </row>
    <row r="5272" spans="5:24" x14ac:dyDescent="0.3">
      <c r="E5272" s="173"/>
      <c r="F5272" s="173"/>
      <c r="I5272"/>
      <c r="J5272"/>
      <c r="K5272"/>
      <c r="L5272"/>
      <c r="M5272"/>
      <c r="N5272"/>
      <c r="O5272"/>
      <c r="P5272" s="225"/>
      <c r="Q5272" s="225"/>
      <c r="R5272"/>
      <c r="S5272"/>
      <c r="T5272"/>
      <c r="U5272"/>
      <c r="V5272"/>
      <c r="W5272"/>
      <c r="X5272"/>
    </row>
    <row r="5273" spans="5:24" x14ac:dyDescent="0.3">
      <c r="E5273" s="173"/>
      <c r="F5273" s="173"/>
      <c r="I5273"/>
      <c r="J5273"/>
      <c r="K5273"/>
      <c r="L5273"/>
      <c r="M5273"/>
      <c r="N5273"/>
      <c r="O5273"/>
      <c r="P5273" s="225"/>
      <c r="Q5273" s="225"/>
      <c r="R5273"/>
      <c r="S5273"/>
      <c r="T5273"/>
      <c r="U5273"/>
      <c r="V5273"/>
      <c r="W5273"/>
      <c r="X5273"/>
    </row>
    <row r="5274" spans="5:24" x14ac:dyDescent="0.3">
      <c r="E5274" s="173"/>
      <c r="F5274" s="173"/>
      <c r="I5274"/>
      <c r="J5274"/>
      <c r="K5274"/>
      <c r="L5274"/>
      <c r="M5274"/>
      <c r="N5274"/>
      <c r="O5274"/>
      <c r="P5274" s="225"/>
      <c r="Q5274" s="225"/>
      <c r="R5274"/>
      <c r="S5274"/>
      <c r="T5274"/>
      <c r="U5274"/>
      <c r="V5274"/>
      <c r="W5274"/>
      <c r="X5274"/>
    </row>
    <row r="5275" spans="5:24" x14ac:dyDescent="0.3">
      <c r="E5275" s="173"/>
      <c r="F5275" s="173"/>
      <c r="I5275"/>
      <c r="J5275"/>
      <c r="K5275"/>
      <c r="L5275"/>
      <c r="M5275"/>
      <c r="N5275"/>
      <c r="O5275"/>
      <c r="P5275" s="225"/>
      <c r="Q5275" s="225"/>
      <c r="R5275"/>
      <c r="S5275"/>
      <c r="T5275"/>
      <c r="U5275"/>
      <c r="V5275"/>
      <c r="W5275"/>
      <c r="X5275"/>
    </row>
    <row r="5276" spans="5:24" x14ac:dyDescent="0.3">
      <c r="E5276" s="173"/>
      <c r="F5276" s="173"/>
      <c r="I5276"/>
      <c r="J5276"/>
      <c r="K5276"/>
      <c r="L5276"/>
      <c r="M5276"/>
      <c r="N5276"/>
      <c r="O5276"/>
      <c r="P5276" s="225"/>
      <c r="Q5276" s="225"/>
      <c r="R5276"/>
      <c r="S5276"/>
      <c r="T5276"/>
      <c r="U5276"/>
      <c r="V5276"/>
      <c r="W5276"/>
      <c r="X5276"/>
    </row>
    <row r="5277" spans="5:24" x14ac:dyDescent="0.3">
      <c r="E5277" s="173"/>
      <c r="F5277" s="173"/>
      <c r="I5277"/>
      <c r="J5277"/>
      <c r="K5277"/>
      <c r="L5277"/>
      <c r="M5277"/>
      <c r="N5277"/>
      <c r="O5277"/>
      <c r="P5277" s="225"/>
      <c r="Q5277" s="225"/>
      <c r="R5277"/>
      <c r="S5277"/>
      <c r="T5277"/>
      <c r="U5277"/>
      <c r="V5277"/>
      <c r="W5277"/>
      <c r="X5277"/>
    </row>
    <row r="5278" spans="5:24" x14ac:dyDescent="0.3">
      <c r="E5278" s="173"/>
      <c r="F5278" s="173"/>
      <c r="I5278"/>
      <c r="J5278"/>
      <c r="K5278"/>
      <c r="L5278"/>
      <c r="M5278"/>
      <c r="N5278"/>
      <c r="O5278"/>
      <c r="P5278" s="225"/>
      <c r="Q5278" s="225"/>
      <c r="R5278"/>
      <c r="S5278"/>
      <c r="T5278"/>
      <c r="U5278"/>
      <c r="V5278"/>
      <c r="W5278"/>
      <c r="X5278"/>
    </row>
    <row r="5279" spans="5:24" x14ac:dyDescent="0.3">
      <c r="E5279" s="173"/>
      <c r="F5279" s="173"/>
      <c r="I5279"/>
      <c r="J5279"/>
      <c r="K5279"/>
      <c r="L5279"/>
      <c r="M5279"/>
      <c r="N5279"/>
      <c r="O5279"/>
      <c r="P5279" s="225"/>
      <c r="Q5279" s="225"/>
      <c r="R5279"/>
      <c r="S5279"/>
      <c r="T5279"/>
      <c r="U5279"/>
      <c r="V5279"/>
      <c r="W5279"/>
      <c r="X5279"/>
    </row>
    <row r="5280" spans="5:24" x14ac:dyDescent="0.3">
      <c r="E5280" s="173"/>
      <c r="F5280" s="173"/>
      <c r="I5280"/>
      <c r="J5280"/>
      <c r="K5280"/>
      <c r="L5280"/>
      <c r="M5280"/>
      <c r="N5280"/>
      <c r="O5280"/>
      <c r="P5280" s="225"/>
      <c r="Q5280" s="225"/>
      <c r="R5280"/>
      <c r="S5280"/>
      <c r="T5280"/>
      <c r="U5280"/>
      <c r="V5280"/>
      <c r="W5280"/>
      <c r="X5280"/>
    </row>
    <row r="5281" spans="5:24" x14ac:dyDescent="0.3">
      <c r="E5281" s="173"/>
      <c r="F5281" s="173"/>
      <c r="I5281"/>
      <c r="J5281"/>
      <c r="K5281"/>
      <c r="L5281"/>
      <c r="M5281"/>
      <c r="N5281"/>
      <c r="O5281"/>
      <c r="P5281" s="225"/>
      <c r="Q5281" s="225"/>
      <c r="R5281"/>
      <c r="S5281"/>
      <c r="T5281"/>
      <c r="U5281"/>
      <c r="V5281"/>
      <c r="W5281"/>
      <c r="X5281"/>
    </row>
    <row r="5282" spans="5:24" x14ac:dyDescent="0.3">
      <c r="E5282" s="173"/>
      <c r="F5282" s="173"/>
      <c r="I5282"/>
      <c r="J5282"/>
      <c r="K5282"/>
      <c r="L5282"/>
      <c r="M5282"/>
      <c r="N5282"/>
      <c r="O5282"/>
      <c r="P5282" s="225"/>
      <c r="Q5282" s="225"/>
      <c r="R5282"/>
      <c r="S5282"/>
      <c r="T5282"/>
      <c r="U5282"/>
      <c r="V5282"/>
      <c r="W5282"/>
      <c r="X5282"/>
    </row>
    <row r="5283" spans="5:24" x14ac:dyDescent="0.3">
      <c r="E5283" s="173"/>
      <c r="F5283" s="173"/>
      <c r="I5283"/>
      <c r="J5283"/>
      <c r="K5283"/>
      <c r="L5283"/>
      <c r="M5283"/>
      <c r="N5283"/>
      <c r="O5283"/>
      <c r="P5283" s="225"/>
      <c r="Q5283" s="225"/>
      <c r="R5283"/>
      <c r="S5283"/>
      <c r="T5283"/>
      <c r="U5283"/>
      <c r="V5283"/>
      <c r="W5283"/>
      <c r="X5283"/>
    </row>
    <row r="5284" spans="5:24" x14ac:dyDescent="0.3">
      <c r="E5284" s="173"/>
      <c r="F5284" s="173"/>
      <c r="I5284"/>
      <c r="J5284"/>
      <c r="K5284"/>
      <c r="L5284"/>
      <c r="M5284"/>
      <c r="N5284"/>
      <c r="O5284"/>
      <c r="P5284" s="225"/>
      <c r="Q5284" s="225"/>
      <c r="R5284"/>
      <c r="S5284"/>
      <c r="T5284"/>
      <c r="U5284"/>
      <c r="V5284"/>
      <c r="W5284"/>
      <c r="X5284"/>
    </row>
    <row r="5285" spans="5:24" x14ac:dyDescent="0.3">
      <c r="E5285" s="173"/>
      <c r="F5285" s="173"/>
      <c r="I5285"/>
      <c r="J5285"/>
      <c r="K5285"/>
      <c r="L5285"/>
      <c r="M5285"/>
      <c r="N5285"/>
      <c r="O5285"/>
      <c r="P5285" s="225"/>
      <c r="Q5285" s="225"/>
      <c r="R5285"/>
      <c r="S5285"/>
      <c r="T5285"/>
      <c r="U5285"/>
      <c r="V5285"/>
      <c r="W5285"/>
      <c r="X5285"/>
    </row>
    <row r="5286" spans="5:24" x14ac:dyDescent="0.3">
      <c r="E5286" s="173"/>
      <c r="F5286" s="173"/>
      <c r="I5286"/>
      <c r="J5286"/>
      <c r="K5286"/>
      <c r="L5286"/>
      <c r="M5286"/>
      <c r="N5286"/>
      <c r="O5286"/>
      <c r="P5286" s="225"/>
      <c r="Q5286" s="225"/>
      <c r="R5286"/>
      <c r="S5286"/>
      <c r="T5286"/>
      <c r="U5286"/>
      <c r="V5286"/>
      <c r="W5286"/>
      <c r="X5286"/>
    </row>
    <row r="5287" spans="5:24" x14ac:dyDescent="0.3">
      <c r="E5287" s="173"/>
      <c r="F5287" s="173"/>
      <c r="I5287"/>
      <c r="J5287"/>
      <c r="K5287"/>
      <c r="L5287"/>
      <c r="M5287"/>
      <c r="N5287"/>
      <c r="O5287"/>
      <c r="P5287" s="225"/>
      <c r="Q5287" s="225"/>
      <c r="R5287"/>
      <c r="S5287"/>
      <c r="T5287"/>
      <c r="U5287"/>
      <c r="V5287"/>
      <c r="W5287"/>
      <c r="X5287"/>
    </row>
    <row r="5288" spans="5:24" x14ac:dyDescent="0.3">
      <c r="E5288" s="173"/>
      <c r="F5288" s="173"/>
      <c r="I5288"/>
      <c r="J5288"/>
      <c r="K5288"/>
      <c r="L5288"/>
      <c r="M5288"/>
      <c r="N5288"/>
      <c r="O5288"/>
      <c r="P5288" s="225"/>
      <c r="Q5288" s="225"/>
      <c r="R5288"/>
      <c r="S5288"/>
      <c r="T5288"/>
      <c r="U5288"/>
      <c r="V5288"/>
      <c r="W5288"/>
      <c r="X5288"/>
    </row>
    <row r="5289" spans="5:24" x14ac:dyDescent="0.3">
      <c r="E5289" s="173"/>
      <c r="F5289" s="173"/>
      <c r="I5289"/>
      <c r="J5289"/>
      <c r="K5289"/>
      <c r="L5289"/>
      <c r="M5289"/>
      <c r="N5289"/>
      <c r="O5289"/>
      <c r="P5289" s="225"/>
      <c r="Q5289" s="225"/>
      <c r="R5289"/>
      <c r="S5289"/>
      <c r="T5289"/>
      <c r="U5289"/>
      <c r="V5289"/>
      <c r="W5289"/>
      <c r="X5289"/>
    </row>
    <row r="5290" spans="5:24" x14ac:dyDescent="0.3">
      <c r="E5290" s="173"/>
      <c r="F5290" s="173"/>
      <c r="I5290"/>
      <c r="J5290"/>
      <c r="K5290"/>
      <c r="L5290"/>
      <c r="M5290"/>
      <c r="N5290"/>
      <c r="O5290"/>
      <c r="P5290" s="225"/>
      <c r="Q5290" s="225"/>
      <c r="R5290"/>
      <c r="S5290"/>
      <c r="T5290"/>
      <c r="U5290"/>
      <c r="V5290"/>
      <c r="W5290"/>
      <c r="X5290"/>
    </row>
    <row r="5291" spans="5:24" x14ac:dyDescent="0.3">
      <c r="E5291" s="173"/>
      <c r="F5291" s="173"/>
      <c r="I5291"/>
      <c r="J5291"/>
      <c r="K5291"/>
      <c r="L5291"/>
      <c r="M5291"/>
      <c r="N5291"/>
      <c r="O5291"/>
      <c r="P5291" s="225"/>
      <c r="Q5291" s="225"/>
      <c r="R5291"/>
      <c r="S5291"/>
      <c r="T5291"/>
      <c r="U5291"/>
      <c r="V5291"/>
      <c r="W5291"/>
      <c r="X5291"/>
    </row>
    <row r="5292" spans="5:24" x14ac:dyDescent="0.3">
      <c r="E5292" s="173"/>
      <c r="F5292" s="173"/>
      <c r="I5292"/>
      <c r="J5292"/>
      <c r="K5292"/>
      <c r="L5292"/>
      <c r="M5292"/>
      <c r="N5292"/>
      <c r="O5292"/>
      <c r="P5292" s="225"/>
      <c r="Q5292" s="225"/>
      <c r="R5292"/>
      <c r="S5292"/>
      <c r="T5292"/>
      <c r="U5292"/>
      <c r="V5292"/>
      <c r="W5292"/>
      <c r="X5292"/>
    </row>
    <row r="5293" spans="5:24" x14ac:dyDescent="0.3">
      <c r="E5293" s="173"/>
      <c r="F5293" s="173"/>
      <c r="I5293"/>
      <c r="J5293"/>
      <c r="K5293"/>
      <c r="L5293"/>
      <c r="M5293"/>
      <c r="N5293"/>
      <c r="O5293"/>
      <c r="P5293" s="225"/>
      <c r="Q5293" s="225"/>
      <c r="R5293"/>
      <c r="S5293"/>
      <c r="T5293"/>
      <c r="U5293"/>
      <c r="V5293"/>
      <c r="W5293"/>
      <c r="X5293"/>
    </row>
    <row r="5294" spans="5:24" x14ac:dyDescent="0.3">
      <c r="E5294" s="173"/>
      <c r="F5294" s="173"/>
      <c r="I5294"/>
      <c r="J5294"/>
      <c r="K5294"/>
      <c r="L5294"/>
      <c r="M5294"/>
      <c r="N5294"/>
      <c r="O5294"/>
      <c r="P5294" s="225"/>
      <c r="Q5294" s="225"/>
      <c r="R5294"/>
      <c r="S5294"/>
      <c r="T5294"/>
      <c r="U5294"/>
      <c r="V5294"/>
      <c r="W5294"/>
      <c r="X5294"/>
    </row>
    <row r="5295" spans="5:24" x14ac:dyDescent="0.3">
      <c r="E5295" s="173"/>
      <c r="F5295" s="173"/>
      <c r="I5295"/>
      <c r="J5295"/>
      <c r="K5295"/>
      <c r="L5295"/>
      <c r="M5295"/>
      <c r="N5295"/>
      <c r="O5295"/>
      <c r="P5295" s="225"/>
      <c r="Q5295" s="225"/>
      <c r="R5295"/>
      <c r="S5295"/>
      <c r="T5295"/>
      <c r="U5295"/>
      <c r="V5295"/>
      <c r="W5295"/>
      <c r="X5295"/>
    </row>
    <row r="5296" spans="5:24" x14ac:dyDescent="0.3">
      <c r="E5296" s="173"/>
      <c r="F5296" s="173"/>
      <c r="I5296"/>
      <c r="J5296"/>
      <c r="K5296"/>
      <c r="L5296"/>
      <c r="M5296"/>
      <c r="N5296"/>
      <c r="O5296"/>
      <c r="P5296" s="225"/>
      <c r="Q5296" s="225"/>
      <c r="R5296"/>
      <c r="S5296"/>
      <c r="T5296"/>
      <c r="U5296"/>
      <c r="V5296"/>
      <c r="W5296"/>
      <c r="X5296"/>
    </row>
    <row r="5297" spans="5:24" x14ac:dyDescent="0.3">
      <c r="E5297" s="173"/>
      <c r="F5297" s="173"/>
      <c r="I5297"/>
      <c r="J5297"/>
      <c r="K5297"/>
      <c r="L5297"/>
      <c r="M5297"/>
      <c r="N5297"/>
      <c r="O5297"/>
      <c r="P5297" s="225"/>
      <c r="Q5297" s="225"/>
      <c r="R5297"/>
      <c r="S5297"/>
      <c r="T5297"/>
      <c r="U5297"/>
      <c r="V5297"/>
      <c r="W5297"/>
      <c r="X5297"/>
    </row>
    <row r="5298" spans="5:24" x14ac:dyDescent="0.3">
      <c r="E5298" s="173"/>
      <c r="F5298" s="173"/>
      <c r="I5298"/>
      <c r="J5298"/>
      <c r="K5298"/>
      <c r="L5298"/>
      <c r="M5298"/>
      <c r="N5298"/>
      <c r="O5298"/>
      <c r="P5298" s="225"/>
      <c r="Q5298" s="225"/>
      <c r="R5298"/>
      <c r="S5298"/>
      <c r="T5298"/>
      <c r="U5298"/>
      <c r="V5298"/>
      <c r="W5298"/>
      <c r="X5298"/>
    </row>
    <row r="5299" spans="5:24" x14ac:dyDescent="0.3">
      <c r="E5299" s="173"/>
      <c r="F5299" s="173"/>
      <c r="I5299"/>
      <c r="J5299"/>
      <c r="K5299"/>
      <c r="L5299"/>
      <c r="M5299"/>
      <c r="N5299"/>
      <c r="O5299"/>
      <c r="P5299" s="225"/>
      <c r="Q5299" s="225"/>
      <c r="R5299"/>
      <c r="S5299"/>
      <c r="T5299"/>
      <c r="U5299"/>
      <c r="V5299"/>
      <c r="W5299"/>
      <c r="X5299"/>
    </row>
    <row r="5300" spans="5:24" x14ac:dyDescent="0.3">
      <c r="E5300" s="173"/>
      <c r="F5300" s="173"/>
      <c r="I5300"/>
      <c r="J5300"/>
      <c r="K5300"/>
      <c r="L5300"/>
      <c r="M5300"/>
      <c r="N5300"/>
      <c r="O5300"/>
      <c r="P5300" s="225"/>
      <c r="Q5300" s="225"/>
      <c r="R5300"/>
      <c r="S5300"/>
      <c r="T5300"/>
      <c r="U5300"/>
      <c r="V5300"/>
      <c r="W5300"/>
      <c r="X5300"/>
    </row>
    <row r="5301" spans="5:24" x14ac:dyDescent="0.3">
      <c r="E5301" s="173"/>
      <c r="F5301" s="173"/>
      <c r="I5301"/>
      <c r="J5301"/>
      <c r="K5301"/>
      <c r="L5301"/>
      <c r="M5301"/>
      <c r="N5301"/>
      <c r="O5301"/>
      <c r="P5301" s="225"/>
      <c r="Q5301" s="225"/>
      <c r="R5301"/>
      <c r="S5301"/>
      <c r="T5301"/>
      <c r="U5301"/>
      <c r="V5301"/>
      <c r="W5301"/>
      <c r="X5301"/>
    </row>
    <row r="5302" spans="5:24" x14ac:dyDescent="0.3">
      <c r="E5302" s="173"/>
      <c r="F5302" s="173"/>
      <c r="I5302"/>
      <c r="J5302"/>
      <c r="K5302"/>
      <c r="L5302"/>
      <c r="M5302"/>
      <c r="N5302"/>
      <c r="O5302"/>
      <c r="P5302" s="225"/>
      <c r="Q5302" s="225"/>
      <c r="R5302"/>
      <c r="S5302"/>
      <c r="T5302"/>
      <c r="U5302"/>
      <c r="V5302"/>
      <c r="W5302"/>
      <c r="X5302"/>
    </row>
    <row r="5303" spans="5:24" x14ac:dyDescent="0.3">
      <c r="E5303" s="173"/>
      <c r="F5303" s="173"/>
      <c r="I5303"/>
      <c r="J5303"/>
      <c r="K5303"/>
      <c r="L5303"/>
      <c r="M5303"/>
      <c r="N5303"/>
      <c r="O5303"/>
      <c r="P5303" s="225"/>
      <c r="Q5303" s="225"/>
      <c r="R5303"/>
      <c r="S5303"/>
      <c r="T5303"/>
      <c r="U5303"/>
      <c r="V5303"/>
      <c r="W5303"/>
      <c r="X5303"/>
    </row>
    <row r="5304" spans="5:24" x14ac:dyDescent="0.3">
      <c r="E5304" s="173"/>
      <c r="F5304" s="173"/>
      <c r="I5304"/>
      <c r="J5304"/>
      <c r="K5304"/>
      <c r="L5304"/>
      <c r="M5304"/>
      <c r="N5304"/>
      <c r="O5304"/>
      <c r="P5304" s="225"/>
      <c r="Q5304" s="225"/>
      <c r="R5304"/>
      <c r="S5304"/>
      <c r="T5304"/>
      <c r="U5304"/>
      <c r="V5304"/>
      <c r="W5304"/>
      <c r="X5304"/>
    </row>
    <row r="5305" spans="5:24" x14ac:dyDescent="0.3">
      <c r="E5305" s="173"/>
      <c r="F5305" s="173"/>
      <c r="I5305"/>
      <c r="J5305"/>
      <c r="K5305"/>
      <c r="L5305"/>
      <c r="M5305"/>
      <c r="N5305"/>
      <c r="O5305"/>
      <c r="P5305" s="225"/>
      <c r="Q5305" s="225"/>
      <c r="R5305"/>
      <c r="S5305"/>
      <c r="T5305"/>
      <c r="U5305"/>
      <c r="V5305"/>
      <c r="W5305"/>
      <c r="X5305"/>
    </row>
    <row r="5306" spans="5:24" x14ac:dyDescent="0.3">
      <c r="E5306" s="173"/>
      <c r="F5306" s="173"/>
      <c r="I5306"/>
      <c r="J5306"/>
      <c r="K5306"/>
      <c r="L5306"/>
      <c r="M5306"/>
      <c r="N5306"/>
      <c r="O5306"/>
      <c r="P5306" s="225"/>
      <c r="Q5306" s="225"/>
      <c r="R5306"/>
      <c r="S5306"/>
      <c r="T5306"/>
      <c r="U5306"/>
      <c r="V5306"/>
      <c r="W5306"/>
      <c r="X5306"/>
    </row>
    <row r="5307" spans="5:24" x14ac:dyDescent="0.3">
      <c r="E5307" s="173"/>
      <c r="F5307" s="173"/>
      <c r="I5307"/>
      <c r="J5307"/>
      <c r="K5307"/>
      <c r="L5307"/>
      <c r="M5307"/>
      <c r="N5307"/>
      <c r="O5307"/>
      <c r="P5307" s="225"/>
      <c r="Q5307" s="225"/>
      <c r="R5307"/>
      <c r="S5307"/>
      <c r="T5307"/>
      <c r="U5307"/>
      <c r="V5307"/>
      <c r="W5307"/>
      <c r="X5307"/>
    </row>
    <row r="5308" spans="5:24" x14ac:dyDescent="0.3">
      <c r="E5308" s="173"/>
      <c r="F5308" s="173"/>
      <c r="I5308"/>
      <c r="J5308"/>
      <c r="K5308"/>
      <c r="L5308"/>
      <c r="M5308"/>
      <c r="N5308"/>
      <c r="O5308"/>
      <c r="P5308" s="225"/>
      <c r="Q5308" s="225"/>
      <c r="R5308"/>
      <c r="S5308"/>
      <c r="T5308"/>
      <c r="U5308"/>
      <c r="V5308"/>
      <c r="W5308"/>
      <c r="X5308"/>
    </row>
    <row r="5309" spans="5:24" x14ac:dyDescent="0.3">
      <c r="E5309" s="173"/>
      <c r="F5309" s="173"/>
      <c r="I5309"/>
      <c r="J5309"/>
      <c r="K5309"/>
      <c r="L5309"/>
      <c r="M5309"/>
      <c r="N5309"/>
      <c r="O5309"/>
      <c r="P5309" s="225"/>
      <c r="Q5309" s="225"/>
      <c r="R5309"/>
      <c r="S5309"/>
      <c r="T5309"/>
      <c r="U5309"/>
      <c r="V5309"/>
      <c r="W5309"/>
      <c r="X5309"/>
    </row>
    <row r="5310" spans="5:24" x14ac:dyDescent="0.3">
      <c r="E5310" s="173"/>
      <c r="F5310" s="173"/>
      <c r="I5310"/>
      <c r="J5310"/>
      <c r="K5310"/>
      <c r="L5310"/>
      <c r="M5310"/>
      <c r="N5310"/>
      <c r="O5310"/>
      <c r="P5310" s="225"/>
      <c r="Q5310" s="225"/>
      <c r="R5310"/>
      <c r="S5310"/>
      <c r="T5310"/>
      <c r="U5310"/>
      <c r="V5310"/>
      <c r="W5310"/>
      <c r="X5310"/>
    </row>
    <row r="5311" spans="5:24" x14ac:dyDescent="0.3">
      <c r="E5311" s="173"/>
      <c r="F5311" s="173"/>
      <c r="I5311"/>
      <c r="J5311"/>
      <c r="K5311"/>
      <c r="L5311"/>
      <c r="M5311"/>
      <c r="N5311"/>
      <c r="O5311"/>
      <c r="P5311" s="225"/>
      <c r="Q5311" s="225"/>
      <c r="R5311"/>
      <c r="S5311"/>
      <c r="T5311"/>
      <c r="U5311"/>
      <c r="V5311"/>
      <c r="W5311"/>
      <c r="X5311"/>
    </row>
    <row r="5312" spans="5:24" x14ac:dyDescent="0.3">
      <c r="E5312" s="173"/>
      <c r="F5312" s="173"/>
      <c r="I5312"/>
      <c r="J5312"/>
      <c r="K5312"/>
      <c r="L5312"/>
      <c r="M5312"/>
      <c r="N5312"/>
      <c r="O5312"/>
      <c r="P5312" s="225"/>
      <c r="Q5312" s="225"/>
      <c r="R5312"/>
      <c r="S5312"/>
      <c r="T5312"/>
      <c r="U5312"/>
      <c r="V5312"/>
      <c r="W5312"/>
      <c r="X5312"/>
    </row>
    <row r="5313" spans="5:24" x14ac:dyDescent="0.3">
      <c r="E5313" s="173"/>
      <c r="F5313" s="173"/>
      <c r="I5313"/>
      <c r="J5313"/>
      <c r="K5313"/>
      <c r="L5313"/>
      <c r="M5313"/>
      <c r="N5313"/>
      <c r="O5313"/>
      <c r="P5313" s="225"/>
      <c r="Q5313" s="225"/>
      <c r="R5313"/>
      <c r="S5313"/>
      <c r="T5313"/>
      <c r="U5313"/>
      <c r="V5313"/>
      <c r="W5313"/>
      <c r="X5313"/>
    </row>
    <row r="5314" spans="5:24" x14ac:dyDescent="0.3">
      <c r="E5314" s="173"/>
      <c r="F5314" s="173"/>
      <c r="I5314"/>
      <c r="J5314"/>
      <c r="K5314"/>
      <c r="L5314"/>
      <c r="M5314"/>
      <c r="N5314"/>
      <c r="O5314"/>
      <c r="P5314" s="225"/>
      <c r="Q5314" s="225"/>
      <c r="R5314"/>
      <c r="S5314"/>
      <c r="T5314"/>
      <c r="U5314"/>
      <c r="V5314"/>
      <c r="W5314"/>
      <c r="X5314"/>
    </row>
    <row r="5315" spans="5:24" x14ac:dyDescent="0.3">
      <c r="E5315" s="173"/>
      <c r="F5315" s="173"/>
      <c r="I5315"/>
      <c r="J5315"/>
      <c r="K5315"/>
      <c r="L5315"/>
      <c r="M5315"/>
      <c r="N5315"/>
      <c r="O5315"/>
      <c r="P5315" s="225"/>
      <c r="Q5315" s="225"/>
      <c r="R5315"/>
      <c r="S5315"/>
      <c r="T5315"/>
      <c r="U5315"/>
      <c r="V5315"/>
      <c r="W5315"/>
      <c r="X5315"/>
    </row>
    <row r="5316" spans="5:24" x14ac:dyDescent="0.3">
      <c r="E5316" s="173"/>
      <c r="F5316" s="173"/>
      <c r="I5316"/>
      <c r="J5316"/>
      <c r="K5316"/>
      <c r="L5316"/>
      <c r="M5316"/>
      <c r="N5316"/>
      <c r="O5316"/>
      <c r="P5316" s="225"/>
      <c r="Q5316" s="225"/>
      <c r="R5316"/>
      <c r="S5316"/>
      <c r="T5316"/>
      <c r="U5316"/>
      <c r="V5316"/>
      <c r="W5316"/>
      <c r="X5316"/>
    </row>
    <row r="5317" spans="5:24" x14ac:dyDescent="0.3">
      <c r="E5317" s="173"/>
      <c r="F5317" s="173"/>
      <c r="I5317"/>
      <c r="J5317"/>
      <c r="K5317"/>
      <c r="L5317"/>
      <c r="M5317"/>
      <c r="N5317"/>
      <c r="O5317"/>
      <c r="P5317" s="225"/>
      <c r="Q5317" s="225"/>
      <c r="R5317"/>
      <c r="S5317"/>
      <c r="T5317"/>
      <c r="U5317"/>
      <c r="V5317"/>
      <c r="W5317"/>
      <c r="X5317"/>
    </row>
    <row r="5318" spans="5:24" x14ac:dyDescent="0.3">
      <c r="E5318" s="173"/>
      <c r="F5318" s="173"/>
      <c r="I5318"/>
      <c r="J5318"/>
      <c r="K5318"/>
      <c r="L5318"/>
      <c r="M5318"/>
      <c r="N5318"/>
      <c r="O5318"/>
      <c r="P5318" s="225"/>
      <c r="Q5318" s="225"/>
      <c r="R5318"/>
      <c r="S5318"/>
      <c r="T5318"/>
      <c r="U5318"/>
      <c r="V5318"/>
      <c r="W5318"/>
      <c r="X5318"/>
    </row>
    <row r="5319" spans="5:24" x14ac:dyDescent="0.3">
      <c r="E5319" s="173"/>
      <c r="F5319" s="173"/>
      <c r="I5319"/>
      <c r="J5319"/>
      <c r="K5319"/>
      <c r="L5319"/>
      <c r="M5319"/>
      <c r="N5319"/>
      <c r="O5319"/>
      <c r="P5319" s="225"/>
      <c r="Q5319" s="225"/>
      <c r="R5319"/>
      <c r="S5319"/>
      <c r="T5319"/>
      <c r="U5319"/>
      <c r="V5319"/>
      <c r="W5319"/>
      <c r="X5319"/>
    </row>
    <row r="5320" spans="5:24" x14ac:dyDescent="0.3">
      <c r="E5320" s="173"/>
      <c r="F5320" s="173"/>
      <c r="I5320"/>
      <c r="J5320"/>
      <c r="K5320"/>
      <c r="L5320"/>
      <c r="M5320"/>
      <c r="N5320"/>
      <c r="O5320"/>
      <c r="P5320" s="225"/>
      <c r="Q5320" s="225"/>
      <c r="R5320"/>
      <c r="S5320"/>
      <c r="T5320"/>
      <c r="U5320"/>
      <c r="V5320"/>
      <c r="W5320"/>
      <c r="X5320"/>
    </row>
    <row r="5321" spans="5:24" x14ac:dyDescent="0.3">
      <c r="E5321" s="173"/>
      <c r="F5321" s="173"/>
      <c r="I5321"/>
      <c r="J5321"/>
      <c r="K5321"/>
      <c r="L5321"/>
      <c r="M5321"/>
      <c r="N5321"/>
      <c r="O5321"/>
      <c r="P5321" s="225"/>
      <c r="Q5321" s="225"/>
      <c r="R5321"/>
      <c r="S5321"/>
      <c r="T5321"/>
      <c r="U5321"/>
      <c r="V5321"/>
      <c r="W5321"/>
      <c r="X5321"/>
    </row>
    <row r="5322" spans="5:24" x14ac:dyDescent="0.3">
      <c r="E5322" s="173"/>
      <c r="F5322" s="173"/>
      <c r="I5322"/>
      <c r="J5322"/>
      <c r="K5322"/>
      <c r="L5322"/>
      <c r="M5322"/>
      <c r="N5322"/>
      <c r="O5322"/>
      <c r="P5322" s="225"/>
      <c r="Q5322" s="225"/>
      <c r="R5322"/>
      <c r="S5322"/>
      <c r="T5322"/>
      <c r="U5322"/>
      <c r="V5322"/>
      <c r="W5322"/>
      <c r="X5322"/>
    </row>
    <row r="5323" spans="5:24" x14ac:dyDescent="0.3">
      <c r="E5323" s="173"/>
      <c r="F5323" s="173"/>
      <c r="I5323"/>
      <c r="J5323"/>
      <c r="K5323"/>
      <c r="L5323"/>
      <c r="M5323"/>
      <c r="N5323"/>
      <c r="O5323"/>
      <c r="P5323" s="225"/>
      <c r="Q5323" s="225"/>
      <c r="R5323"/>
      <c r="S5323"/>
      <c r="T5323"/>
      <c r="U5323"/>
      <c r="V5323"/>
      <c r="W5323"/>
      <c r="X5323"/>
    </row>
    <row r="5324" spans="5:24" x14ac:dyDescent="0.3">
      <c r="E5324" s="173"/>
      <c r="F5324" s="173"/>
      <c r="I5324"/>
      <c r="J5324"/>
      <c r="K5324"/>
      <c r="L5324"/>
      <c r="M5324"/>
      <c r="N5324"/>
      <c r="O5324"/>
      <c r="P5324" s="225"/>
      <c r="Q5324" s="225"/>
      <c r="R5324"/>
      <c r="S5324"/>
      <c r="T5324"/>
      <c r="U5324"/>
      <c r="V5324"/>
      <c r="W5324"/>
      <c r="X5324"/>
    </row>
    <row r="5325" spans="5:24" x14ac:dyDescent="0.3">
      <c r="E5325" s="173"/>
      <c r="F5325" s="173"/>
      <c r="I5325"/>
      <c r="J5325"/>
      <c r="K5325"/>
      <c r="L5325"/>
      <c r="M5325"/>
      <c r="N5325"/>
      <c r="O5325"/>
      <c r="P5325" s="225"/>
      <c r="Q5325" s="225"/>
      <c r="R5325"/>
      <c r="S5325"/>
      <c r="T5325"/>
      <c r="U5325"/>
      <c r="V5325"/>
      <c r="W5325"/>
      <c r="X5325"/>
    </row>
    <row r="5326" spans="5:24" x14ac:dyDescent="0.3">
      <c r="E5326" s="173"/>
      <c r="F5326" s="173"/>
      <c r="I5326"/>
      <c r="J5326"/>
      <c r="K5326"/>
      <c r="L5326"/>
      <c r="M5326"/>
      <c r="N5326"/>
      <c r="O5326"/>
      <c r="P5326" s="225"/>
      <c r="Q5326" s="225"/>
      <c r="R5326"/>
      <c r="S5326"/>
      <c r="T5326"/>
      <c r="U5326"/>
      <c r="V5326"/>
      <c r="W5326"/>
      <c r="X5326"/>
    </row>
    <row r="5327" spans="5:24" x14ac:dyDescent="0.3">
      <c r="E5327" s="173"/>
      <c r="F5327" s="173"/>
      <c r="I5327"/>
      <c r="J5327"/>
      <c r="K5327"/>
      <c r="L5327"/>
      <c r="M5327"/>
      <c r="N5327"/>
      <c r="O5327"/>
      <c r="P5327" s="225"/>
      <c r="Q5327" s="225"/>
      <c r="R5327"/>
      <c r="S5327"/>
      <c r="T5327"/>
      <c r="U5327"/>
      <c r="V5327"/>
      <c r="W5327"/>
      <c r="X5327"/>
    </row>
    <row r="5328" spans="5:24" x14ac:dyDescent="0.3">
      <c r="E5328" s="173"/>
      <c r="F5328" s="173"/>
      <c r="I5328"/>
      <c r="J5328"/>
      <c r="K5328"/>
      <c r="L5328"/>
      <c r="M5328"/>
      <c r="N5328"/>
      <c r="O5328"/>
      <c r="P5328" s="225"/>
      <c r="Q5328" s="225"/>
      <c r="R5328"/>
      <c r="S5328"/>
      <c r="T5328"/>
      <c r="U5328"/>
      <c r="V5328"/>
      <c r="W5328"/>
      <c r="X5328"/>
    </row>
    <row r="5329" spans="5:24" x14ac:dyDescent="0.3">
      <c r="E5329" s="173"/>
      <c r="F5329" s="173"/>
      <c r="I5329"/>
      <c r="J5329"/>
      <c r="K5329"/>
      <c r="L5329"/>
      <c r="M5329"/>
      <c r="N5329"/>
      <c r="O5329"/>
      <c r="P5329" s="225"/>
      <c r="Q5329" s="225"/>
      <c r="R5329"/>
      <c r="S5329"/>
      <c r="T5329"/>
      <c r="U5329"/>
      <c r="V5329"/>
      <c r="W5329"/>
      <c r="X5329"/>
    </row>
    <row r="5330" spans="5:24" x14ac:dyDescent="0.3">
      <c r="E5330" s="173"/>
      <c r="F5330" s="173"/>
      <c r="I5330"/>
      <c r="J5330"/>
      <c r="K5330"/>
      <c r="L5330"/>
      <c r="M5330"/>
      <c r="N5330"/>
      <c r="O5330"/>
      <c r="P5330" s="225"/>
      <c r="Q5330" s="225"/>
      <c r="R5330"/>
      <c r="S5330"/>
      <c r="T5330"/>
      <c r="U5330"/>
      <c r="V5330"/>
      <c r="W5330"/>
      <c r="X5330"/>
    </row>
    <row r="5331" spans="5:24" x14ac:dyDescent="0.3">
      <c r="E5331" s="173"/>
      <c r="F5331" s="173"/>
      <c r="I5331"/>
      <c r="J5331"/>
      <c r="K5331"/>
      <c r="L5331"/>
      <c r="M5331"/>
      <c r="N5331"/>
      <c r="O5331"/>
      <c r="P5331" s="225"/>
      <c r="Q5331" s="225"/>
      <c r="R5331"/>
      <c r="S5331"/>
      <c r="T5331"/>
      <c r="U5331"/>
      <c r="V5331"/>
      <c r="W5331"/>
      <c r="X5331"/>
    </row>
    <row r="5332" spans="5:24" x14ac:dyDescent="0.3">
      <c r="E5332" s="173"/>
      <c r="F5332" s="173"/>
      <c r="I5332"/>
      <c r="J5332"/>
      <c r="K5332"/>
      <c r="L5332"/>
      <c r="M5332"/>
      <c r="N5332"/>
      <c r="O5332"/>
      <c r="P5332" s="225"/>
      <c r="Q5332" s="225"/>
      <c r="R5332"/>
      <c r="S5332"/>
      <c r="T5332"/>
      <c r="U5332"/>
      <c r="V5332"/>
      <c r="W5332"/>
      <c r="X5332"/>
    </row>
    <row r="5333" spans="5:24" x14ac:dyDescent="0.3">
      <c r="E5333" s="173"/>
      <c r="F5333" s="173"/>
      <c r="I5333"/>
      <c r="J5333"/>
      <c r="K5333"/>
      <c r="L5333"/>
      <c r="M5333"/>
      <c r="N5333"/>
      <c r="O5333"/>
      <c r="P5333" s="225"/>
      <c r="Q5333" s="225"/>
      <c r="R5333"/>
      <c r="S5333"/>
      <c r="T5333"/>
      <c r="U5333"/>
      <c r="V5333"/>
      <c r="W5333"/>
      <c r="X5333"/>
    </row>
    <row r="5334" spans="5:24" x14ac:dyDescent="0.3">
      <c r="E5334" s="173"/>
      <c r="F5334" s="173"/>
      <c r="I5334"/>
      <c r="J5334"/>
      <c r="K5334"/>
      <c r="L5334"/>
      <c r="M5334"/>
      <c r="N5334"/>
      <c r="O5334"/>
      <c r="P5334" s="225"/>
      <c r="Q5334" s="225"/>
      <c r="R5334"/>
      <c r="S5334"/>
      <c r="T5334"/>
      <c r="U5334"/>
      <c r="V5334"/>
      <c r="W5334"/>
      <c r="X5334"/>
    </row>
    <row r="5335" spans="5:24" x14ac:dyDescent="0.3">
      <c r="E5335" s="173"/>
      <c r="F5335" s="173"/>
      <c r="I5335"/>
      <c r="J5335"/>
      <c r="K5335"/>
      <c r="L5335"/>
      <c r="M5335"/>
      <c r="N5335"/>
      <c r="O5335"/>
      <c r="P5335" s="225"/>
      <c r="Q5335" s="225"/>
      <c r="R5335"/>
      <c r="S5335"/>
      <c r="T5335"/>
      <c r="U5335"/>
      <c r="V5335"/>
      <c r="W5335"/>
      <c r="X5335"/>
    </row>
    <row r="5336" spans="5:24" x14ac:dyDescent="0.3">
      <c r="E5336" s="173"/>
      <c r="F5336" s="173"/>
      <c r="I5336"/>
      <c r="J5336"/>
      <c r="K5336"/>
      <c r="L5336"/>
      <c r="M5336"/>
      <c r="N5336"/>
      <c r="O5336"/>
      <c r="P5336" s="225"/>
      <c r="Q5336" s="225"/>
      <c r="R5336"/>
      <c r="S5336"/>
      <c r="T5336"/>
      <c r="U5336"/>
      <c r="V5336"/>
      <c r="W5336"/>
      <c r="X5336"/>
    </row>
    <row r="5337" spans="5:24" x14ac:dyDescent="0.3">
      <c r="E5337" s="173"/>
      <c r="F5337" s="173"/>
      <c r="I5337"/>
      <c r="J5337"/>
      <c r="K5337"/>
      <c r="L5337"/>
      <c r="M5337"/>
      <c r="N5337"/>
      <c r="O5337"/>
      <c r="P5337" s="225"/>
      <c r="Q5337" s="225"/>
      <c r="R5337"/>
      <c r="S5337"/>
      <c r="T5337"/>
      <c r="U5337"/>
      <c r="V5337"/>
      <c r="W5337"/>
      <c r="X5337"/>
    </row>
    <row r="5338" spans="5:24" x14ac:dyDescent="0.3">
      <c r="E5338" s="173"/>
      <c r="F5338" s="173"/>
      <c r="I5338"/>
      <c r="J5338"/>
      <c r="K5338"/>
      <c r="L5338"/>
      <c r="M5338"/>
      <c r="N5338"/>
      <c r="O5338"/>
      <c r="P5338" s="225"/>
      <c r="Q5338" s="225"/>
      <c r="R5338"/>
      <c r="S5338"/>
      <c r="T5338"/>
      <c r="U5338"/>
      <c r="V5338"/>
      <c r="W5338"/>
      <c r="X5338"/>
    </row>
    <row r="5339" spans="5:24" x14ac:dyDescent="0.3">
      <c r="E5339" s="173"/>
      <c r="F5339" s="173"/>
      <c r="I5339"/>
      <c r="J5339"/>
      <c r="K5339"/>
      <c r="L5339"/>
      <c r="M5339"/>
      <c r="N5339"/>
      <c r="O5339"/>
      <c r="P5339" s="225"/>
      <c r="Q5339" s="225"/>
      <c r="R5339"/>
      <c r="S5339"/>
      <c r="T5339"/>
      <c r="U5339"/>
      <c r="V5339"/>
      <c r="W5339"/>
      <c r="X5339"/>
    </row>
    <row r="5340" spans="5:24" x14ac:dyDescent="0.3">
      <c r="E5340" s="173"/>
      <c r="F5340" s="173"/>
      <c r="I5340"/>
      <c r="J5340"/>
      <c r="K5340"/>
      <c r="L5340"/>
      <c r="M5340"/>
      <c r="N5340"/>
      <c r="O5340"/>
      <c r="P5340" s="225"/>
      <c r="Q5340" s="225"/>
      <c r="R5340"/>
      <c r="S5340"/>
      <c r="T5340"/>
      <c r="U5340"/>
      <c r="V5340"/>
      <c r="W5340"/>
      <c r="X5340"/>
    </row>
    <row r="5341" spans="5:24" x14ac:dyDescent="0.3">
      <c r="E5341" s="173"/>
      <c r="F5341" s="173"/>
      <c r="I5341"/>
      <c r="J5341"/>
      <c r="K5341"/>
      <c r="L5341"/>
      <c r="M5341"/>
      <c r="N5341"/>
      <c r="O5341"/>
      <c r="P5341" s="225"/>
      <c r="Q5341" s="225"/>
      <c r="R5341"/>
      <c r="S5341"/>
      <c r="T5341"/>
      <c r="U5341"/>
      <c r="V5341"/>
      <c r="W5341"/>
      <c r="X5341"/>
    </row>
    <row r="5342" spans="5:24" x14ac:dyDescent="0.3">
      <c r="E5342" s="173"/>
      <c r="F5342" s="173"/>
      <c r="I5342"/>
      <c r="J5342"/>
      <c r="K5342"/>
      <c r="L5342"/>
      <c r="M5342"/>
      <c r="N5342"/>
      <c r="O5342"/>
      <c r="P5342" s="225"/>
      <c r="Q5342" s="225"/>
      <c r="R5342"/>
      <c r="S5342"/>
      <c r="T5342"/>
      <c r="U5342"/>
      <c r="V5342"/>
      <c r="W5342"/>
      <c r="X5342"/>
    </row>
    <row r="5343" spans="5:24" x14ac:dyDescent="0.3">
      <c r="E5343" s="173"/>
      <c r="F5343" s="173"/>
      <c r="I5343"/>
      <c r="J5343"/>
      <c r="K5343"/>
      <c r="L5343"/>
      <c r="M5343"/>
      <c r="N5343"/>
      <c r="O5343"/>
      <c r="P5343" s="225"/>
      <c r="Q5343" s="225"/>
      <c r="R5343"/>
      <c r="S5343"/>
      <c r="T5343"/>
      <c r="U5343"/>
      <c r="V5343"/>
      <c r="W5343"/>
      <c r="X5343"/>
    </row>
    <row r="5344" spans="5:24" x14ac:dyDescent="0.3">
      <c r="E5344" s="173"/>
      <c r="F5344" s="173"/>
      <c r="I5344"/>
      <c r="J5344"/>
      <c r="K5344"/>
      <c r="L5344"/>
      <c r="M5344"/>
      <c r="N5344"/>
      <c r="O5344"/>
      <c r="P5344" s="225"/>
      <c r="Q5344" s="225"/>
      <c r="R5344"/>
      <c r="S5344"/>
      <c r="T5344"/>
      <c r="U5344"/>
      <c r="V5344"/>
      <c r="W5344"/>
      <c r="X5344"/>
    </row>
    <row r="5345" spans="5:24" x14ac:dyDescent="0.3">
      <c r="E5345" s="173"/>
      <c r="F5345" s="173"/>
      <c r="I5345"/>
      <c r="J5345"/>
      <c r="K5345"/>
      <c r="L5345"/>
      <c r="M5345"/>
      <c r="N5345"/>
      <c r="O5345"/>
      <c r="P5345" s="225"/>
      <c r="Q5345" s="225"/>
      <c r="R5345"/>
      <c r="S5345"/>
      <c r="T5345"/>
      <c r="U5345"/>
      <c r="V5345"/>
      <c r="W5345"/>
      <c r="X5345"/>
    </row>
    <row r="5346" spans="5:24" x14ac:dyDescent="0.3">
      <c r="E5346" s="173"/>
      <c r="F5346" s="173"/>
      <c r="I5346"/>
      <c r="J5346"/>
      <c r="K5346"/>
      <c r="L5346"/>
      <c r="M5346"/>
      <c r="N5346"/>
      <c r="O5346"/>
      <c r="P5346" s="225"/>
      <c r="Q5346" s="225"/>
      <c r="R5346"/>
      <c r="S5346"/>
      <c r="T5346"/>
      <c r="U5346"/>
      <c r="V5346"/>
      <c r="W5346"/>
      <c r="X5346"/>
    </row>
    <row r="5347" spans="5:24" x14ac:dyDescent="0.3">
      <c r="E5347" s="173"/>
      <c r="F5347" s="173"/>
      <c r="I5347"/>
      <c r="J5347"/>
      <c r="K5347"/>
      <c r="L5347"/>
      <c r="M5347"/>
      <c r="N5347"/>
      <c r="O5347"/>
      <c r="P5347" s="225"/>
      <c r="Q5347" s="225"/>
      <c r="R5347"/>
      <c r="S5347"/>
      <c r="T5347"/>
      <c r="U5347"/>
      <c r="V5347"/>
      <c r="W5347"/>
      <c r="X5347"/>
    </row>
    <row r="5348" spans="5:24" x14ac:dyDescent="0.3">
      <c r="E5348" s="173"/>
      <c r="F5348" s="173"/>
      <c r="I5348"/>
      <c r="J5348"/>
      <c r="K5348"/>
      <c r="L5348"/>
      <c r="M5348"/>
      <c r="N5348"/>
      <c r="O5348"/>
      <c r="P5348" s="225"/>
      <c r="Q5348" s="225"/>
      <c r="R5348"/>
      <c r="S5348"/>
      <c r="T5348"/>
      <c r="U5348"/>
      <c r="V5348"/>
      <c r="W5348"/>
      <c r="X5348"/>
    </row>
    <row r="5349" spans="5:24" x14ac:dyDescent="0.3">
      <c r="E5349" s="173"/>
      <c r="F5349" s="173"/>
      <c r="I5349"/>
      <c r="J5349"/>
      <c r="K5349"/>
      <c r="L5349"/>
      <c r="M5349"/>
      <c r="N5349"/>
      <c r="O5349"/>
      <c r="P5349" s="225"/>
      <c r="Q5349" s="225"/>
      <c r="R5349"/>
      <c r="S5349"/>
      <c r="T5349"/>
      <c r="U5349"/>
      <c r="V5349"/>
      <c r="W5349"/>
      <c r="X5349"/>
    </row>
    <row r="5350" spans="5:24" x14ac:dyDescent="0.3">
      <c r="E5350" s="173"/>
      <c r="F5350" s="173"/>
      <c r="I5350"/>
      <c r="J5350"/>
      <c r="K5350"/>
      <c r="L5350"/>
      <c r="M5350"/>
      <c r="N5350"/>
      <c r="O5350"/>
      <c r="P5350" s="225"/>
      <c r="Q5350" s="225"/>
      <c r="R5350"/>
      <c r="S5350"/>
      <c r="T5350"/>
      <c r="U5350"/>
      <c r="V5350"/>
      <c r="W5350"/>
      <c r="X5350"/>
    </row>
    <row r="5351" spans="5:24" x14ac:dyDescent="0.3">
      <c r="E5351" s="173"/>
      <c r="F5351" s="173"/>
      <c r="I5351"/>
      <c r="J5351"/>
      <c r="K5351"/>
      <c r="L5351"/>
      <c r="M5351"/>
      <c r="N5351"/>
      <c r="O5351"/>
      <c r="P5351" s="225"/>
      <c r="Q5351" s="225"/>
      <c r="R5351"/>
      <c r="S5351"/>
      <c r="T5351"/>
      <c r="U5351"/>
      <c r="V5351"/>
      <c r="W5351"/>
      <c r="X5351"/>
    </row>
    <row r="5352" spans="5:24" x14ac:dyDescent="0.3">
      <c r="E5352" s="173"/>
      <c r="F5352" s="173"/>
      <c r="I5352"/>
      <c r="J5352"/>
      <c r="K5352"/>
      <c r="L5352"/>
      <c r="M5352"/>
      <c r="N5352"/>
      <c r="O5352"/>
      <c r="P5352" s="225"/>
      <c r="Q5352" s="225"/>
      <c r="R5352"/>
      <c r="S5352"/>
      <c r="T5352"/>
      <c r="U5352"/>
      <c r="V5352"/>
      <c r="W5352"/>
      <c r="X5352"/>
    </row>
    <row r="5353" spans="5:24" x14ac:dyDescent="0.3">
      <c r="E5353" s="173"/>
      <c r="F5353" s="173"/>
      <c r="I5353"/>
      <c r="J5353"/>
      <c r="K5353"/>
      <c r="L5353"/>
      <c r="M5353"/>
      <c r="N5353"/>
      <c r="O5353"/>
      <c r="P5353" s="225"/>
      <c r="Q5353" s="225"/>
      <c r="R5353"/>
      <c r="S5353"/>
      <c r="T5353"/>
      <c r="U5353"/>
      <c r="V5353"/>
      <c r="W5353"/>
      <c r="X5353"/>
    </row>
    <row r="5354" spans="5:24" x14ac:dyDescent="0.3">
      <c r="E5354" s="173"/>
      <c r="F5354" s="173"/>
      <c r="I5354"/>
      <c r="J5354"/>
      <c r="K5354"/>
      <c r="L5354"/>
      <c r="M5354"/>
      <c r="N5354"/>
      <c r="O5354"/>
      <c r="P5354" s="225"/>
      <c r="Q5354" s="225"/>
      <c r="R5354"/>
      <c r="S5354"/>
      <c r="T5354"/>
      <c r="U5354"/>
      <c r="V5354"/>
      <c r="W5354"/>
      <c r="X5354"/>
    </row>
    <row r="5355" spans="5:24" x14ac:dyDescent="0.3">
      <c r="E5355" s="173"/>
      <c r="F5355" s="173"/>
      <c r="I5355"/>
      <c r="J5355"/>
      <c r="K5355"/>
      <c r="L5355"/>
      <c r="M5355"/>
      <c r="N5355"/>
      <c r="O5355"/>
      <c r="P5355" s="225"/>
      <c r="Q5355" s="225"/>
      <c r="R5355"/>
      <c r="S5355"/>
      <c r="T5355"/>
      <c r="U5355"/>
      <c r="V5355"/>
      <c r="W5355"/>
      <c r="X5355"/>
    </row>
    <row r="5356" spans="5:24" x14ac:dyDescent="0.3">
      <c r="E5356" s="173"/>
      <c r="F5356" s="173"/>
      <c r="I5356"/>
      <c r="J5356"/>
      <c r="K5356"/>
      <c r="L5356"/>
      <c r="M5356"/>
      <c r="N5356"/>
      <c r="O5356"/>
      <c r="P5356" s="225"/>
      <c r="Q5356" s="225"/>
      <c r="R5356"/>
      <c r="S5356"/>
      <c r="T5356"/>
      <c r="U5356"/>
      <c r="V5356"/>
      <c r="W5356"/>
      <c r="X5356"/>
    </row>
    <row r="5357" spans="5:24" x14ac:dyDescent="0.3">
      <c r="E5357" s="173"/>
      <c r="F5357" s="173"/>
      <c r="I5357"/>
      <c r="J5357"/>
      <c r="K5357"/>
      <c r="L5357"/>
      <c r="M5357"/>
      <c r="N5357"/>
      <c r="O5357"/>
      <c r="P5357" s="225"/>
      <c r="Q5357" s="225"/>
      <c r="R5357"/>
      <c r="S5357"/>
      <c r="T5357"/>
      <c r="U5357"/>
      <c r="V5357"/>
      <c r="W5357"/>
      <c r="X5357"/>
    </row>
    <row r="5358" spans="5:24" x14ac:dyDescent="0.3">
      <c r="E5358" s="173"/>
      <c r="F5358" s="173"/>
      <c r="I5358"/>
      <c r="J5358"/>
      <c r="K5358"/>
      <c r="L5358"/>
      <c r="M5358"/>
      <c r="N5358"/>
      <c r="O5358"/>
      <c r="P5358" s="225"/>
      <c r="Q5358" s="225"/>
      <c r="R5358"/>
      <c r="S5358"/>
      <c r="T5358"/>
      <c r="U5358"/>
      <c r="V5358"/>
      <c r="W5358"/>
      <c r="X5358"/>
    </row>
    <row r="5359" spans="5:24" x14ac:dyDescent="0.3">
      <c r="E5359" s="173"/>
      <c r="F5359" s="173"/>
      <c r="I5359"/>
      <c r="J5359"/>
      <c r="K5359"/>
      <c r="L5359"/>
      <c r="M5359"/>
      <c r="N5359"/>
      <c r="O5359"/>
      <c r="P5359" s="225"/>
      <c r="Q5359" s="225"/>
      <c r="R5359"/>
      <c r="S5359"/>
      <c r="T5359"/>
      <c r="U5359"/>
      <c r="V5359"/>
      <c r="W5359"/>
      <c r="X5359"/>
    </row>
    <row r="5360" spans="5:24" x14ac:dyDescent="0.3">
      <c r="E5360" s="173"/>
      <c r="F5360" s="173"/>
      <c r="I5360"/>
      <c r="J5360"/>
      <c r="K5360"/>
      <c r="L5360"/>
      <c r="M5360"/>
      <c r="N5360"/>
      <c r="O5360"/>
      <c r="P5360" s="225"/>
      <c r="Q5360" s="225"/>
      <c r="R5360"/>
      <c r="S5360"/>
      <c r="T5360"/>
      <c r="U5360"/>
      <c r="V5360"/>
      <c r="W5360"/>
      <c r="X5360"/>
    </row>
    <row r="5361" spans="5:24" x14ac:dyDescent="0.3">
      <c r="E5361" s="173"/>
      <c r="F5361" s="173"/>
      <c r="I5361"/>
      <c r="J5361"/>
      <c r="K5361"/>
      <c r="L5361"/>
      <c r="M5361"/>
      <c r="N5361"/>
      <c r="O5361"/>
      <c r="P5361" s="225"/>
      <c r="Q5361" s="225"/>
      <c r="R5361"/>
      <c r="S5361"/>
      <c r="T5361"/>
      <c r="U5361"/>
      <c r="V5361"/>
      <c r="W5361"/>
      <c r="X5361"/>
    </row>
    <row r="5362" spans="5:24" x14ac:dyDescent="0.3">
      <c r="E5362" s="173"/>
      <c r="F5362" s="173"/>
      <c r="I5362"/>
      <c r="J5362"/>
      <c r="K5362"/>
      <c r="L5362"/>
      <c r="M5362"/>
      <c r="N5362"/>
      <c r="O5362"/>
      <c r="P5362" s="225"/>
      <c r="Q5362" s="225"/>
      <c r="R5362"/>
      <c r="S5362"/>
      <c r="T5362"/>
      <c r="U5362"/>
      <c r="V5362"/>
      <c r="W5362"/>
      <c r="X5362"/>
    </row>
    <row r="5363" spans="5:24" x14ac:dyDescent="0.3">
      <c r="E5363" s="173"/>
      <c r="F5363" s="173"/>
      <c r="I5363"/>
      <c r="J5363"/>
      <c r="K5363"/>
      <c r="L5363"/>
      <c r="M5363"/>
      <c r="N5363"/>
      <c r="O5363"/>
      <c r="P5363" s="225"/>
      <c r="Q5363" s="225"/>
      <c r="R5363"/>
      <c r="S5363"/>
      <c r="T5363"/>
      <c r="U5363"/>
      <c r="V5363"/>
      <c r="W5363"/>
      <c r="X5363"/>
    </row>
    <row r="5364" spans="5:24" x14ac:dyDescent="0.3">
      <c r="E5364" s="173"/>
      <c r="F5364" s="173"/>
      <c r="I5364"/>
      <c r="J5364"/>
      <c r="K5364"/>
      <c r="L5364"/>
      <c r="M5364"/>
      <c r="N5364"/>
      <c r="O5364"/>
      <c r="P5364" s="225"/>
      <c r="Q5364" s="225"/>
      <c r="R5364"/>
      <c r="S5364"/>
      <c r="T5364"/>
      <c r="U5364"/>
      <c r="V5364"/>
      <c r="W5364"/>
      <c r="X5364"/>
    </row>
    <row r="5365" spans="5:24" x14ac:dyDescent="0.3">
      <c r="E5365" s="173"/>
      <c r="F5365" s="173"/>
      <c r="I5365"/>
      <c r="J5365"/>
      <c r="K5365"/>
      <c r="L5365"/>
      <c r="M5365"/>
      <c r="N5365"/>
      <c r="O5365"/>
      <c r="P5365" s="225"/>
      <c r="Q5365" s="225"/>
      <c r="R5365"/>
      <c r="S5365"/>
      <c r="T5365"/>
      <c r="U5365"/>
      <c r="V5365"/>
      <c r="W5365"/>
      <c r="X5365"/>
    </row>
    <row r="5366" spans="5:24" x14ac:dyDescent="0.3">
      <c r="E5366" s="173"/>
      <c r="F5366" s="173"/>
      <c r="I5366"/>
      <c r="J5366"/>
      <c r="K5366"/>
      <c r="L5366"/>
      <c r="M5366"/>
      <c r="N5366"/>
      <c r="O5366"/>
      <c r="P5366" s="225"/>
      <c r="Q5366" s="225"/>
      <c r="R5366"/>
      <c r="S5366"/>
      <c r="T5366"/>
      <c r="U5366"/>
      <c r="V5366"/>
      <c r="W5366"/>
      <c r="X5366"/>
    </row>
    <row r="5367" spans="5:24" x14ac:dyDescent="0.3">
      <c r="E5367" s="173"/>
      <c r="F5367" s="173"/>
      <c r="I5367"/>
      <c r="J5367"/>
      <c r="K5367"/>
      <c r="L5367"/>
      <c r="M5367"/>
      <c r="N5367"/>
      <c r="O5367"/>
      <c r="P5367" s="225"/>
      <c r="Q5367" s="225"/>
      <c r="R5367"/>
      <c r="S5367"/>
      <c r="T5367"/>
      <c r="U5367"/>
      <c r="V5367"/>
      <c r="W5367"/>
      <c r="X5367"/>
    </row>
    <row r="5368" spans="5:24" x14ac:dyDescent="0.3">
      <c r="E5368" s="173"/>
      <c r="F5368" s="173"/>
      <c r="I5368"/>
      <c r="J5368"/>
      <c r="K5368"/>
      <c r="L5368"/>
      <c r="M5368"/>
      <c r="N5368"/>
      <c r="O5368"/>
      <c r="P5368" s="225"/>
      <c r="Q5368" s="225"/>
      <c r="R5368"/>
      <c r="S5368"/>
      <c r="T5368"/>
      <c r="U5368"/>
      <c r="V5368"/>
      <c r="W5368"/>
      <c r="X5368"/>
    </row>
    <row r="5369" spans="5:24" x14ac:dyDescent="0.3">
      <c r="E5369" s="173"/>
      <c r="F5369" s="173"/>
      <c r="I5369"/>
      <c r="J5369"/>
      <c r="K5369"/>
      <c r="L5369"/>
      <c r="M5369"/>
      <c r="N5369"/>
      <c r="O5369"/>
      <c r="P5369" s="225"/>
      <c r="Q5369" s="225"/>
      <c r="R5369"/>
      <c r="S5369"/>
      <c r="T5369"/>
      <c r="U5369"/>
      <c r="V5369"/>
      <c r="W5369"/>
      <c r="X5369"/>
    </row>
    <row r="5370" spans="5:24" x14ac:dyDescent="0.3">
      <c r="E5370" s="173"/>
      <c r="F5370" s="173"/>
      <c r="I5370"/>
      <c r="J5370"/>
      <c r="K5370"/>
      <c r="L5370"/>
      <c r="M5370"/>
      <c r="N5370"/>
      <c r="O5370"/>
      <c r="P5370" s="225"/>
      <c r="Q5370" s="225"/>
      <c r="R5370"/>
      <c r="S5370"/>
      <c r="T5370"/>
      <c r="U5370"/>
      <c r="V5370"/>
      <c r="W5370"/>
      <c r="X5370"/>
    </row>
    <row r="5371" spans="5:24" x14ac:dyDescent="0.3">
      <c r="E5371" s="173"/>
      <c r="F5371" s="173"/>
      <c r="I5371"/>
      <c r="J5371"/>
      <c r="K5371"/>
      <c r="L5371"/>
      <c r="M5371"/>
      <c r="N5371"/>
      <c r="O5371"/>
      <c r="P5371" s="225"/>
      <c r="Q5371" s="225"/>
      <c r="R5371"/>
      <c r="S5371"/>
      <c r="T5371"/>
      <c r="U5371"/>
      <c r="V5371"/>
      <c r="W5371"/>
      <c r="X5371"/>
    </row>
    <row r="5372" spans="5:24" x14ac:dyDescent="0.3">
      <c r="E5372" s="173"/>
      <c r="F5372" s="173"/>
      <c r="I5372"/>
      <c r="J5372"/>
      <c r="K5372"/>
      <c r="L5372"/>
      <c r="M5372"/>
      <c r="N5372"/>
      <c r="O5372"/>
      <c r="P5372" s="225"/>
      <c r="Q5372" s="225"/>
      <c r="R5372"/>
      <c r="S5372"/>
      <c r="T5372"/>
      <c r="U5372"/>
      <c r="V5372"/>
      <c r="W5372"/>
      <c r="X5372"/>
    </row>
    <row r="5373" spans="5:24" x14ac:dyDescent="0.3">
      <c r="E5373" s="173"/>
      <c r="F5373" s="173"/>
      <c r="I5373"/>
      <c r="J5373"/>
      <c r="K5373"/>
      <c r="L5373"/>
      <c r="M5373"/>
      <c r="N5373"/>
      <c r="O5373"/>
      <c r="P5373" s="225"/>
      <c r="Q5373" s="225"/>
      <c r="R5373"/>
      <c r="S5373"/>
      <c r="T5373"/>
      <c r="U5373"/>
      <c r="V5373"/>
      <c r="W5373"/>
      <c r="X5373"/>
    </row>
    <row r="5374" spans="5:24" x14ac:dyDescent="0.3">
      <c r="E5374" s="173"/>
      <c r="F5374" s="173"/>
      <c r="I5374"/>
      <c r="J5374"/>
      <c r="K5374"/>
      <c r="L5374"/>
      <c r="M5374"/>
      <c r="N5374"/>
      <c r="O5374"/>
      <c r="P5374" s="225"/>
      <c r="Q5374" s="225"/>
      <c r="R5374"/>
      <c r="S5374"/>
      <c r="T5374"/>
      <c r="U5374"/>
      <c r="V5374"/>
      <c r="W5374"/>
      <c r="X5374"/>
    </row>
    <row r="5375" spans="5:24" x14ac:dyDescent="0.3">
      <c r="E5375" s="173"/>
      <c r="F5375" s="173"/>
      <c r="I5375"/>
      <c r="J5375"/>
      <c r="K5375"/>
      <c r="L5375"/>
      <c r="M5375"/>
      <c r="N5375"/>
      <c r="O5375"/>
      <c r="P5375" s="225"/>
      <c r="Q5375" s="225"/>
      <c r="R5375"/>
      <c r="S5375"/>
      <c r="T5375"/>
      <c r="U5375"/>
      <c r="V5375"/>
      <c r="W5375"/>
      <c r="X5375"/>
    </row>
    <row r="5376" spans="5:24" x14ac:dyDescent="0.3">
      <c r="E5376" s="173"/>
      <c r="F5376" s="173"/>
      <c r="I5376"/>
      <c r="J5376"/>
      <c r="K5376"/>
      <c r="L5376"/>
      <c r="M5376"/>
      <c r="N5376"/>
      <c r="O5376"/>
      <c r="P5376" s="225"/>
      <c r="Q5376" s="225"/>
      <c r="R5376"/>
      <c r="S5376"/>
      <c r="T5376"/>
      <c r="U5376"/>
      <c r="V5376"/>
      <c r="W5376"/>
      <c r="X5376"/>
    </row>
    <row r="5377" spans="5:24" x14ac:dyDescent="0.3">
      <c r="E5377" s="173"/>
      <c r="F5377" s="173"/>
      <c r="I5377"/>
      <c r="J5377"/>
      <c r="K5377"/>
      <c r="L5377"/>
      <c r="M5377"/>
      <c r="N5377"/>
      <c r="O5377"/>
      <c r="P5377" s="225"/>
      <c r="Q5377" s="225"/>
      <c r="R5377"/>
      <c r="S5377"/>
      <c r="T5377"/>
      <c r="U5377"/>
      <c r="V5377"/>
      <c r="W5377"/>
      <c r="X5377"/>
    </row>
    <row r="5378" spans="5:24" x14ac:dyDescent="0.3">
      <c r="E5378" s="173"/>
      <c r="F5378" s="173"/>
      <c r="I5378"/>
      <c r="J5378"/>
      <c r="K5378"/>
      <c r="L5378"/>
      <c r="M5378"/>
      <c r="N5378"/>
      <c r="O5378"/>
      <c r="P5378" s="225"/>
      <c r="Q5378" s="225"/>
      <c r="R5378"/>
      <c r="S5378"/>
      <c r="T5378"/>
      <c r="U5378"/>
      <c r="V5378"/>
      <c r="W5378"/>
      <c r="X5378"/>
    </row>
    <row r="5379" spans="5:24" x14ac:dyDescent="0.3">
      <c r="E5379" s="173"/>
      <c r="F5379" s="173"/>
      <c r="I5379"/>
      <c r="J5379"/>
      <c r="K5379"/>
      <c r="L5379"/>
      <c r="M5379"/>
      <c r="N5379"/>
      <c r="O5379"/>
      <c r="P5379" s="225"/>
      <c r="Q5379" s="225"/>
      <c r="R5379"/>
      <c r="S5379"/>
      <c r="T5379"/>
      <c r="U5379"/>
      <c r="V5379"/>
      <c r="W5379"/>
      <c r="X5379"/>
    </row>
    <row r="5380" spans="5:24" x14ac:dyDescent="0.3">
      <c r="E5380" s="173"/>
      <c r="F5380" s="173"/>
      <c r="I5380"/>
      <c r="J5380"/>
      <c r="K5380"/>
      <c r="L5380"/>
      <c r="M5380"/>
      <c r="N5380"/>
      <c r="O5380"/>
      <c r="P5380" s="225"/>
      <c r="Q5380" s="225"/>
      <c r="R5380"/>
      <c r="S5380"/>
      <c r="T5380"/>
      <c r="U5380"/>
      <c r="V5380"/>
      <c r="W5380"/>
      <c r="X5380"/>
    </row>
    <row r="5381" spans="5:24" x14ac:dyDescent="0.3">
      <c r="E5381" s="173"/>
      <c r="F5381" s="173"/>
      <c r="I5381"/>
      <c r="J5381"/>
      <c r="K5381"/>
      <c r="L5381"/>
      <c r="M5381"/>
      <c r="N5381"/>
      <c r="O5381"/>
      <c r="P5381" s="225"/>
      <c r="Q5381" s="225"/>
      <c r="R5381"/>
      <c r="S5381"/>
      <c r="T5381"/>
      <c r="U5381"/>
      <c r="V5381"/>
      <c r="W5381"/>
      <c r="X5381"/>
    </row>
    <row r="5382" spans="5:24" x14ac:dyDescent="0.3">
      <c r="E5382" s="173"/>
      <c r="F5382" s="173"/>
      <c r="I5382"/>
      <c r="J5382"/>
      <c r="K5382"/>
      <c r="L5382"/>
      <c r="M5382"/>
      <c r="N5382"/>
      <c r="O5382"/>
      <c r="P5382" s="225"/>
      <c r="Q5382" s="225"/>
      <c r="R5382"/>
      <c r="S5382"/>
      <c r="T5382"/>
      <c r="U5382"/>
      <c r="V5382"/>
      <c r="W5382"/>
      <c r="X5382"/>
    </row>
    <row r="5383" spans="5:24" x14ac:dyDescent="0.3">
      <c r="E5383" s="173"/>
      <c r="F5383" s="173"/>
      <c r="I5383"/>
      <c r="J5383"/>
      <c r="K5383"/>
      <c r="L5383"/>
      <c r="M5383"/>
      <c r="N5383"/>
      <c r="O5383"/>
      <c r="P5383" s="225"/>
      <c r="Q5383" s="225"/>
      <c r="R5383"/>
      <c r="S5383"/>
      <c r="T5383"/>
      <c r="U5383"/>
      <c r="V5383"/>
      <c r="W5383"/>
      <c r="X5383"/>
    </row>
    <row r="5384" spans="5:24" x14ac:dyDescent="0.3">
      <c r="E5384" s="173"/>
      <c r="F5384" s="173"/>
      <c r="I5384"/>
      <c r="J5384"/>
      <c r="K5384"/>
      <c r="L5384"/>
      <c r="M5384"/>
      <c r="N5384"/>
      <c r="O5384"/>
      <c r="P5384" s="225"/>
      <c r="Q5384" s="225"/>
      <c r="R5384"/>
      <c r="S5384"/>
      <c r="T5384"/>
      <c r="U5384"/>
      <c r="V5384"/>
      <c r="W5384"/>
      <c r="X5384"/>
    </row>
    <row r="5385" spans="5:24" x14ac:dyDescent="0.3">
      <c r="E5385" s="173"/>
      <c r="F5385" s="173"/>
      <c r="I5385"/>
      <c r="J5385"/>
      <c r="K5385"/>
      <c r="L5385"/>
      <c r="M5385"/>
      <c r="N5385"/>
      <c r="O5385"/>
      <c r="P5385" s="225"/>
      <c r="Q5385" s="225"/>
      <c r="R5385"/>
      <c r="S5385"/>
      <c r="T5385"/>
      <c r="U5385"/>
      <c r="V5385"/>
      <c r="W5385"/>
      <c r="X5385"/>
    </row>
    <row r="5386" spans="5:24" x14ac:dyDescent="0.3">
      <c r="E5386" s="173"/>
      <c r="F5386" s="173"/>
      <c r="I5386"/>
      <c r="J5386"/>
      <c r="K5386"/>
      <c r="L5386"/>
      <c r="M5386"/>
      <c r="N5386"/>
      <c r="O5386"/>
      <c r="P5386" s="225"/>
      <c r="Q5386" s="225"/>
      <c r="R5386"/>
      <c r="S5386"/>
      <c r="T5386"/>
      <c r="U5386"/>
      <c r="V5386"/>
      <c r="W5386"/>
      <c r="X5386"/>
    </row>
    <row r="5387" spans="5:24" x14ac:dyDescent="0.3">
      <c r="E5387" s="173"/>
      <c r="F5387" s="173"/>
      <c r="I5387"/>
      <c r="J5387"/>
      <c r="K5387"/>
      <c r="L5387"/>
      <c r="M5387"/>
      <c r="N5387"/>
      <c r="O5387"/>
      <c r="P5387" s="225"/>
      <c r="Q5387" s="225"/>
      <c r="R5387"/>
      <c r="S5387"/>
      <c r="T5387"/>
      <c r="U5387"/>
      <c r="V5387"/>
      <c r="W5387"/>
      <c r="X5387"/>
    </row>
    <row r="5388" spans="5:24" x14ac:dyDescent="0.3">
      <c r="E5388" s="173"/>
      <c r="F5388" s="173"/>
      <c r="I5388"/>
      <c r="J5388"/>
      <c r="K5388"/>
      <c r="L5388"/>
      <c r="M5388"/>
      <c r="N5388"/>
      <c r="O5388"/>
      <c r="P5388" s="225"/>
      <c r="Q5388" s="225"/>
      <c r="R5388"/>
      <c r="S5388"/>
      <c r="T5388"/>
      <c r="U5388"/>
      <c r="V5388"/>
      <c r="W5388"/>
      <c r="X5388"/>
    </row>
    <row r="5389" spans="5:24" x14ac:dyDescent="0.3">
      <c r="E5389" s="173"/>
      <c r="F5389" s="173"/>
      <c r="I5389"/>
      <c r="J5389"/>
      <c r="K5389"/>
      <c r="L5389"/>
      <c r="M5389"/>
      <c r="N5389"/>
      <c r="O5389"/>
      <c r="P5389" s="225"/>
      <c r="Q5389" s="225"/>
      <c r="R5389"/>
      <c r="S5389"/>
      <c r="T5389"/>
      <c r="U5389"/>
      <c r="V5389"/>
      <c r="W5389"/>
      <c r="X5389"/>
    </row>
    <row r="5390" spans="5:24" x14ac:dyDescent="0.3">
      <c r="E5390" s="173"/>
      <c r="F5390" s="173"/>
      <c r="I5390"/>
      <c r="J5390"/>
      <c r="K5390"/>
      <c r="L5390"/>
      <c r="M5390"/>
      <c r="N5390"/>
      <c r="O5390"/>
      <c r="P5390" s="225"/>
      <c r="Q5390" s="225"/>
      <c r="R5390"/>
      <c r="S5390"/>
      <c r="T5390"/>
      <c r="U5390"/>
      <c r="V5390"/>
      <c r="W5390"/>
      <c r="X5390"/>
    </row>
    <row r="5391" spans="5:24" x14ac:dyDescent="0.3">
      <c r="E5391" s="173"/>
      <c r="F5391" s="173"/>
      <c r="I5391"/>
      <c r="J5391"/>
      <c r="K5391"/>
      <c r="L5391"/>
      <c r="M5391"/>
      <c r="N5391"/>
      <c r="O5391"/>
      <c r="P5391" s="225"/>
      <c r="Q5391" s="225"/>
      <c r="R5391"/>
      <c r="S5391"/>
      <c r="T5391"/>
      <c r="U5391"/>
      <c r="V5391"/>
      <c r="W5391"/>
      <c r="X5391"/>
    </row>
    <row r="5392" spans="5:24" x14ac:dyDescent="0.3">
      <c r="E5392" s="173"/>
      <c r="F5392" s="173"/>
      <c r="I5392"/>
      <c r="J5392"/>
      <c r="K5392"/>
      <c r="L5392"/>
      <c r="M5392"/>
      <c r="N5392"/>
      <c r="O5392"/>
      <c r="P5392" s="225"/>
      <c r="Q5392" s="225"/>
      <c r="R5392"/>
      <c r="S5392"/>
      <c r="T5392"/>
      <c r="U5392"/>
      <c r="V5392"/>
      <c r="W5392"/>
      <c r="X5392"/>
    </row>
    <row r="5393" spans="5:24" x14ac:dyDescent="0.3">
      <c r="E5393" s="173"/>
      <c r="F5393" s="173"/>
      <c r="I5393"/>
      <c r="J5393"/>
      <c r="K5393"/>
      <c r="L5393"/>
      <c r="M5393"/>
      <c r="N5393"/>
      <c r="O5393"/>
      <c r="P5393" s="225"/>
      <c r="Q5393" s="225"/>
      <c r="R5393"/>
      <c r="S5393"/>
      <c r="T5393"/>
      <c r="U5393"/>
      <c r="V5393"/>
      <c r="W5393"/>
      <c r="X5393"/>
    </row>
    <row r="5394" spans="5:24" x14ac:dyDescent="0.3">
      <c r="E5394" s="173"/>
      <c r="F5394" s="173"/>
      <c r="I5394"/>
      <c r="J5394"/>
      <c r="K5394"/>
      <c r="L5394"/>
      <c r="M5394"/>
      <c r="N5394"/>
      <c r="O5394"/>
      <c r="P5394" s="225"/>
      <c r="Q5394" s="225"/>
      <c r="R5394"/>
      <c r="S5394"/>
      <c r="T5394"/>
      <c r="U5394"/>
      <c r="V5394"/>
      <c r="W5394"/>
      <c r="X5394"/>
    </row>
    <row r="5395" spans="5:24" x14ac:dyDescent="0.3">
      <c r="E5395" s="173"/>
      <c r="F5395" s="173"/>
      <c r="I5395"/>
      <c r="J5395"/>
      <c r="K5395"/>
      <c r="L5395"/>
      <c r="M5395"/>
      <c r="N5395"/>
      <c r="O5395"/>
      <c r="P5395" s="225"/>
      <c r="Q5395" s="225"/>
      <c r="R5395"/>
      <c r="S5395"/>
      <c r="T5395"/>
      <c r="U5395"/>
      <c r="V5395"/>
      <c r="W5395"/>
      <c r="X5395"/>
    </row>
    <row r="5396" spans="5:24" x14ac:dyDescent="0.3">
      <c r="E5396" s="173"/>
      <c r="F5396" s="173"/>
      <c r="I5396"/>
      <c r="J5396"/>
      <c r="K5396"/>
      <c r="L5396"/>
      <c r="M5396"/>
      <c r="N5396"/>
      <c r="O5396"/>
      <c r="P5396" s="225"/>
      <c r="Q5396" s="225"/>
      <c r="R5396"/>
      <c r="S5396"/>
      <c r="T5396"/>
      <c r="U5396"/>
      <c r="V5396"/>
      <c r="W5396"/>
      <c r="X5396"/>
    </row>
    <row r="5397" spans="5:24" x14ac:dyDescent="0.3">
      <c r="E5397" s="173"/>
      <c r="F5397" s="173"/>
      <c r="I5397"/>
      <c r="J5397"/>
      <c r="K5397"/>
      <c r="L5397"/>
      <c r="M5397"/>
      <c r="N5397"/>
      <c r="O5397"/>
      <c r="P5397" s="225"/>
      <c r="Q5397" s="225"/>
      <c r="R5397"/>
      <c r="S5397"/>
      <c r="T5397"/>
      <c r="U5397"/>
      <c r="V5397"/>
      <c r="W5397"/>
      <c r="X5397"/>
    </row>
    <row r="5398" spans="5:24" x14ac:dyDescent="0.3">
      <c r="E5398" s="173"/>
      <c r="F5398" s="173"/>
      <c r="I5398"/>
      <c r="J5398"/>
      <c r="K5398"/>
      <c r="L5398"/>
      <c r="M5398"/>
      <c r="N5398"/>
      <c r="O5398"/>
      <c r="P5398" s="225"/>
      <c r="Q5398" s="225"/>
      <c r="R5398"/>
      <c r="S5398"/>
      <c r="T5398"/>
      <c r="U5398"/>
      <c r="V5398"/>
      <c r="W5398"/>
      <c r="X5398"/>
    </row>
    <row r="5399" spans="5:24" x14ac:dyDescent="0.3">
      <c r="E5399" s="173"/>
      <c r="F5399" s="173"/>
      <c r="I5399"/>
      <c r="J5399"/>
      <c r="K5399"/>
      <c r="L5399"/>
      <c r="M5399"/>
      <c r="N5399"/>
      <c r="O5399"/>
      <c r="P5399" s="225"/>
      <c r="Q5399" s="225"/>
      <c r="R5399"/>
      <c r="S5399"/>
      <c r="T5399"/>
      <c r="U5399"/>
      <c r="V5399"/>
      <c r="W5399"/>
      <c r="X5399"/>
    </row>
    <row r="5400" spans="5:24" x14ac:dyDescent="0.3">
      <c r="E5400" s="173"/>
      <c r="F5400" s="173"/>
      <c r="I5400"/>
      <c r="J5400"/>
      <c r="K5400"/>
      <c r="L5400"/>
      <c r="M5400"/>
      <c r="N5400"/>
      <c r="O5400"/>
      <c r="P5400" s="225"/>
      <c r="Q5400" s="225"/>
      <c r="R5400"/>
      <c r="S5400"/>
      <c r="T5400"/>
      <c r="U5400"/>
      <c r="V5400"/>
      <c r="W5400"/>
      <c r="X5400"/>
    </row>
    <row r="5401" spans="5:24" x14ac:dyDescent="0.3">
      <c r="E5401" s="173"/>
      <c r="F5401" s="173"/>
      <c r="I5401"/>
      <c r="J5401"/>
      <c r="K5401"/>
      <c r="L5401"/>
      <c r="M5401"/>
      <c r="N5401"/>
      <c r="O5401"/>
      <c r="P5401" s="225"/>
      <c r="Q5401" s="225"/>
      <c r="R5401"/>
      <c r="S5401"/>
      <c r="T5401"/>
      <c r="U5401"/>
      <c r="V5401"/>
      <c r="W5401"/>
      <c r="X5401"/>
    </row>
    <row r="5402" spans="5:24" x14ac:dyDescent="0.3">
      <c r="E5402" s="173"/>
      <c r="F5402" s="173"/>
      <c r="I5402"/>
      <c r="J5402"/>
      <c r="K5402"/>
      <c r="L5402"/>
      <c r="M5402"/>
      <c r="N5402"/>
      <c r="O5402"/>
      <c r="P5402" s="225"/>
      <c r="Q5402" s="225"/>
      <c r="R5402"/>
      <c r="S5402"/>
      <c r="T5402"/>
      <c r="U5402"/>
      <c r="V5402"/>
      <c r="W5402"/>
      <c r="X5402"/>
    </row>
    <row r="5403" spans="5:24" x14ac:dyDescent="0.3">
      <c r="E5403" s="173"/>
      <c r="F5403" s="173"/>
      <c r="I5403"/>
      <c r="J5403"/>
      <c r="K5403"/>
      <c r="L5403"/>
      <c r="M5403"/>
      <c r="N5403"/>
      <c r="O5403"/>
      <c r="P5403" s="225"/>
      <c r="Q5403" s="225"/>
      <c r="R5403"/>
      <c r="S5403"/>
      <c r="T5403"/>
      <c r="U5403"/>
      <c r="V5403"/>
      <c r="W5403"/>
      <c r="X5403"/>
    </row>
    <row r="5404" spans="5:24" x14ac:dyDescent="0.3">
      <c r="E5404" s="173"/>
      <c r="F5404" s="173"/>
      <c r="I5404"/>
      <c r="J5404"/>
      <c r="K5404"/>
      <c r="L5404"/>
      <c r="M5404"/>
      <c r="N5404"/>
      <c r="O5404"/>
      <c r="P5404" s="225"/>
      <c r="Q5404" s="225"/>
      <c r="R5404"/>
      <c r="S5404"/>
      <c r="T5404"/>
      <c r="U5404"/>
      <c r="V5404"/>
      <c r="W5404"/>
      <c r="X5404"/>
    </row>
    <row r="5405" spans="5:24" x14ac:dyDescent="0.3">
      <c r="E5405" s="173"/>
      <c r="F5405" s="173"/>
      <c r="I5405"/>
      <c r="J5405"/>
      <c r="K5405"/>
      <c r="L5405"/>
      <c r="M5405"/>
      <c r="N5405"/>
      <c r="O5405"/>
      <c r="P5405" s="225"/>
      <c r="Q5405" s="225"/>
      <c r="R5405"/>
      <c r="S5405"/>
      <c r="T5405"/>
      <c r="U5405"/>
      <c r="V5405"/>
      <c r="W5405"/>
      <c r="X5405"/>
    </row>
    <row r="5406" spans="5:24" x14ac:dyDescent="0.3">
      <c r="E5406" s="173"/>
      <c r="F5406" s="173"/>
      <c r="I5406"/>
      <c r="J5406"/>
      <c r="K5406"/>
      <c r="L5406"/>
      <c r="M5406"/>
      <c r="N5406"/>
      <c r="O5406"/>
      <c r="P5406" s="225"/>
      <c r="Q5406" s="225"/>
      <c r="R5406"/>
      <c r="S5406"/>
      <c r="T5406"/>
      <c r="U5406"/>
      <c r="V5406"/>
      <c r="W5406"/>
      <c r="X5406"/>
    </row>
    <row r="5407" spans="5:24" x14ac:dyDescent="0.3">
      <c r="E5407" s="173"/>
      <c r="F5407" s="173"/>
      <c r="I5407"/>
      <c r="J5407"/>
      <c r="K5407"/>
      <c r="L5407"/>
      <c r="M5407"/>
      <c r="N5407"/>
      <c r="O5407"/>
      <c r="P5407" s="225"/>
      <c r="Q5407" s="225"/>
      <c r="R5407"/>
      <c r="S5407"/>
      <c r="T5407"/>
      <c r="U5407"/>
      <c r="V5407"/>
      <c r="W5407"/>
      <c r="X5407"/>
    </row>
    <row r="5408" spans="5:24" x14ac:dyDescent="0.3">
      <c r="E5408" s="173"/>
      <c r="F5408" s="173"/>
      <c r="I5408"/>
      <c r="J5408"/>
      <c r="K5408"/>
      <c r="L5408"/>
      <c r="M5408"/>
      <c r="N5408"/>
      <c r="O5408"/>
      <c r="P5408" s="225"/>
      <c r="Q5408" s="225"/>
      <c r="R5408"/>
      <c r="S5408"/>
      <c r="T5408"/>
      <c r="U5408"/>
      <c r="V5408"/>
      <c r="W5408"/>
      <c r="X5408"/>
    </row>
    <row r="5409" spans="5:24" x14ac:dyDescent="0.3">
      <c r="E5409" s="173"/>
      <c r="F5409" s="173"/>
      <c r="I5409"/>
      <c r="J5409"/>
      <c r="K5409"/>
      <c r="L5409"/>
      <c r="M5409"/>
      <c r="N5409"/>
      <c r="O5409"/>
      <c r="P5409" s="225"/>
      <c r="Q5409" s="225"/>
      <c r="R5409"/>
      <c r="S5409"/>
      <c r="T5409"/>
      <c r="U5409"/>
      <c r="V5409"/>
      <c r="W5409"/>
      <c r="X5409"/>
    </row>
    <row r="5410" spans="5:24" x14ac:dyDescent="0.3">
      <c r="E5410" s="173"/>
      <c r="F5410" s="173"/>
      <c r="I5410"/>
      <c r="J5410"/>
      <c r="K5410"/>
      <c r="L5410"/>
      <c r="M5410"/>
      <c r="N5410"/>
      <c r="O5410"/>
      <c r="P5410" s="225"/>
      <c r="Q5410" s="225"/>
      <c r="R5410"/>
      <c r="S5410"/>
      <c r="T5410"/>
      <c r="U5410"/>
      <c r="V5410"/>
      <c r="W5410"/>
      <c r="X5410"/>
    </row>
    <row r="5411" spans="5:24" x14ac:dyDescent="0.3">
      <c r="E5411" s="173"/>
      <c r="F5411" s="173"/>
      <c r="I5411"/>
      <c r="J5411"/>
      <c r="K5411"/>
      <c r="L5411"/>
      <c r="M5411"/>
      <c r="N5411"/>
      <c r="O5411"/>
      <c r="P5411" s="225"/>
      <c r="Q5411" s="225"/>
      <c r="R5411"/>
      <c r="S5411"/>
      <c r="T5411"/>
      <c r="U5411"/>
      <c r="V5411"/>
      <c r="W5411"/>
      <c r="X5411"/>
    </row>
    <row r="5412" spans="5:24" x14ac:dyDescent="0.3">
      <c r="E5412" s="173"/>
      <c r="F5412" s="173"/>
      <c r="I5412"/>
      <c r="J5412"/>
      <c r="K5412"/>
      <c r="L5412"/>
      <c r="M5412"/>
      <c r="N5412"/>
      <c r="O5412"/>
      <c r="P5412" s="225"/>
      <c r="Q5412" s="225"/>
      <c r="R5412"/>
      <c r="S5412"/>
      <c r="T5412"/>
      <c r="U5412"/>
      <c r="V5412"/>
      <c r="W5412"/>
      <c r="X5412"/>
    </row>
    <row r="5413" spans="5:24" x14ac:dyDescent="0.3">
      <c r="E5413" s="173"/>
      <c r="F5413" s="173"/>
      <c r="I5413"/>
      <c r="J5413"/>
      <c r="K5413"/>
      <c r="L5413"/>
      <c r="M5413"/>
      <c r="N5413"/>
      <c r="O5413"/>
      <c r="P5413" s="225"/>
      <c r="Q5413" s="225"/>
      <c r="R5413"/>
      <c r="S5413"/>
      <c r="T5413"/>
      <c r="U5413"/>
      <c r="V5413"/>
      <c r="W5413"/>
      <c r="X5413"/>
    </row>
    <row r="5414" spans="5:24" x14ac:dyDescent="0.3">
      <c r="E5414" s="173"/>
      <c r="F5414" s="173"/>
      <c r="I5414"/>
      <c r="J5414"/>
      <c r="K5414"/>
      <c r="L5414"/>
      <c r="M5414"/>
      <c r="N5414"/>
      <c r="O5414"/>
      <c r="P5414" s="225"/>
      <c r="Q5414" s="225"/>
      <c r="R5414"/>
      <c r="S5414"/>
      <c r="T5414"/>
      <c r="U5414"/>
      <c r="V5414"/>
      <c r="W5414"/>
      <c r="X5414"/>
    </row>
    <row r="5415" spans="5:24" x14ac:dyDescent="0.3">
      <c r="E5415" s="173"/>
      <c r="F5415" s="173"/>
      <c r="I5415"/>
      <c r="J5415"/>
      <c r="K5415"/>
      <c r="L5415"/>
      <c r="M5415"/>
      <c r="N5415"/>
      <c r="O5415"/>
      <c r="P5415" s="225"/>
      <c r="Q5415" s="225"/>
      <c r="R5415"/>
      <c r="S5415"/>
      <c r="T5415"/>
      <c r="U5415"/>
      <c r="V5415"/>
      <c r="W5415"/>
      <c r="X5415"/>
    </row>
    <row r="5416" spans="5:24" x14ac:dyDescent="0.3">
      <c r="E5416" s="173"/>
      <c r="F5416" s="173"/>
      <c r="I5416"/>
      <c r="J5416"/>
      <c r="K5416"/>
      <c r="L5416"/>
      <c r="M5416"/>
      <c r="N5416"/>
      <c r="O5416"/>
      <c r="P5416" s="225"/>
      <c r="Q5416" s="225"/>
      <c r="R5416"/>
      <c r="S5416"/>
      <c r="T5416"/>
      <c r="U5416"/>
      <c r="V5416"/>
      <c r="W5416"/>
      <c r="X5416"/>
    </row>
    <row r="5417" spans="5:24" x14ac:dyDescent="0.3">
      <c r="E5417" s="173"/>
      <c r="F5417" s="173"/>
      <c r="I5417"/>
      <c r="J5417"/>
      <c r="K5417"/>
      <c r="L5417"/>
      <c r="M5417"/>
      <c r="N5417"/>
      <c r="O5417"/>
      <c r="P5417" s="225"/>
      <c r="Q5417" s="225"/>
      <c r="R5417"/>
      <c r="S5417"/>
      <c r="T5417"/>
      <c r="U5417"/>
      <c r="V5417"/>
      <c r="W5417"/>
      <c r="X5417"/>
    </row>
    <row r="5418" spans="5:24" x14ac:dyDescent="0.3">
      <c r="E5418" s="173"/>
      <c r="F5418" s="173"/>
      <c r="I5418"/>
      <c r="J5418"/>
      <c r="K5418"/>
      <c r="L5418"/>
      <c r="M5418"/>
      <c r="N5418"/>
      <c r="O5418"/>
      <c r="P5418" s="225"/>
      <c r="Q5418" s="225"/>
      <c r="R5418"/>
      <c r="S5418"/>
      <c r="T5418"/>
      <c r="U5418"/>
      <c r="V5418"/>
      <c r="W5418"/>
      <c r="X5418"/>
    </row>
    <row r="5419" spans="5:24" x14ac:dyDescent="0.3">
      <c r="E5419" s="173"/>
      <c r="F5419" s="173"/>
      <c r="I5419"/>
      <c r="J5419"/>
      <c r="K5419"/>
      <c r="L5419"/>
      <c r="M5419"/>
      <c r="N5419"/>
      <c r="O5419"/>
      <c r="P5419" s="225"/>
      <c r="Q5419" s="225"/>
      <c r="R5419"/>
      <c r="S5419"/>
      <c r="T5419"/>
      <c r="U5419"/>
      <c r="V5419"/>
      <c r="W5419"/>
      <c r="X5419"/>
    </row>
    <row r="5420" spans="5:24" x14ac:dyDescent="0.3">
      <c r="E5420" s="173"/>
      <c r="F5420" s="173"/>
      <c r="I5420"/>
      <c r="J5420"/>
      <c r="K5420"/>
      <c r="L5420"/>
      <c r="M5420"/>
      <c r="N5420"/>
      <c r="O5420"/>
      <c r="P5420" s="225"/>
      <c r="Q5420" s="225"/>
      <c r="R5420"/>
      <c r="S5420"/>
      <c r="T5420"/>
      <c r="U5420"/>
      <c r="V5420"/>
      <c r="W5420"/>
      <c r="X5420"/>
    </row>
    <row r="5421" spans="5:24" x14ac:dyDescent="0.3">
      <c r="E5421" s="173"/>
      <c r="F5421" s="173"/>
      <c r="I5421"/>
      <c r="J5421"/>
      <c r="K5421"/>
      <c r="L5421"/>
      <c r="M5421"/>
      <c r="N5421"/>
      <c r="O5421"/>
      <c r="P5421" s="225"/>
      <c r="Q5421" s="225"/>
      <c r="R5421"/>
      <c r="S5421"/>
      <c r="T5421"/>
      <c r="U5421"/>
      <c r="V5421"/>
      <c r="W5421"/>
      <c r="X5421"/>
    </row>
    <row r="5422" spans="5:24" x14ac:dyDescent="0.3">
      <c r="E5422" s="173"/>
      <c r="F5422" s="173"/>
      <c r="I5422"/>
      <c r="J5422"/>
      <c r="K5422"/>
      <c r="L5422"/>
      <c r="M5422"/>
      <c r="N5422"/>
      <c r="O5422"/>
      <c r="P5422" s="225"/>
      <c r="Q5422" s="225"/>
      <c r="R5422"/>
      <c r="S5422"/>
      <c r="T5422"/>
      <c r="U5422"/>
      <c r="V5422"/>
      <c r="W5422"/>
      <c r="X5422"/>
    </row>
    <row r="5423" spans="5:24" x14ac:dyDescent="0.3">
      <c r="E5423" s="173"/>
      <c r="F5423" s="173"/>
      <c r="I5423"/>
      <c r="J5423"/>
      <c r="K5423"/>
      <c r="L5423"/>
      <c r="M5423"/>
      <c r="N5423"/>
      <c r="O5423"/>
      <c r="P5423" s="225"/>
      <c r="Q5423" s="225"/>
      <c r="R5423"/>
      <c r="S5423"/>
      <c r="T5423"/>
      <c r="U5423"/>
      <c r="V5423"/>
      <c r="W5423"/>
      <c r="X5423"/>
    </row>
    <row r="5424" spans="5:24" x14ac:dyDescent="0.3">
      <c r="E5424" s="173"/>
      <c r="F5424" s="173"/>
      <c r="I5424"/>
      <c r="J5424"/>
      <c r="K5424"/>
      <c r="L5424"/>
      <c r="M5424"/>
      <c r="N5424"/>
      <c r="O5424"/>
      <c r="P5424" s="225"/>
      <c r="Q5424" s="225"/>
      <c r="R5424"/>
      <c r="S5424"/>
      <c r="T5424"/>
      <c r="U5424"/>
      <c r="V5424"/>
      <c r="W5424"/>
      <c r="X5424"/>
    </row>
    <row r="5425" spans="5:24" x14ac:dyDescent="0.3">
      <c r="E5425" s="173"/>
      <c r="F5425" s="173"/>
      <c r="I5425"/>
      <c r="J5425"/>
      <c r="K5425"/>
      <c r="L5425"/>
      <c r="M5425"/>
      <c r="N5425"/>
      <c r="O5425"/>
      <c r="P5425" s="225"/>
      <c r="Q5425" s="225"/>
      <c r="R5425"/>
      <c r="S5425"/>
      <c r="T5425"/>
      <c r="U5425"/>
      <c r="V5425"/>
      <c r="W5425"/>
      <c r="X5425"/>
    </row>
    <row r="5426" spans="5:24" x14ac:dyDescent="0.3">
      <c r="E5426" s="173"/>
      <c r="F5426" s="173"/>
      <c r="I5426"/>
      <c r="J5426"/>
      <c r="K5426"/>
      <c r="L5426"/>
      <c r="M5426"/>
      <c r="N5426"/>
      <c r="O5426"/>
      <c r="P5426" s="225"/>
      <c r="Q5426" s="225"/>
      <c r="R5426"/>
      <c r="S5426"/>
      <c r="T5426"/>
      <c r="U5426"/>
      <c r="V5426"/>
      <c r="W5426"/>
      <c r="X5426"/>
    </row>
    <row r="5427" spans="5:24" x14ac:dyDescent="0.3">
      <c r="E5427" s="173"/>
      <c r="F5427" s="173"/>
      <c r="I5427"/>
      <c r="J5427"/>
      <c r="K5427"/>
      <c r="L5427"/>
      <c r="M5427"/>
      <c r="N5427"/>
      <c r="O5427"/>
      <c r="P5427" s="225"/>
      <c r="Q5427" s="225"/>
      <c r="R5427"/>
      <c r="S5427"/>
      <c r="T5427"/>
      <c r="U5427"/>
      <c r="V5427"/>
      <c r="W5427"/>
      <c r="X5427"/>
    </row>
    <row r="5428" spans="5:24" x14ac:dyDescent="0.3">
      <c r="E5428" s="173"/>
      <c r="F5428" s="173"/>
      <c r="I5428"/>
      <c r="J5428"/>
      <c r="K5428"/>
      <c r="L5428"/>
      <c r="M5428"/>
      <c r="N5428"/>
      <c r="O5428"/>
      <c r="P5428" s="225"/>
      <c r="Q5428" s="225"/>
      <c r="R5428"/>
      <c r="S5428"/>
      <c r="T5428"/>
      <c r="U5428"/>
      <c r="V5428"/>
      <c r="W5428"/>
      <c r="X5428"/>
    </row>
    <row r="5429" spans="5:24" x14ac:dyDescent="0.3">
      <c r="E5429" s="173"/>
      <c r="F5429" s="173"/>
      <c r="I5429"/>
      <c r="J5429"/>
      <c r="K5429"/>
      <c r="L5429"/>
      <c r="M5429"/>
      <c r="N5429"/>
      <c r="O5429"/>
      <c r="P5429" s="225"/>
      <c r="Q5429" s="225"/>
      <c r="R5429"/>
      <c r="S5429"/>
      <c r="T5429"/>
      <c r="U5429"/>
      <c r="V5429"/>
      <c r="W5429"/>
      <c r="X5429"/>
    </row>
    <row r="5430" spans="5:24" x14ac:dyDescent="0.3">
      <c r="E5430" s="173"/>
      <c r="F5430" s="173"/>
      <c r="I5430"/>
      <c r="J5430"/>
      <c r="K5430"/>
      <c r="L5430"/>
      <c r="M5430"/>
      <c r="N5430"/>
      <c r="O5430"/>
      <c r="P5430" s="225"/>
      <c r="Q5430" s="225"/>
      <c r="R5430"/>
      <c r="S5430"/>
      <c r="T5430"/>
      <c r="U5430"/>
      <c r="V5430"/>
      <c r="W5430"/>
      <c r="X5430"/>
    </row>
    <row r="5431" spans="5:24" x14ac:dyDescent="0.3">
      <c r="E5431" s="173"/>
      <c r="F5431" s="173"/>
      <c r="I5431"/>
      <c r="J5431"/>
      <c r="K5431"/>
      <c r="L5431"/>
      <c r="M5431"/>
      <c r="N5431"/>
      <c r="O5431"/>
      <c r="P5431" s="225"/>
      <c r="Q5431" s="225"/>
      <c r="R5431"/>
      <c r="S5431"/>
      <c r="T5431"/>
      <c r="U5431"/>
      <c r="V5431"/>
      <c r="W5431"/>
      <c r="X5431"/>
    </row>
    <row r="5432" spans="5:24" x14ac:dyDescent="0.3">
      <c r="E5432" s="173"/>
      <c r="F5432" s="173"/>
      <c r="I5432"/>
      <c r="J5432"/>
      <c r="K5432"/>
      <c r="L5432"/>
      <c r="M5432"/>
      <c r="N5432"/>
      <c r="O5432"/>
      <c r="P5432" s="225"/>
      <c r="Q5432" s="225"/>
      <c r="R5432"/>
      <c r="S5432"/>
      <c r="T5432"/>
      <c r="U5432"/>
      <c r="V5432"/>
      <c r="W5432"/>
      <c r="X5432"/>
    </row>
    <row r="5433" spans="5:24" x14ac:dyDescent="0.3">
      <c r="E5433" s="173"/>
      <c r="F5433" s="173"/>
      <c r="I5433"/>
      <c r="J5433"/>
      <c r="K5433"/>
      <c r="L5433"/>
      <c r="M5433"/>
      <c r="N5433"/>
      <c r="O5433"/>
      <c r="P5433" s="225"/>
      <c r="Q5433" s="225"/>
      <c r="R5433"/>
      <c r="S5433"/>
      <c r="T5433"/>
      <c r="U5433"/>
      <c r="V5433"/>
      <c r="W5433"/>
      <c r="X5433"/>
    </row>
    <row r="5434" spans="5:24" x14ac:dyDescent="0.3">
      <c r="E5434" s="173"/>
      <c r="F5434" s="173"/>
      <c r="I5434"/>
      <c r="J5434"/>
      <c r="K5434"/>
      <c r="L5434"/>
      <c r="M5434"/>
      <c r="N5434"/>
      <c r="O5434"/>
      <c r="P5434" s="225"/>
      <c r="Q5434" s="225"/>
      <c r="R5434"/>
      <c r="S5434"/>
      <c r="T5434"/>
      <c r="U5434"/>
      <c r="V5434"/>
      <c r="W5434"/>
      <c r="X5434"/>
    </row>
    <row r="5435" spans="5:24" x14ac:dyDescent="0.3">
      <c r="E5435" s="173"/>
      <c r="F5435" s="173"/>
      <c r="I5435"/>
      <c r="J5435"/>
      <c r="K5435"/>
      <c r="L5435"/>
      <c r="M5435"/>
      <c r="N5435"/>
      <c r="O5435"/>
      <c r="P5435" s="225"/>
      <c r="Q5435" s="225"/>
      <c r="R5435"/>
      <c r="S5435"/>
      <c r="T5435"/>
      <c r="U5435"/>
      <c r="V5435"/>
      <c r="W5435"/>
      <c r="X5435"/>
    </row>
    <row r="5436" spans="5:24" x14ac:dyDescent="0.3">
      <c r="E5436" s="173"/>
      <c r="F5436" s="173"/>
      <c r="I5436"/>
      <c r="J5436"/>
      <c r="K5436"/>
      <c r="L5436"/>
      <c r="M5436"/>
      <c r="N5436"/>
      <c r="O5436"/>
      <c r="P5436" s="225"/>
      <c r="Q5436" s="225"/>
      <c r="R5436"/>
      <c r="S5436"/>
      <c r="T5436"/>
      <c r="U5436"/>
      <c r="V5436"/>
      <c r="W5436"/>
      <c r="X5436"/>
    </row>
    <row r="5437" spans="5:24" x14ac:dyDescent="0.3">
      <c r="E5437" s="173"/>
      <c r="F5437" s="173"/>
      <c r="I5437"/>
      <c r="J5437"/>
      <c r="K5437"/>
      <c r="L5437"/>
      <c r="M5437"/>
      <c r="N5437"/>
      <c r="O5437"/>
      <c r="P5437" s="225"/>
      <c r="Q5437" s="225"/>
      <c r="R5437"/>
      <c r="S5437"/>
      <c r="T5437"/>
      <c r="U5437"/>
      <c r="V5437"/>
      <c r="W5437"/>
      <c r="X5437"/>
    </row>
    <row r="5438" spans="5:24" x14ac:dyDescent="0.3">
      <c r="E5438" s="173"/>
      <c r="F5438" s="173"/>
      <c r="I5438"/>
      <c r="J5438"/>
      <c r="K5438"/>
      <c r="L5438"/>
      <c r="M5438"/>
      <c r="N5438"/>
      <c r="O5438"/>
      <c r="P5438" s="225"/>
      <c r="Q5438" s="225"/>
      <c r="R5438"/>
      <c r="S5438"/>
      <c r="T5438"/>
      <c r="U5438"/>
      <c r="V5438"/>
      <c r="W5438"/>
      <c r="X5438"/>
    </row>
    <row r="5439" spans="5:24" x14ac:dyDescent="0.3">
      <c r="E5439" s="173"/>
      <c r="F5439" s="173"/>
      <c r="I5439"/>
      <c r="J5439"/>
      <c r="K5439"/>
      <c r="L5439"/>
      <c r="M5439"/>
      <c r="N5439"/>
      <c r="O5439"/>
      <c r="P5439" s="225"/>
      <c r="Q5439" s="225"/>
      <c r="R5439"/>
      <c r="S5439"/>
      <c r="T5439"/>
      <c r="U5439"/>
      <c r="V5439"/>
      <c r="W5439"/>
      <c r="X5439"/>
    </row>
    <row r="5440" spans="5:24" x14ac:dyDescent="0.3">
      <c r="E5440" s="173"/>
      <c r="F5440" s="173"/>
      <c r="I5440"/>
      <c r="J5440"/>
      <c r="K5440"/>
      <c r="L5440"/>
      <c r="M5440"/>
      <c r="N5440"/>
      <c r="O5440"/>
      <c r="P5440" s="225"/>
      <c r="Q5440" s="225"/>
      <c r="R5440"/>
      <c r="S5440"/>
      <c r="T5440"/>
      <c r="U5440"/>
      <c r="V5440"/>
      <c r="W5440"/>
      <c r="X5440"/>
    </row>
    <row r="5441" spans="5:24" x14ac:dyDescent="0.3">
      <c r="E5441" s="173"/>
      <c r="F5441" s="173"/>
      <c r="I5441"/>
      <c r="J5441"/>
      <c r="K5441"/>
      <c r="L5441"/>
      <c r="M5441"/>
      <c r="N5441"/>
      <c r="O5441"/>
      <c r="P5441" s="225"/>
      <c r="Q5441" s="225"/>
      <c r="R5441"/>
      <c r="S5441"/>
      <c r="T5441"/>
      <c r="U5441"/>
      <c r="V5441"/>
      <c r="W5441"/>
      <c r="X5441"/>
    </row>
    <row r="5442" spans="5:24" x14ac:dyDescent="0.3">
      <c r="E5442" s="173"/>
      <c r="F5442" s="173"/>
      <c r="I5442"/>
      <c r="J5442"/>
      <c r="K5442"/>
      <c r="L5442"/>
      <c r="M5442"/>
      <c r="N5442"/>
      <c r="O5442"/>
      <c r="P5442" s="225"/>
      <c r="Q5442" s="225"/>
      <c r="R5442"/>
      <c r="S5442"/>
      <c r="T5442"/>
      <c r="U5442"/>
      <c r="V5442"/>
      <c r="W5442"/>
      <c r="X5442"/>
    </row>
    <row r="5443" spans="5:24" x14ac:dyDescent="0.3">
      <c r="E5443" s="173"/>
      <c r="F5443" s="173"/>
      <c r="I5443"/>
      <c r="J5443"/>
      <c r="K5443"/>
      <c r="L5443"/>
      <c r="M5443"/>
      <c r="N5443"/>
      <c r="O5443"/>
      <c r="P5443" s="225"/>
      <c r="Q5443" s="225"/>
      <c r="R5443"/>
      <c r="S5443"/>
      <c r="T5443"/>
      <c r="U5443"/>
      <c r="V5443"/>
      <c r="W5443"/>
      <c r="X5443"/>
    </row>
    <row r="5444" spans="5:24" x14ac:dyDescent="0.3">
      <c r="E5444" s="173"/>
      <c r="F5444" s="173"/>
      <c r="I5444"/>
      <c r="J5444"/>
      <c r="K5444"/>
      <c r="L5444"/>
      <c r="M5444"/>
      <c r="N5444"/>
      <c r="O5444"/>
      <c r="P5444" s="225"/>
      <c r="Q5444" s="225"/>
      <c r="R5444"/>
      <c r="S5444"/>
      <c r="T5444"/>
      <c r="U5444"/>
      <c r="V5444"/>
      <c r="W5444"/>
      <c r="X5444"/>
    </row>
    <row r="5445" spans="5:24" x14ac:dyDescent="0.3">
      <c r="E5445" s="173"/>
      <c r="F5445" s="173"/>
      <c r="I5445"/>
      <c r="J5445"/>
      <c r="K5445"/>
      <c r="L5445"/>
      <c r="M5445"/>
      <c r="N5445"/>
      <c r="O5445"/>
      <c r="P5445" s="225"/>
      <c r="Q5445" s="225"/>
      <c r="R5445"/>
      <c r="S5445"/>
      <c r="T5445"/>
      <c r="U5445"/>
      <c r="V5445"/>
      <c r="W5445"/>
      <c r="X5445"/>
    </row>
    <row r="5446" spans="5:24" x14ac:dyDescent="0.3">
      <c r="E5446" s="173"/>
      <c r="F5446" s="173"/>
      <c r="I5446"/>
      <c r="J5446"/>
      <c r="K5446"/>
      <c r="L5446"/>
      <c r="M5446"/>
      <c r="N5446"/>
      <c r="O5446"/>
      <c r="P5446" s="225"/>
      <c r="Q5446" s="225"/>
      <c r="R5446"/>
      <c r="S5446"/>
      <c r="T5446"/>
      <c r="U5446"/>
      <c r="V5446"/>
      <c r="W5446"/>
      <c r="X5446"/>
    </row>
    <row r="5447" spans="5:24" x14ac:dyDescent="0.3">
      <c r="E5447" s="173"/>
      <c r="F5447" s="173"/>
      <c r="I5447"/>
      <c r="J5447"/>
      <c r="K5447"/>
      <c r="L5447"/>
      <c r="M5447"/>
      <c r="N5447"/>
      <c r="O5447"/>
      <c r="P5447" s="225"/>
      <c r="Q5447" s="225"/>
      <c r="R5447"/>
      <c r="S5447"/>
      <c r="T5447"/>
      <c r="U5447"/>
      <c r="V5447"/>
      <c r="W5447"/>
      <c r="X5447"/>
    </row>
    <row r="5448" spans="5:24" x14ac:dyDescent="0.3">
      <c r="E5448" s="173"/>
      <c r="F5448" s="173"/>
      <c r="I5448"/>
      <c r="J5448"/>
      <c r="K5448"/>
      <c r="L5448"/>
      <c r="M5448"/>
      <c r="N5448"/>
      <c r="O5448"/>
      <c r="P5448" s="225"/>
      <c r="Q5448" s="225"/>
      <c r="R5448"/>
      <c r="S5448"/>
      <c r="T5448"/>
      <c r="U5448"/>
      <c r="V5448"/>
      <c r="W5448"/>
      <c r="X5448"/>
    </row>
    <row r="5449" spans="5:24" x14ac:dyDescent="0.3">
      <c r="E5449" s="173"/>
      <c r="F5449" s="173"/>
      <c r="I5449"/>
      <c r="J5449"/>
      <c r="K5449"/>
      <c r="L5449"/>
      <c r="M5449"/>
      <c r="N5449"/>
      <c r="O5449"/>
      <c r="P5449" s="225"/>
      <c r="Q5449" s="225"/>
      <c r="R5449"/>
      <c r="S5449"/>
      <c r="T5449"/>
      <c r="U5449"/>
      <c r="V5449"/>
      <c r="W5449"/>
      <c r="X5449"/>
    </row>
    <row r="5450" spans="5:24" x14ac:dyDescent="0.3">
      <c r="E5450" s="173"/>
      <c r="F5450" s="173"/>
      <c r="I5450"/>
      <c r="J5450"/>
      <c r="K5450"/>
      <c r="L5450"/>
      <c r="M5450"/>
      <c r="N5450"/>
      <c r="O5450"/>
      <c r="P5450" s="225"/>
      <c r="Q5450" s="225"/>
      <c r="R5450"/>
      <c r="S5450"/>
      <c r="T5450"/>
      <c r="U5450"/>
      <c r="V5450"/>
      <c r="W5450"/>
      <c r="X5450"/>
    </row>
    <row r="5451" spans="5:24" x14ac:dyDescent="0.3">
      <c r="E5451" s="173"/>
      <c r="F5451" s="173"/>
      <c r="I5451"/>
      <c r="J5451"/>
      <c r="K5451"/>
      <c r="L5451"/>
      <c r="M5451"/>
      <c r="N5451"/>
      <c r="O5451"/>
      <c r="P5451" s="225"/>
      <c r="Q5451" s="225"/>
      <c r="R5451"/>
      <c r="S5451"/>
      <c r="T5451"/>
      <c r="U5451"/>
      <c r="V5451"/>
      <c r="W5451"/>
      <c r="X5451"/>
    </row>
    <row r="5452" spans="5:24" x14ac:dyDescent="0.3">
      <c r="E5452" s="173"/>
      <c r="F5452" s="173"/>
      <c r="I5452"/>
      <c r="J5452"/>
      <c r="K5452"/>
      <c r="L5452"/>
      <c r="M5452"/>
      <c r="N5452"/>
      <c r="O5452"/>
      <c r="P5452" s="225"/>
      <c r="Q5452" s="225"/>
      <c r="R5452"/>
      <c r="S5452"/>
      <c r="T5452"/>
      <c r="U5452"/>
      <c r="V5452"/>
      <c r="W5452"/>
      <c r="X5452"/>
    </row>
    <row r="5453" spans="5:24" x14ac:dyDescent="0.3">
      <c r="E5453" s="173"/>
      <c r="F5453" s="173"/>
      <c r="I5453"/>
      <c r="J5453"/>
      <c r="K5453"/>
      <c r="L5453"/>
      <c r="M5453"/>
      <c r="N5453"/>
      <c r="O5453"/>
      <c r="P5453" s="225"/>
      <c r="Q5453" s="225"/>
      <c r="R5453"/>
      <c r="S5453"/>
      <c r="T5453"/>
      <c r="U5453"/>
      <c r="V5453"/>
      <c r="W5453"/>
      <c r="X5453"/>
    </row>
    <row r="5454" spans="5:24" x14ac:dyDescent="0.3">
      <c r="E5454" s="173"/>
      <c r="F5454" s="173"/>
      <c r="I5454"/>
      <c r="J5454"/>
      <c r="K5454"/>
      <c r="L5454"/>
      <c r="M5454"/>
      <c r="N5454"/>
      <c r="O5454"/>
      <c r="P5454" s="225"/>
      <c r="Q5454" s="225"/>
      <c r="R5454"/>
      <c r="S5454"/>
      <c r="T5454"/>
      <c r="U5454"/>
      <c r="V5454"/>
      <c r="W5454"/>
      <c r="X5454"/>
    </row>
    <row r="5455" spans="5:24" x14ac:dyDescent="0.3">
      <c r="E5455" s="173"/>
      <c r="F5455" s="173"/>
      <c r="I5455"/>
      <c r="J5455"/>
      <c r="K5455"/>
      <c r="L5455"/>
      <c r="M5455"/>
      <c r="N5455"/>
      <c r="O5455"/>
      <c r="P5455" s="225"/>
      <c r="Q5455" s="225"/>
      <c r="R5455"/>
      <c r="S5455"/>
      <c r="T5455"/>
      <c r="U5455"/>
      <c r="V5455"/>
      <c r="W5455"/>
      <c r="X5455"/>
    </row>
    <row r="5456" spans="5:24" x14ac:dyDescent="0.3">
      <c r="E5456" s="173"/>
      <c r="F5456" s="173"/>
      <c r="I5456"/>
      <c r="J5456"/>
      <c r="K5456"/>
      <c r="L5456"/>
      <c r="M5456"/>
      <c r="N5456"/>
      <c r="O5456"/>
      <c r="P5456" s="225"/>
      <c r="Q5456" s="225"/>
      <c r="R5456"/>
      <c r="S5456"/>
      <c r="T5456"/>
      <c r="U5456"/>
      <c r="V5456"/>
      <c r="W5456"/>
      <c r="X5456"/>
    </row>
    <row r="5457" spans="5:24" x14ac:dyDescent="0.3">
      <c r="E5457" s="173"/>
      <c r="F5457" s="173"/>
      <c r="I5457"/>
      <c r="J5457"/>
      <c r="K5457"/>
      <c r="L5457"/>
      <c r="M5457"/>
      <c r="N5457"/>
      <c r="O5457"/>
      <c r="P5457" s="225"/>
      <c r="Q5457" s="225"/>
      <c r="R5457"/>
      <c r="S5457"/>
      <c r="T5457"/>
      <c r="U5457"/>
      <c r="V5457"/>
      <c r="W5457"/>
      <c r="X5457"/>
    </row>
    <row r="5458" spans="5:24" x14ac:dyDescent="0.3">
      <c r="E5458" s="173"/>
      <c r="F5458" s="173"/>
      <c r="I5458"/>
      <c r="J5458"/>
      <c r="K5458"/>
      <c r="L5458"/>
      <c r="M5458"/>
      <c r="N5458"/>
      <c r="O5458"/>
      <c r="P5458" s="225"/>
      <c r="Q5458" s="225"/>
      <c r="R5458"/>
      <c r="S5458"/>
      <c r="T5458"/>
      <c r="U5458"/>
      <c r="V5458"/>
      <c r="W5458"/>
      <c r="X5458"/>
    </row>
    <row r="5459" spans="5:24" x14ac:dyDescent="0.3">
      <c r="E5459" s="173"/>
      <c r="F5459" s="173"/>
      <c r="I5459"/>
      <c r="J5459"/>
      <c r="K5459"/>
      <c r="L5459"/>
      <c r="M5459"/>
      <c r="N5459"/>
      <c r="O5459"/>
      <c r="P5459" s="225"/>
      <c r="Q5459" s="225"/>
      <c r="R5459"/>
      <c r="S5459"/>
      <c r="T5459"/>
      <c r="U5459"/>
      <c r="V5459"/>
      <c r="W5459"/>
      <c r="X5459"/>
    </row>
    <row r="5460" spans="5:24" x14ac:dyDescent="0.3">
      <c r="E5460" s="173"/>
      <c r="F5460" s="173"/>
      <c r="I5460"/>
      <c r="J5460"/>
      <c r="K5460"/>
      <c r="L5460"/>
      <c r="M5460"/>
      <c r="N5460"/>
      <c r="O5460"/>
      <c r="P5460" s="225"/>
      <c r="Q5460" s="225"/>
      <c r="R5460"/>
      <c r="S5460"/>
      <c r="T5460"/>
      <c r="U5460"/>
      <c r="V5460"/>
      <c r="W5460"/>
      <c r="X5460"/>
    </row>
    <row r="5461" spans="5:24" x14ac:dyDescent="0.3">
      <c r="E5461" s="173"/>
      <c r="F5461" s="173"/>
      <c r="I5461"/>
      <c r="J5461"/>
      <c r="K5461"/>
      <c r="L5461"/>
      <c r="M5461"/>
      <c r="N5461"/>
      <c r="O5461"/>
      <c r="P5461" s="225"/>
      <c r="Q5461" s="225"/>
      <c r="R5461"/>
      <c r="S5461"/>
      <c r="T5461"/>
      <c r="U5461"/>
      <c r="V5461"/>
      <c r="W5461"/>
      <c r="X5461"/>
    </row>
    <row r="5462" spans="5:24" x14ac:dyDescent="0.3">
      <c r="E5462" s="173"/>
      <c r="F5462" s="173"/>
      <c r="I5462"/>
      <c r="J5462"/>
      <c r="K5462"/>
      <c r="L5462"/>
      <c r="M5462"/>
      <c r="N5462"/>
      <c r="O5462"/>
      <c r="P5462" s="225"/>
      <c r="Q5462" s="225"/>
      <c r="R5462"/>
      <c r="S5462"/>
      <c r="T5462"/>
      <c r="U5462"/>
      <c r="V5462"/>
      <c r="W5462"/>
      <c r="X5462"/>
    </row>
    <row r="5463" spans="5:24" x14ac:dyDescent="0.3">
      <c r="E5463" s="173"/>
      <c r="F5463" s="173"/>
      <c r="I5463"/>
      <c r="J5463"/>
      <c r="K5463"/>
      <c r="L5463"/>
      <c r="M5463"/>
      <c r="N5463"/>
      <c r="O5463"/>
      <c r="P5463" s="225"/>
      <c r="Q5463" s="225"/>
      <c r="R5463"/>
      <c r="S5463"/>
      <c r="T5463"/>
      <c r="U5463"/>
      <c r="V5463"/>
      <c r="W5463"/>
      <c r="X5463"/>
    </row>
    <row r="5464" spans="5:24" x14ac:dyDescent="0.3">
      <c r="E5464" s="173"/>
      <c r="F5464" s="173"/>
      <c r="I5464"/>
      <c r="J5464"/>
      <c r="K5464"/>
      <c r="L5464"/>
      <c r="M5464"/>
      <c r="N5464"/>
      <c r="O5464"/>
      <c r="P5464" s="225"/>
      <c r="Q5464" s="225"/>
      <c r="R5464"/>
      <c r="S5464"/>
      <c r="T5464"/>
      <c r="U5464"/>
      <c r="V5464"/>
      <c r="W5464"/>
      <c r="X5464"/>
    </row>
    <row r="5465" spans="5:24" x14ac:dyDescent="0.3">
      <c r="E5465" s="173"/>
      <c r="F5465" s="173"/>
      <c r="I5465"/>
      <c r="J5465"/>
      <c r="K5465"/>
      <c r="L5465"/>
      <c r="M5465"/>
      <c r="N5465"/>
      <c r="O5465"/>
      <c r="P5465" s="225"/>
      <c r="Q5465" s="225"/>
      <c r="R5465"/>
      <c r="S5465"/>
      <c r="T5465"/>
      <c r="U5465"/>
      <c r="V5465"/>
      <c r="W5465"/>
      <c r="X5465"/>
    </row>
    <row r="5466" spans="5:24" x14ac:dyDescent="0.3">
      <c r="E5466" s="173"/>
      <c r="F5466" s="173"/>
      <c r="I5466"/>
      <c r="J5466"/>
      <c r="K5466"/>
      <c r="L5466"/>
      <c r="M5466"/>
      <c r="N5466"/>
      <c r="O5466"/>
      <c r="P5466" s="225"/>
      <c r="Q5466" s="225"/>
      <c r="R5466"/>
      <c r="S5466"/>
      <c r="T5466"/>
      <c r="U5466"/>
      <c r="V5466"/>
      <c r="W5466"/>
      <c r="X5466"/>
    </row>
    <row r="5467" spans="5:24" x14ac:dyDescent="0.3">
      <c r="E5467" s="173"/>
      <c r="F5467" s="173"/>
      <c r="I5467"/>
      <c r="J5467"/>
      <c r="K5467"/>
      <c r="L5467"/>
      <c r="M5467"/>
      <c r="N5467"/>
      <c r="O5467"/>
      <c r="P5467" s="225"/>
      <c r="Q5467" s="225"/>
      <c r="R5467"/>
      <c r="S5467"/>
      <c r="T5467"/>
      <c r="U5467"/>
      <c r="V5467"/>
      <c r="W5467"/>
      <c r="X5467"/>
    </row>
    <row r="5468" spans="5:24" x14ac:dyDescent="0.3">
      <c r="E5468" s="173"/>
      <c r="F5468" s="173"/>
      <c r="I5468"/>
      <c r="J5468"/>
      <c r="K5468"/>
      <c r="L5468"/>
      <c r="M5468"/>
      <c r="N5468"/>
      <c r="O5468"/>
      <c r="P5468" s="225"/>
      <c r="Q5468" s="225"/>
      <c r="R5468"/>
      <c r="S5468"/>
      <c r="T5468"/>
      <c r="U5468"/>
      <c r="V5468"/>
      <c r="W5468"/>
      <c r="X5468"/>
    </row>
    <row r="5469" spans="5:24" x14ac:dyDescent="0.3">
      <c r="E5469" s="173"/>
      <c r="F5469" s="173"/>
      <c r="I5469"/>
      <c r="J5469"/>
      <c r="K5469"/>
      <c r="L5469"/>
      <c r="M5469"/>
      <c r="N5469"/>
      <c r="O5469"/>
      <c r="P5469" s="225"/>
      <c r="Q5469" s="225"/>
      <c r="R5469"/>
      <c r="S5469"/>
      <c r="T5469"/>
      <c r="U5469"/>
      <c r="V5469"/>
      <c r="W5469"/>
      <c r="X5469"/>
    </row>
    <row r="5470" spans="5:24" x14ac:dyDescent="0.3">
      <c r="E5470" s="173"/>
      <c r="F5470" s="173"/>
      <c r="I5470"/>
      <c r="J5470"/>
      <c r="K5470"/>
      <c r="L5470"/>
      <c r="M5470"/>
      <c r="N5470"/>
      <c r="O5470"/>
      <c r="P5470" s="225"/>
      <c r="Q5470" s="225"/>
      <c r="R5470"/>
      <c r="S5470"/>
      <c r="T5470"/>
      <c r="U5470"/>
      <c r="V5470"/>
      <c r="W5470"/>
      <c r="X5470"/>
    </row>
    <row r="5471" spans="5:24" x14ac:dyDescent="0.3">
      <c r="E5471" s="173"/>
      <c r="F5471" s="173"/>
      <c r="I5471"/>
      <c r="J5471"/>
      <c r="K5471"/>
      <c r="L5471"/>
      <c r="M5471"/>
      <c r="N5471"/>
      <c r="O5471"/>
      <c r="P5471" s="225"/>
      <c r="Q5471" s="225"/>
      <c r="R5471"/>
      <c r="S5471"/>
      <c r="T5471"/>
      <c r="U5471"/>
      <c r="V5471"/>
      <c r="W5471"/>
      <c r="X5471"/>
    </row>
    <row r="5472" spans="5:24" x14ac:dyDescent="0.3">
      <c r="E5472" s="173"/>
      <c r="F5472" s="173"/>
      <c r="I5472"/>
      <c r="J5472"/>
      <c r="K5472"/>
      <c r="L5472"/>
      <c r="M5472"/>
      <c r="N5472"/>
      <c r="O5472"/>
      <c r="P5472" s="225"/>
      <c r="Q5472" s="225"/>
      <c r="R5472"/>
      <c r="S5472"/>
      <c r="T5472"/>
      <c r="U5472"/>
      <c r="V5472"/>
      <c r="W5472"/>
      <c r="X5472"/>
    </row>
    <row r="5473" spans="5:24" x14ac:dyDescent="0.3">
      <c r="E5473" s="173"/>
      <c r="F5473" s="173"/>
      <c r="I5473"/>
      <c r="J5473"/>
      <c r="K5473"/>
      <c r="L5473"/>
      <c r="M5473"/>
      <c r="N5473"/>
      <c r="O5473"/>
      <c r="P5473" s="225"/>
      <c r="Q5473" s="225"/>
      <c r="R5473"/>
      <c r="S5473"/>
      <c r="T5473"/>
      <c r="U5473"/>
      <c r="V5473"/>
      <c r="W5473"/>
      <c r="X5473"/>
    </row>
    <row r="5474" spans="5:24" x14ac:dyDescent="0.3">
      <c r="E5474" s="173"/>
      <c r="F5474" s="173"/>
      <c r="I5474"/>
      <c r="J5474"/>
      <c r="K5474"/>
      <c r="L5474"/>
      <c r="M5474"/>
      <c r="N5474"/>
      <c r="O5474"/>
      <c r="P5474" s="225"/>
      <c r="Q5474" s="225"/>
      <c r="R5474"/>
      <c r="S5474"/>
      <c r="T5474"/>
      <c r="U5474"/>
      <c r="V5474"/>
      <c r="W5474"/>
      <c r="X5474"/>
    </row>
    <row r="5475" spans="5:24" x14ac:dyDescent="0.3">
      <c r="E5475" s="173"/>
      <c r="F5475" s="173"/>
      <c r="I5475"/>
      <c r="J5475"/>
      <c r="K5475"/>
      <c r="L5475"/>
      <c r="M5475"/>
      <c r="N5475"/>
      <c r="O5475"/>
      <c r="P5475" s="225"/>
      <c r="Q5475" s="225"/>
      <c r="R5475"/>
      <c r="S5475"/>
      <c r="T5475"/>
      <c r="U5475"/>
      <c r="V5475"/>
      <c r="W5475"/>
      <c r="X5475"/>
    </row>
    <row r="5476" spans="5:24" x14ac:dyDescent="0.3">
      <c r="E5476" s="173"/>
      <c r="F5476" s="173"/>
      <c r="I5476"/>
      <c r="J5476"/>
      <c r="K5476"/>
      <c r="L5476"/>
      <c r="M5476"/>
      <c r="N5476"/>
      <c r="O5476"/>
      <c r="P5476" s="225"/>
      <c r="Q5476" s="225"/>
      <c r="R5476"/>
      <c r="S5476"/>
      <c r="T5476"/>
      <c r="U5476"/>
      <c r="V5476"/>
      <c r="W5476"/>
      <c r="X5476"/>
    </row>
    <row r="5477" spans="5:24" x14ac:dyDescent="0.3">
      <c r="E5477" s="173"/>
      <c r="F5477" s="173"/>
      <c r="I5477"/>
      <c r="J5477"/>
      <c r="K5477"/>
      <c r="L5477"/>
      <c r="M5477"/>
      <c r="N5477"/>
      <c r="O5477"/>
      <c r="P5477" s="225"/>
      <c r="Q5477" s="225"/>
      <c r="R5477"/>
      <c r="S5477"/>
      <c r="T5477"/>
      <c r="U5477"/>
      <c r="V5477"/>
      <c r="W5477"/>
      <c r="X5477"/>
    </row>
    <row r="5478" spans="5:24" x14ac:dyDescent="0.3">
      <c r="E5478" s="173"/>
      <c r="F5478" s="173"/>
      <c r="I5478"/>
      <c r="J5478"/>
      <c r="K5478"/>
      <c r="L5478" s="228"/>
      <c r="M5478"/>
      <c r="N5478"/>
      <c r="O5478"/>
      <c r="P5478" s="225"/>
      <c r="Q5478" s="225"/>
      <c r="R5478"/>
      <c r="S5478"/>
      <c r="T5478"/>
      <c r="U5478"/>
      <c r="V5478"/>
      <c r="W5478"/>
    </row>
    <row r="5479" spans="5:24" x14ac:dyDescent="0.3">
      <c r="E5479" s="173"/>
      <c r="F5479" s="173"/>
      <c r="I5479"/>
      <c r="J5479"/>
      <c r="K5479"/>
      <c r="L5479" s="228"/>
      <c r="M5479"/>
      <c r="N5479"/>
      <c r="O5479"/>
      <c r="P5479" s="225"/>
      <c r="Q5479" s="225"/>
      <c r="R5479"/>
      <c r="S5479"/>
      <c r="T5479"/>
      <c r="U5479"/>
      <c r="V5479"/>
      <c r="W5479"/>
    </row>
    <row r="5480" spans="5:24" x14ac:dyDescent="0.3">
      <c r="E5480" s="173"/>
      <c r="F5480" s="173"/>
      <c r="I5480"/>
      <c r="J5480"/>
      <c r="K5480"/>
      <c r="L5480" s="228"/>
      <c r="M5480"/>
      <c r="N5480"/>
      <c r="O5480"/>
      <c r="P5480" s="225"/>
      <c r="Q5480" s="225"/>
      <c r="R5480"/>
      <c r="S5480"/>
      <c r="T5480"/>
      <c r="U5480"/>
      <c r="V5480"/>
      <c r="W5480"/>
    </row>
  </sheetData>
  <pageMargins left="0.7" right="0.7" top="0.75" bottom="0.75" header="0.3" footer="0.3"/>
  <pageSetup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G1:I12"/>
  <sheetViews>
    <sheetView workbookViewId="0"/>
  </sheetViews>
  <sheetFormatPr defaultColWidth="8.88671875" defaultRowHeight="14.4" x14ac:dyDescent="0.3"/>
  <cols>
    <col min="1" max="1" width="13.6640625" style="39" bestFit="1" customWidth="1"/>
    <col min="2" max="2" width="7.33203125" style="39" bestFit="1" customWidth="1"/>
    <col min="3" max="3" width="9.44140625" style="39" bestFit="1" customWidth="1"/>
    <col min="4" max="4" width="7.5546875" style="39" customWidth="1"/>
    <col min="5" max="5" width="15" style="39" bestFit="1" customWidth="1"/>
    <col min="6" max="6" width="25.5546875" style="39" bestFit="1" customWidth="1"/>
    <col min="7" max="7" width="10.33203125" style="117" bestFit="1" customWidth="1"/>
    <col min="8" max="8" width="10.33203125" style="39" bestFit="1" customWidth="1"/>
    <col min="9" max="9" width="5.5546875" style="118" bestFit="1" customWidth="1"/>
    <col min="10" max="10" width="4.109375" style="39" bestFit="1" customWidth="1"/>
    <col min="11" max="16384" width="8.88671875" style="39"/>
  </cols>
  <sheetData>
    <row r="1" spans="7:9" s="11" customFormat="1" x14ac:dyDescent="0.3">
      <c r="G1" s="44"/>
      <c r="I1" s="50"/>
    </row>
    <row r="2" spans="7:9" x14ac:dyDescent="0.3">
      <c r="H2" s="248"/>
    </row>
    <row r="3" spans="7:9" x14ac:dyDescent="0.3">
      <c r="H3" s="248"/>
    </row>
    <row r="4" spans="7:9" x14ac:dyDescent="0.3">
      <c r="H4" s="248"/>
    </row>
    <row r="5" spans="7:9" x14ac:dyDescent="0.3">
      <c r="H5" s="248"/>
    </row>
    <row r="6" spans="7:9" x14ac:dyDescent="0.3">
      <c r="H6" s="248"/>
    </row>
    <row r="7" spans="7:9" x14ac:dyDescent="0.3">
      <c r="H7" s="248"/>
    </row>
    <row r="8" spans="7:9" x14ac:dyDescent="0.3">
      <c r="H8" s="248"/>
    </row>
    <row r="9" spans="7:9" x14ac:dyDescent="0.3">
      <c r="H9" s="248"/>
    </row>
    <row r="10" spans="7:9" x14ac:dyDescent="0.3">
      <c r="H10" s="248"/>
    </row>
    <row r="11" spans="7:9" x14ac:dyDescent="0.3">
      <c r="H11" s="248"/>
    </row>
    <row r="12" spans="7:9" x14ac:dyDescent="0.3">
      <c r="H12" s="248"/>
    </row>
  </sheetData>
  <pageMargins left="0.7" right="0.7" top="0.75" bottom="0.75" header="0.3" footer="0.3"/>
  <pageSetup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G1:I1"/>
  <sheetViews>
    <sheetView workbookViewId="0"/>
  </sheetViews>
  <sheetFormatPr defaultColWidth="8.88671875" defaultRowHeight="14.4" x14ac:dyDescent="0.3"/>
  <cols>
    <col min="1" max="1" width="14.88671875" style="39" bestFit="1" customWidth="1"/>
    <col min="2" max="2" width="7.33203125" style="39" bestFit="1" customWidth="1"/>
    <col min="3" max="3" width="9.44140625" style="39" bestFit="1" customWidth="1"/>
    <col min="4" max="4" width="7.5546875" style="39" customWidth="1"/>
    <col min="5" max="5" width="15" style="39" bestFit="1" customWidth="1"/>
    <col min="6" max="6" width="28.44140625" style="39" bestFit="1" customWidth="1"/>
    <col min="7" max="7" width="6.88671875" style="137" bestFit="1" customWidth="1"/>
    <col min="8" max="9" width="10.33203125" style="117" bestFit="1" customWidth="1"/>
    <col min="10" max="10" width="5" style="39" customWidth="1"/>
    <col min="11" max="11" width="4.109375" style="39" bestFit="1" customWidth="1"/>
    <col min="12" max="12" width="15" style="39" customWidth="1"/>
    <col min="13" max="13" width="27.33203125" style="39" customWidth="1"/>
    <col min="14" max="15" width="7.109375" style="39" customWidth="1"/>
    <col min="16" max="16" width="5" style="39" customWidth="1"/>
    <col min="17" max="17" width="3" style="39" customWidth="1"/>
    <col min="18" max="16384" width="8.88671875" style="39"/>
  </cols>
  <sheetData>
    <row r="1" spans="7:9" s="11" customFormat="1" x14ac:dyDescent="0.3">
      <c r="G1" s="136"/>
      <c r="H1" s="44"/>
      <c r="I1" s="44"/>
    </row>
  </sheetData>
  <pageMargins left="0.7" right="0.7" top="0.75" bottom="0.75" header="0.3" footer="0.3"/>
  <pageSetup orientation="portrait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6"/>
  <sheetViews>
    <sheetView workbookViewId="0"/>
  </sheetViews>
  <sheetFormatPr defaultColWidth="9.109375" defaultRowHeight="14.4" x14ac:dyDescent="0.3"/>
  <cols>
    <col min="1" max="1" width="14.88671875" style="39" customWidth="1"/>
    <col min="2" max="2" width="7.33203125" style="39" bestFit="1" customWidth="1"/>
    <col min="3" max="3" width="9.44140625" style="39" bestFit="1" customWidth="1"/>
    <col min="4" max="4" width="7.5546875" style="39" customWidth="1"/>
    <col min="5" max="5" width="15" style="39" bestFit="1" customWidth="1"/>
    <col min="6" max="6" width="28.33203125" style="39" bestFit="1" customWidth="1"/>
    <col min="7" max="7" width="11" style="39" customWidth="1"/>
    <col min="8" max="8" width="8.5546875" style="117" bestFit="1" customWidth="1"/>
    <col min="9" max="9" width="10.88671875" style="117" customWidth="1"/>
    <col min="10" max="10" width="7" style="39" bestFit="1" customWidth="1"/>
    <col min="11" max="16384" width="9.109375" style="39"/>
  </cols>
  <sheetData>
    <row r="1" spans="1:9" s="11" customFormat="1" x14ac:dyDescent="0.3">
      <c r="H1" s="44"/>
      <c r="I1" s="44"/>
    </row>
    <row r="6" spans="1:9" x14ac:dyDescent="0.3">
      <c r="A6" s="249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H1:J11"/>
  <sheetViews>
    <sheetView workbookViewId="0"/>
  </sheetViews>
  <sheetFormatPr defaultColWidth="8.88671875" defaultRowHeight="14.4" x14ac:dyDescent="0.3"/>
  <cols>
    <col min="1" max="1" width="14" style="39" bestFit="1" customWidth="1"/>
    <col min="2" max="2" width="7.33203125" style="39" bestFit="1" customWidth="1"/>
    <col min="3" max="3" width="9.44140625" style="39" bestFit="1" customWidth="1"/>
    <col min="4" max="4" width="7.5546875" style="39" customWidth="1"/>
    <col min="5" max="5" width="15" style="39" bestFit="1" customWidth="1"/>
    <col min="6" max="6" width="4.109375" style="39" bestFit="1" customWidth="1"/>
    <col min="7" max="7" width="26.44140625" style="39" bestFit="1" customWidth="1"/>
    <col min="8" max="8" width="6.88671875" style="137" bestFit="1" customWidth="1"/>
    <col min="9" max="9" width="10.33203125" style="39" bestFit="1" customWidth="1"/>
    <col min="10" max="10" width="10.33203125" style="117" bestFit="1" customWidth="1"/>
    <col min="11" max="11" width="12.44140625" style="39" bestFit="1" customWidth="1"/>
    <col min="12" max="12" width="8.109375" style="39" customWidth="1"/>
    <col min="13" max="16384" width="8.88671875" style="39"/>
  </cols>
  <sheetData>
    <row r="1" spans="8:10" s="11" customFormat="1" x14ac:dyDescent="0.3">
      <c r="H1" s="136"/>
      <c r="I1" s="44"/>
      <c r="J1" s="44"/>
    </row>
    <row r="2" spans="8:10" x14ac:dyDescent="0.3">
      <c r="I2" s="117"/>
    </row>
    <row r="3" spans="8:10" x14ac:dyDescent="0.3">
      <c r="I3" s="117"/>
    </row>
    <row r="4" spans="8:10" x14ac:dyDescent="0.3">
      <c r="I4" s="117"/>
    </row>
    <row r="5" spans="8:10" x14ac:dyDescent="0.3">
      <c r="I5" s="117"/>
    </row>
    <row r="6" spans="8:10" x14ac:dyDescent="0.3">
      <c r="I6" s="117"/>
    </row>
    <row r="7" spans="8:10" x14ac:dyDescent="0.3">
      <c r="I7" s="117"/>
    </row>
    <row r="8" spans="8:10" x14ac:dyDescent="0.3">
      <c r="I8" s="117"/>
    </row>
    <row r="9" spans="8:10" x14ac:dyDescent="0.3">
      <c r="I9" s="117"/>
    </row>
    <row r="10" spans="8:10" x14ac:dyDescent="0.3">
      <c r="I10" s="117"/>
    </row>
    <row r="11" spans="8:10" x14ac:dyDescent="0.3">
      <c r="I11" s="117"/>
    </row>
  </sheetData>
  <pageMargins left="0.7" right="0.7" top="0.75" bottom="0.75" header="0.3" footer="0.3"/>
  <pageSetup orientation="portrait" horizontalDpi="1200" verticalDpi="12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H1:J14"/>
  <sheetViews>
    <sheetView workbookViewId="0"/>
  </sheetViews>
  <sheetFormatPr defaultColWidth="9.109375" defaultRowHeight="14.4" x14ac:dyDescent="0.3"/>
  <cols>
    <col min="1" max="1" width="36.6640625" style="39" bestFit="1" customWidth="1"/>
    <col min="2" max="2" width="7.33203125" style="39" bestFit="1" customWidth="1"/>
    <col min="3" max="3" width="9.44140625" style="39" bestFit="1" customWidth="1"/>
    <col min="4" max="4" width="16" style="39" bestFit="1" customWidth="1"/>
    <col min="5" max="5" width="4.88671875" style="39" bestFit="1" customWidth="1"/>
    <col min="6" max="6" width="27.5546875" style="39" bestFit="1" customWidth="1"/>
    <col min="7" max="7" width="14.6640625" style="39" bestFit="1" customWidth="1"/>
    <col min="8" max="9" width="10.33203125" style="39" bestFit="1" customWidth="1"/>
    <col min="10" max="10" width="4.109375" style="135" bestFit="1" customWidth="1"/>
    <col min="11" max="11" width="4.88671875" style="39" bestFit="1" customWidth="1"/>
    <col min="12" max="12" width="4.88671875" style="39" customWidth="1"/>
    <col min="13" max="13" width="18.33203125" style="39" customWidth="1"/>
    <col min="14" max="14" width="14" style="39" customWidth="1"/>
    <col min="15" max="16384" width="9.109375" style="39"/>
  </cols>
  <sheetData>
    <row r="1" spans="8:10" s="11" customFormat="1" x14ac:dyDescent="0.3">
      <c r="I1" s="44"/>
      <c r="J1" s="124"/>
    </row>
    <row r="2" spans="8:10" x14ac:dyDescent="0.3">
      <c r="H2" s="248"/>
      <c r="I2" s="117"/>
    </row>
    <row r="3" spans="8:10" x14ac:dyDescent="0.3">
      <c r="H3" s="248"/>
      <c r="I3" s="117"/>
    </row>
    <row r="4" spans="8:10" x14ac:dyDescent="0.3">
      <c r="H4" s="248"/>
      <c r="I4" s="117"/>
    </row>
    <row r="5" spans="8:10" x14ac:dyDescent="0.3">
      <c r="H5" s="248"/>
      <c r="I5" s="117"/>
    </row>
    <row r="6" spans="8:10" x14ac:dyDescent="0.3">
      <c r="H6" s="248"/>
      <c r="I6" s="117"/>
    </row>
    <row r="7" spans="8:10" x14ac:dyDescent="0.3">
      <c r="H7" s="248"/>
      <c r="I7" s="117"/>
    </row>
    <row r="8" spans="8:10" x14ac:dyDescent="0.3">
      <c r="H8" s="248"/>
      <c r="I8" s="117"/>
    </row>
    <row r="9" spans="8:10" x14ac:dyDescent="0.3">
      <c r="H9" s="248"/>
      <c r="I9" s="117"/>
    </row>
    <row r="10" spans="8:10" x14ac:dyDescent="0.3">
      <c r="H10" s="248"/>
      <c r="I10" s="117"/>
    </row>
    <row r="11" spans="8:10" x14ac:dyDescent="0.3">
      <c r="H11" s="248"/>
      <c r="I11" s="117"/>
    </row>
    <row r="12" spans="8:10" x14ac:dyDescent="0.3">
      <c r="H12" s="248"/>
      <c r="I12" s="117"/>
    </row>
    <row r="13" spans="8:10" x14ac:dyDescent="0.3">
      <c r="H13" s="248"/>
      <c r="I13" s="117"/>
    </row>
    <row r="14" spans="8:10" x14ac:dyDescent="0.3">
      <c r="H14" s="248"/>
      <c r="I14" s="117"/>
    </row>
  </sheetData>
  <pageMargins left="0.7" right="0.7" top="0.75" bottom="0.75" header="0.3" footer="0.3"/>
  <pageSetup orientation="portrait" horizontalDpi="1200" verticalDpi="12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E1:J2"/>
  <sheetViews>
    <sheetView workbookViewId="0"/>
  </sheetViews>
  <sheetFormatPr defaultColWidth="9.109375" defaultRowHeight="14.4" x14ac:dyDescent="0.3"/>
  <cols>
    <col min="1" max="1" width="14.88671875" style="39" bestFit="1" customWidth="1"/>
    <col min="2" max="2" width="7.33203125" style="39" bestFit="1" customWidth="1"/>
    <col min="3" max="3" width="9.44140625" style="39" bestFit="1" customWidth="1"/>
    <col min="4" max="4" width="16" style="39" bestFit="1" customWidth="1"/>
    <col min="5" max="5" width="15" style="39" bestFit="1" customWidth="1"/>
    <col min="6" max="6" width="14.109375" style="39" bestFit="1" customWidth="1"/>
    <col min="7" max="7" width="4.5546875" style="39" customWidth="1"/>
    <col min="8" max="8" width="7" style="39" bestFit="1" customWidth="1"/>
    <col min="9" max="9" width="10.33203125" style="117" bestFit="1" customWidth="1"/>
    <col min="10" max="10" width="12.44140625" style="118" bestFit="1" customWidth="1"/>
    <col min="11" max="16384" width="9.109375" style="39"/>
  </cols>
  <sheetData>
    <row r="1" spans="5:10" s="11" customFormat="1" x14ac:dyDescent="0.3">
      <c r="I1" s="44"/>
      <c r="J1" s="50"/>
    </row>
    <row r="2" spans="5:10" x14ac:dyDescent="0.3">
      <c r="E2" s="248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G1:L12"/>
  <sheetViews>
    <sheetView workbookViewId="0"/>
  </sheetViews>
  <sheetFormatPr defaultColWidth="9.109375" defaultRowHeight="14.4" x14ac:dyDescent="0.3"/>
  <cols>
    <col min="1" max="1" width="25.5546875" style="39" bestFit="1" customWidth="1"/>
    <col min="2" max="2" width="7.33203125" style="39" bestFit="1" customWidth="1"/>
    <col min="3" max="3" width="9.44140625" style="39" bestFit="1" customWidth="1"/>
    <col min="4" max="4" width="7.5546875" style="39" customWidth="1"/>
    <col min="5" max="5" width="15" style="39" bestFit="1" customWidth="1"/>
    <col min="6" max="6" width="4" style="39" bestFit="1" customWidth="1"/>
    <col min="7" max="7" width="19.88671875" style="39" bestFit="1" customWidth="1"/>
    <col min="8" max="8" width="6" style="39" customWidth="1"/>
    <col min="9" max="9" width="9" style="135" bestFit="1" customWidth="1"/>
    <col min="10" max="10" width="10.33203125" style="39" bestFit="1" customWidth="1"/>
    <col min="11" max="11" width="10.33203125" style="117" bestFit="1" customWidth="1"/>
    <col min="12" max="12" width="4.88671875" style="118" bestFit="1" customWidth="1"/>
    <col min="13" max="13" width="4.109375" style="39" bestFit="1" customWidth="1"/>
    <col min="14" max="16384" width="9.109375" style="39"/>
  </cols>
  <sheetData>
    <row r="1" spans="7:12" s="11" customFormat="1" x14ac:dyDescent="0.3">
      <c r="I1" s="124"/>
      <c r="K1" s="44"/>
      <c r="L1" s="50"/>
    </row>
    <row r="2" spans="7:12" x14ac:dyDescent="0.3">
      <c r="J2" s="248"/>
    </row>
    <row r="3" spans="7:12" x14ac:dyDescent="0.3">
      <c r="J3" s="248"/>
    </row>
    <row r="4" spans="7:12" x14ac:dyDescent="0.3">
      <c r="J4" s="248"/>
    </row>
    <row r="5" spans="7:12" x14ac:dyDescent="0.3">
      <c r="J5" s="248"/>
    </row>
    <row r="6" spans="7:12" x14ac:dyDescent="0.3">
      <c r="J6" s="248"/>
    </row>
    <row r="7" spans="7:12" x14ac:dyDescent="0.3">
      <c r="J7" s="248"/>
    </row>
    <row r="8" spans="7:12" x14ac:dyDescent="0.3">
      <c r="J8" s="248"/>
    </row>
    <row r="9" spans="7:12" x14ac:dyDescent="0.3">
      <c r="J9" s="248"/>
    </row>
    <row r="12" spans="7:12" x14ac:dyDescent="0.3">
      <c r="G12" s="117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G1:K1"/>
  <sheetViews>
    <sheetView workbookViewId="0"/>
  </sheetViews>
  <sheetFormatPr defaultColWidth="9.109375" defaultRowHeight="14.4" x14ac:dyDescent="0.3"/>
  <cols>
    <col min="1" max="1" width="2.88671875" style="39" bestFit="1" customWidth="1"/>
    <col min="2" max="2" width="7.33203125" style="39" bestFit="1" customWidth="1"/>
    <col min="3" max="3" width="9.44140625" style="39" bestFit="1" customWidth="1"/>
    <col min="4" max="4" width="7.5546875" style="39" customWidth="1"/>
    <col min="5" max="5" width="15" style="39" bestFit="1" customWidth="1"/>
    <col min="6" max="6" width="23.88671875" style="39" bestFit="1" customWidth="1"/>
    <col min="7" max="7" width="6.88671875" style="135" bestFit="1" customWidth="1"/>
    <col min="8" max="8" width="4.109375" style="39" bestFit="1" customWidth="1"/>
    <col min="9" max="10" width="10.33203125" style="117" bestFit="1" customWidth="1"/>
    <col min="11" max="11" width="12.44140625" style="118" bestFit="1" customWidth="1"/>
    <col min="12" max="16384" width="9.109375" style="39"/>
  </cols>
  <sheetData>
    <row r="1" spans="7:11" s="11" customFormat="1" x14ac:dyDescent="0.3">
      <c r="G1" s="124"/>
      <c r="I1" s="44"/>
      <c r="J1" s="44"/>
      <c r="K1" s="50"/>
    </row>
  </sheetData>
  <pageMargins left="0.7" right="0.7" top="0.75" bottom="0.75" header="0.3" footer="0.3"/>
  <pageSetup orientation="portrait" horizontalDpi="1200" verticalDpi="120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E1:L3"/>
  <sheetViews>
    <sheetView workbookViewId="0"/>
  </sheetViews>
  <sheetFormatPr defaultColWidth="9.109375" defaultRowHeight="14.4" x14ac:dyDescent="0.3"/>
  <cols>
    <col min="1" max="1" width="7.33203125" style="39" bestFit="1" customWidth="1"/>
    <col min="2" max="2" width="9.44140625" style="39" bestFit="1" customWidth="1"/>
    <col min="3" max="3" width="7.5546875" style="39" bestFit="1" customWidth="1"/>
    <col min="4" max="4" width="15" style="39" bestFit="1" customWidth="1"/>
    <col min="5" max="5" width="9.88671875" style="250" bestFit="1" customWidth="1"/>
    <col min="6" max="6" width="17.6640625" style="250" bestFit="1" customWidth="1"/>
    <col min="7" max="7" width="18.6640625" style="251" bestFit="1" customWidth="1"/>
    <col min="8" max="8" width="10.88671875" style="250" bestFit="1" customWidth="1"/>
    <col min="9" max="10" width="10.33203125" style="250" bestFit="1" customWidth="1"/>
    <col min="11" max="11" width="13.88671875" style="118" bestFit="1" customWidth="1"/>
    <col min="12" max="12" width="4.88671875" style="118" bestFit="1" customWidth="1"/>
    <col min="13" max="25" width="14" style="39" bestFit="1" customWidth="1"/>
    <col min="26" max="26" width="9.109375" style="39"/>
    <col min="27" max="27" width="9.44140625" style="39" bestFit="1" customWidth="1"/>
    <col min="28" max="28" width="5.88671875" style="39" bestFit="1" customWidth="1"/>
    <col min="29" max="29" width="15" style="39" bestFit="1" customWidth="1"/>
    <col min="30" max="16384" width="9.109375" style="39"/>
  </cols>
  <sheetData>
    <row r="1" spans="5:12" s="11" customFormat="1" x14ac:dyDescent="0.3">
      <c r="E1" s="226"/>
      <c r="F1" s="226"/>
      <c r="G1" s="227"/>
      <c r="H1" s="226"/>
      <c r="I1" s="226"/>
      <c r="J1" s="226"/>
      <c r="K1" s="50"/>
    </row>
    <row r="2" spans="5:12" x14ac:dyDescent="0.3">
      <c r="L2" s="39"/>
    </row>
    <row r="3" spans="5:12" x14ac:dyDescent="0.3">
      <c r="L3" s="39"/>
    </row>
  </sheetData>
  <pageMargins left="0.7" right="0.7" top="0.75" bottom="0.75" header="0.3" footer="0.3"/>
  <pageSetup orientation="portrait" horizontalDpi="1200" verticalDpi="120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workbookViewId="0"/>
  </sheetViews>
  <sheetFormatPr defaultColWidth="9.109375" defaultRowHeight="14.4" x14ac:dyDescent="0.3"/>
  <cols>
    <col min="1" max="1" width="12.5546875" style="39" bestFit="1" customWidth="1"/>
    <col min="2" max="2" width="21.109375" style="39" bestFit="1" customWidth="1"/>
    <col min="3" max="3" width="16.109375" style="39" bestFit="1" customWidth="1"/>
    <col min="4" max="4" width="14.88671875" style="39" bestFit="1" customWidth="1"/>
    <col min="5" max="16384" width="9.109375" style="39"/>
  </cols>
  <sheetData>
    <row r="1" s="11" customFormat="1" x14ac:dyDescent="0.3"/>
  </sheetData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ESTmep_import" Type="http://schemas.openxmlformats.org/officeDocument/2006/relationships/image" Target="images/ESTmep_import.png"/></Relationships>
</file>

<file path=customUI/customUI14.xml><?xml version="1.0" encoding="utf-8"?>
<customUI xmlns="http://schemas.microsoft.com/office/2009/07/customui">
  <ribbon startFromScratch="false">
    <tabs>
      <tab id="ESTmep" label="ESTmep">
        <group id="Import" label="ESTmep Data">
          <button id="ImportEST" label="Import" image="ESTmep_import" size="large" onAction="Button_ImportEstimate"/>
          <button id="ClearEST" label="Clear" imageMso="Clear" size="large" onAction="Button_ClearESTdata"/>
        </group>
        <group id="Vis" label="Takeoff Sheets">
          <button id="HideData" label="Hide" imageMso="VisibilityHidden" size="large" onAction="HideDataSheets"/>
          <button id="ShowData" label="Show" imageMso="VisibilityVisible" size="large" onAction="ShowDataSheets"/>
        </group>
        <group id="Themes" label="Themes">
          <button id="GreenTheme" label=" " imageMso="AppointmentColor3" size="normal" onAction="ChangeTheme_Green"/>
          <button id="BlueTheme" label=" " imageMso="AppointmentColor2" size="normal" onAction="ChangeTheme_Blue"/>
          <button id="GrayTheme" label=" " imageMso="AppointmentColor4" size="normal" onAction="ChangeTheme_Gray"/>
        </group>
        <group id="LaborRates" label="Labor Rates">
          <editBox id="ShopLaborRate" label="Shop $" sizeString="xxxxxxx" maxLength="6" onChange="SetShopLaborRate" getText="GetShopLaborRate"/>
          <editBox id="FieldLaborRate" label="Field $" sizeString="xxxxxxx" maxLength="6" onChange="SetFieldLaborRate" getText="GetFieldLaborRate"/>
          <editBox id="SupervisionLaborRate" label="Supervision $" sizeString="xxxxxxx" maxLength="6" onChange="SetSupervisionLaborRate" getText="GetSupervisionLaborRat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8EBA3E-D04C-4401-8B78-B5102EBC96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53</vt:i4>
      </vt:variant>
    </vt:vector>
  </HeadingPairs>
  <TitlesOfParts>
    <vt:vector size="78" baseType="lpstr">
      <vt:lpstr>Summary</vt:lpstr>
      <vt:lpstr>Ductwork</vt:lpstr>
      <vt:lpstr>Accessories</vt:lpstr>
      <vt:lpstr>Dampers</vt:lpstr>
      <vt:lpstr>Air Distribution</vt:lpstr>
      <vt:lpstr>Equipment</vt:lpstr>
      <vt:lpstr>Ancillaries</vt:lpstr>
      <vt:lpstr>Hangers</vt:lpstr>
      <vt:lpstr>Flex Duct</vt:lpstr>
      <vt:lpstr>Lists</vt:lpstr>
      <vt:lpstr>Sleeves</vt:lpstr>
      <vt:lpstr>Insulation</vt:lpstr>
      <vt:lpstr>Other Cost</vt:lpstr>
      <vt:lpstr>Settings</vt:lpstr>
      <vt:lpstr>SM-EST-Duct</vt:lpstr>
      <vt:lpstr>SM-EST-Accessories</vt:lpstr>
      <vt:lpstr>SM-EST-Dampers</vt:lpstr>
      <vt:lpstr>SM-EST-Ancillaries</vt:lpstr>
      <vt:lpstr>SM-EST-Hangers</vt:lpstr>
      <vt:lpstr>SM-EST-Equipment</vt:lpstr>
      <vt:lpstr>SM-EST-Flex Duct</vt:lpstr>
      <vt:lpstr>SM-EST-GRDs</vt:lpstr>
      <vt:lpstr>SM-EST-Sleeves</vt:lpstr>
      <vt:lpstr>SM-EST-Insulation</vt:lpstr>
      <vt:lpstr>SM-EST-Job Info</vt:lpstr>
      <vt:lpstr>EstimateNo</vt:lpstr>
      <vt:lpstr>EstimatorName</vt:lpstr>
      <vt:lpstr>Lists!Extract</vt:lpstr>
      <vt:lpstr>JobAddress</vt:lpstr>
      <vt:lpstr>JobName</vt:lpstr>
      <vt:lpstr>Labor_TotalField</vt:lpstr>
      <vt:lpstr>Labor_TotalShop</vt:lpstr>
      <vt:lpstr>ProfitMargin</vt:lpstr>
      <vt:lpstr>ProjectAddress</vt:lpstr>
      <vt:lpstr>ProjectName</vt:lpstr>
      <vt:lpstr>Insulation!Rentals</vt:lpstr>
      <vt:lpstr>Rentals</vt:lpstr>
      <vt:lpstr>SalesTaxRate</vt:lpstr>
      <vt:lpstr>SM_AccessoriesName</vt:lpstr>
      <vt:lpstr>SM_AncillaryName</vt:lpstr>
      <vt:lpstr>SM_Area</vt:lpstr>
      <vt:lpstr>SM_BoughtOut</vt:lpstr>
      <vt:lpstr>SM_CutType</vt:lpstr>
      <vt:lpstr>SM_DamperName</vt:lpstr>
      <vt:lpstr>SM_DrawingNumber</vt:lpstr>
      <vt:lpstr>SM_EquipmentName</vt:lpstr>
      <vt:lpstr>'SM-EST-Accessories'!SM_EST_Accessories</vt:lpstr>
      <vt:lpstr>'SM-EST-Ancillaries'!SM_EST_Ancillaries</vt:lpstr>
      <vt:lpstr>'SM-EST-Dampers'!SM_EST_Dampers</vt:lpstr>
      <vt:lpstr>'SM-EST-Duct'!SM_EST_Duct</vt:lpstr>
      <vt:lpstr>'SM-EST-Equipment'!SM_EST_Equipment</vt:lpstr>
      <vt:lpstr>'SM-EST-Flex Duct'!SM_EST_Flex_Duct</vt:lpstr>
      <vt:lpstr>'SM-EST-GRDs'!SM_EST_GRDs</vt:lpstr>
      <vt:lpstr>'SM-EST-Hangers'!SM_EST_Hangers</vt:lpstr>
      <vt:lpstr>'SM-EST-Insulation'!SM_EST_Insulation</vt:lpstr>
      <vt:lpstr>'SM-EST-Job Info'!SM_EST_Job_Info</vt:lpstr>
      <vt:lpstr>'SM-EST-Sleeves'!SM_EST_Sleeves</vt:lpstr>
      <vt:lpstr>SM_Etime</vt:lpstr>
      <vt:lpstr>SM_FieldLaborRate</vt:lpstr>
      <vt:lpstr>SM_FittingType</vt:lpstr>
      <vt:lpstr>SM_FlexDuctName</vt:lpstr>
      <vt:lpstr>SM_Ftime</vt:lpstr>
      <vt:lpstr>SM_Gauge</vt:lpstr>
      <vt:lpstr>SM_GRDName</vt:lpstr>
      <vt:lpstr>SM_HangerName</vt:lpstr>
      <vt:lpstr>SM_InsulationMaterial</vt:lpstr>
      <vt:lpstr>SM_Length</vt:lpstr>
      <vt:lpstr>SM_Material</vt:lpstr>
      <vt:lpstr>SM_MaterialCost</vt:lpstr>
      <vt:lpstr>SM_PriceListCost</vt:lpstr>
      <vt:lpstr>SM_Qty</vt:lpstr>
      <vt:lpstr>SM_ServiceType</vt:lpstr>
      <vt:lpstr>SM_ShopLaborRate</vt:lpstr>
      <vt:lpstr>SM_SleeveName</vt:lpstr>
      <vt:lpstr>SM_Weight</vt:lpstr>
      <vt:lpstr>SubcontractMarkup</vt:lpstr>
      <vt:lpstr>Insulation!Subcontracts</vt:lpstr>
      <vt:lpstr>Subcontracts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Hendricks</dc:creator>
  <cp:lastModifiedBy>Scott Hendricks</cp:lastModifiedBy>
  <cp:lastPrinted>2018-03-01T15:48:46Z</cp:lastPrinted>
  <dcterms:created xsi:type="dcterms:W3CDTF">2017-05-16T18:48:21Z</dcterms:created>
  <dcterms:modified xsi:type="dcterms:W3CDTF">2018-03-26T19:08:17Z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b96344ab-5c20-4dee-a427-93e6a3f35bcf</vt:lpwstr>
  </property>
</Properties>
</file>