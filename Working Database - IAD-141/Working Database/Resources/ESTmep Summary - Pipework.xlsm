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56200ffb268c4bc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 (Personal)\ASTI\Projects\EST Summary Sheet\"/>
    </mc:Choice>
  </mc:AlternateContent>
  <bookViews>
    <workbookView xWindow="0" yWindow="38892" windowWidth="28800" windowHeight="12348" tabRatio="753" firstSheet="1" activeTab="11"/>
  </bookViews>
  <sheets>
    <sheet name="Summary" sheetId="1" state="hidden" r:id="rId1"/>
    <sheet name="Pipe" sheetId="27" r:id="rId2"/>
    <sheet name="Fittings" sheetId="31" r:id="rId3"/>
    <sheet name="Valves" sheetId="26" r:id="rId4"/>
    <sheet name="Accessories" sheetId="25" r:id="rId5"/>
    <sheet name="Hangers" sheetId="28" r:id="rId6"/>
    <sheet name="Sleeves" sheetId="30" r:id="rId7"/>
    <sheet name="Equipment" sheetId="4" r:id="rId8"/>
    <sheet name="Ancillaries" sheetId="3" r:id="rId9"/>
    <sheet name="Other Cost" sheetId="23" state="hidden" r:id="rId10"/>
    <sheet name="Settings" sheetId="7" state="hidden" r:id="rId11"/>
    <sheet name="Supplier Pricing" sheetId="33" r:id="rId12"/>
    <sheet name="Supplier Pricing - pipe" sheetId="34" r:id="rId13"/>
    <sheet name="Lists" sheetId="11" r:id="rId14"/>
    <sheet name="P-EST-Pipe" sheetId="21" r:id="rId15"/>
    <sheet name="P-EST-Fittings" sheetId="32" r:id="rId16"/>
    <sheet name="P-EST-Valves" sheetId="17" r:id="rId17"/>
    <sheet name="P-EST-Accessories" sheetId="14" r:id="rId18"/>
    <sheet name="P-EST-Hangers" sheetId="13" r:id="rId19"/>
    <sheet name="P-EST-Sleeves" sheetId="22" r:id="rId20"/>
    <sheet name="P-EST-Equipment" sheetId="12" r:id="rId21"/>
    <sheet name="P-EST-Ancillaries" sheetId="6" r:id="rId22"/>
    <sheet name="P-EST-Job Info" sheetId="18" r:id="rId23"/>
  </sheets>
  <definedNames>
    <definedName name="_xlnm._FilterDatabase" localSheetId="17" hidden="1">'P-EST-Accessories'!$F:$F</definedName>
    <definedName name="_xlnm._FilterDatabase" localSheetId="21" hidden="1">'P-EST-Ancillaries'!$F:$F</definedName>
    <definedName name="_xlnm._FilterDatabase" localSheetId="20" hidden="1">'P-EST-Equipment'!$F:$F</definedName>
    <definedName name="_xlnm._FilterDatabase" localSheetId="15" hidden="1">'P-EST-Fittings'!$F:$F</definedName>
    <definedName name="_xlnm._FilterDatabase" localSheetId="18" hidden="1">'P-EST-Hangers'!$F:$F</definedName>
    <definedName name="_xlnm._FilterDatabase" localSheetId="14" hidden="1">'P-EST-Pipe'!$F:$F</definedName>
    <definedName name="_xlnm._FilterDatabase" localSheetId="19" hidden="1">'P-EST-Sleeves'!$F:$F</definedName>
    <definedName name="_xlnm._FilterDatabase" localSheetId="16" hidden="1">'P-EST-Valves'!$F:$F</definedName>
    <definedName name="EST_Job_Info" localSheetId="22">'P-EST-Job Info'!$A$1:$D$2</definedName>
    <definedName name="EstimateNo">'P-EST-Job Info'!$C$2</definedName>
    <definedName name="EstimatorName">'P-EST-Job Info'!$D$2</definedName>
    <definedName name="_xlnm.Extract" localSheetId="13">Lists!$G$1</definedName>
    <definedName name="JobAddress">'P-EST-Job Info'!$B$2</definedName>
    <definedName name="JobName">'P-EST-Job Info'!$A$2</definedName>
    <definedName name="Labor_Total">Summary!$E$19</definedName>
    <definedName name="P_AccessoryName">'P-EST-Accessories'!$F:$F</definedName>
    <definedName name="P_AncillaryName">'P-EST-Ancillaries'!$F:$F</definedName>
    <definedName name="P_EquipmentName">'P-EST-Equipment'!$F:$F</definedName>
    <definedName name="P_EST_Accessories" localSheetId="17">'P-EST-Accessories'!$A$1:$K$3</definedName>
    <definedName name="P_EST_Ancillaries" localSheetId="21">'P-EST-Ancillaries'!$A$1:$L$37</definedName>
    <definedName name="P_EST_Equipment" localSheetId="20">'P-EST-Equipment'!$A$1:$K$1</definedName>
    <definedName name="P_EST_Fittings" localSheetId="15">'P-EST-Fittings'!$A$1:$K$5</definedName>
    <definedName name="P_EST_Hangers" localSheetId="18">'P-EST-Hangers'!$A$1:$K$1</definedName>
    <definedName name="P_EST_Pipe" localSheetId="14">'P-EST-Pipe'!$A$1:$K$4</definedName>
    <definedName name="P_EST_Sleeves" localSheetId="19">'P-EST-Sleeves'!$A$1:$K$1</definedName>
    <definedName name="P_EST_Valves" localSheetId="16">'P-EST-Valves'!$A$1:$K$1</definedName>
    <definedName name="P_FittingName">'P-EST-Fittings'!$F:$F</definedName>
    <definedName name="P_HangerName">'P-EST-Hangers'!$F:$F</definedName>
    <definedName name="P_PipeMaterial">'P-EST-Pipe'!$G:$G</definedName>
    <definedName name="P_PipeName">'P-EST-Pipe'!$F:$F</definedName>
    <definedName name="P_SleeveName">'P-EST-Sleeves'!$F:$F</definedName>
    <definedName name="P_ValveName">'P-EST-Valves'!$F:$F</definedName>
    <definedName name="ProfitMargin">Settings!$C$22</definedName>
    <definedName name="ProjectAddress">'P-EST-Job Info'!$B$2</definedName>
    <definedName name="ProjectName">'P-EST-Job Info'!$A$2</definedName>
    <definedName name="Rentals">SubcontractsRentals[Rentals]</definedName>
    <definedName name="SalesTaxRate">Settings!$C$20</definedName>
    <definedName name="SubcontractMarkup">Settings!$C$21</definedName>
    <definedName name="Subcontracts">SubcontractsRentals[Subcontracts]</definedName>
    <definedName name="Supplier_Provided_Pricing___pipe" localSheetId="12">'Supplier Pricing - pipe'!$A$1:$K$3</definedName>
    <definedName name="Supplier_Provided_Pricing_1" localSheetId="11">'Supplier Pricing'!$A$1:$K$6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3" l="1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2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233" i="17"/>
  <c r="M234" i="17"/>
  <c r="M235" i="17"/>
  <c r="M236" i="17"/>
  <c r="M237" i="17"/>
  <c r="M238" i="17"/>
  <c r="M239" i="17"/>
  <c r="M240" i="17"/>
  <c r="M241" i="17"/>
  <c r="M242" i="17"/>
  <c r="M243" i="17"/>
  <c r="M244" i="17"/>
  <c r="M245" i="17"/>
  <c r="M246" i="17"/>
  <c r="M247" i="17"/>
  <c r="M248" i="17"/>
  <c r="M249" i="17"/>
  <c r="M250" i="17"/>
  <c r="M251" i="17"/>
  <c r="M252" i="17"/>
  <c r="M253" i="17"/>
  <c r="M254" i="17"/>
  <c r="M255" i="17"/>
  <c r="M256" i="17"/>
  <c r="M257" i="17"/>
  <c r="M258" i="17"/>
  <c r="M259" i="17"/>
  <c r="M260" i="17"/>
  <c r="M261" i="17"/>
  <c r="M262" i="17"/>
  <c r="M263" i="17"/>
  <c r="M264" i="17"/>
  <c r="M265" i="17"/>
  <c r="M266" i="17"/>
  <c r="M267" i="17"/>
  <c r="M268" i="17"/>
  <c r="M269" i="17"/>
  <c r="M270" i="17"/>
  <c r="M271" i="17"/>
  <c r="M272" i="17"/>
  <c r="M273" i="17"/>
  <c r="M274" i="17"/>
  <c r="M275" i="17"/>
  <c r="M276" i="17"/>
  <c r="M277" i="17"/>
  <c r="M278" i="17"/>
  <c r="M279" i="17"/>
  <c r="M280" i="17"/>
  <c r="M281" i="17"/>
  <c r="M282" i="17"/>
  <c r="M283" i="17"/>
  <c r="M284" i="17"/>
  <c r="M285" i="17"/>
  <c r="M286" i="17"/>
  <c r="M287" i="17"/>
  <c r="M288" i="17"/>
  <c r="M289" i="17"/>
  <c r="M290" i="17"/>
  <c r="M291" i="17"/>
  <c r="M292" i="17"/>
  <c r="M293" i="17"/>
  <c r="M294" i="17"/>
  <c r="M295" i="17"/>
  <c r="M296" i="17"/>
  <c r="M297" i="17"/>
  <c r="M298" i="17"/>
  <c r="M299" i="17"/>
  <c r="M300" i="17"/>
  <c r="M301" i="17"/>
  <c r="M302" i="17"/>
  <c r="M303" i="17"/>
  <c r="M304" i="17"/>
  <c r="M305" i="17"/>
  <c r="M306" i="17"/>
  <c r="M307" i="17"/>
  <c r="M308" i="17"/>
  <c r="M309" i="17"/>
  <c r="M310" i="17"/>
  <c r="M311" i="17"/>
  <c r="M312" i="17"/>
  <c r="M313" i="17"/>
  <c r="M314" i="17"/>
  <c r="M315" i="17"/>
  <c r="M316" i="17"/>
  <c r="M317" i="17"/>
  <c r="M318" i="17"/>
  <c r="M319" i="17"/>
  <c r="M320" i="17"/>
  <c r="M321" i="17"/>
  <c r="M322" i="17"/>
  <c r="M323" i="17"/>
  <c r="M324" i="17"/>
  <c r="M325" i="17"/>
  <c r="M326" i="17"/>
  <c r="M327" i="17"/>
  <c r="M328" i="17"/>
  <c r="M329" i="17"/>
  <c r="M330" i="17"/>
  <c r="M331" i="17"/>
  <c r="M332" i="17"/>
  <c r="M333" i="17"/>
  <c r="M334" i="17"/>
  <c r="M335" i="17"/>
  <c r="M336" i="17"/>
  <c r="M337" i="17"/>
  <c r="M338" i="17"/>
  <c r="M339" i="17"/>
  <c r="M340" i="17"/>
  <c r="M341" i="17"/>
  <c r="M342" i="17"/>
  <c r="M343" i="17"/>
  <c r="M344" i="17"/>
  <c r="M345" i="17"/>
  <c r="M346" i="17"/>
  <c r="M347" i="17"/>
  <c r="M348" i="17"/>
  <c r="M349" i="17"/>
  <c r="M350" i="17"/>
  <c r="M351" i="17"/>
  <c r="M352" i="17"/>
  <c r="M353" i="17"/>
  <c r="M354" i="17"/>
  <c r="M355" i="17"/>
  <c r="M356" i="17"/>
  <c r="M357" i="17"/>
  <c r="M358" i="17"/>
  <c r="M359" i="17"/>
  <c r="M360" i="17"/>
  <c r="M361" i="17"/>
  <c r="M362" i="17"/>
  <c r="M363" i="17"/>
  <c r="M364" i="17"/>
  <c r="M365" i="17"/>
  <c r="M366" i="17"/>
  <c r="M367" i="17"/>
  <c r="M368" i="17"/>
  <c r="M369" i="17"/>
  <c r="M370" i="17"/>
  <c r="M371" i="17"/>
  <c r="M372" i="17"/>
  <c r="M373" i="17"/>
  <c r="M374" i="17"/>
  <c r="M375" i="17"/>
  <c r="M376" i="17"/>
  <c r="M377" i="17"/>
  <c r="M378" i="17"/>
  <c r="M379" i="17"/>
  <c r="M380" i="17"/>
  <c r="M381" i="17"/>
  <c r="M382" i="17"/>
  <c r="M383" i="17"/>
  <c r="M384" i="17"/>
  <c r="M385" i="17"/>
  <c r="M386" i="17"/>
  <c r="M387" i="17"/>
  <c r="M388" i="17"/>
  <c r="M389" i="17"/>
  <c r="M390" i="17"/>
  <c r="M391" i="17"/>
  <c r="M392" i="17"/>
  <c r="M393" i="17"/>
  <c r="M394" i="17"/>
  <c r="M395" i="17"/>
  <c r="M396" i="17"/>
  <c r="M397" i="17"/>
  <c r="M398" i="17"/>
  <c r="M399" i="17"/>
  <c r="M400" i="17"/>
  <c r="M401" i="17"/>
  <c r="M402" i="17"/>
  <c r="M403" i="17"/>
  <c r="M404" i="17"/>
  <c r="M405" i="17"/>
  <c r="M406" i="17"/>
  <c r="M407" i="17"/>
  <c r="M408" i="17"/>
  <c r="M409" i="17"/>
  <c r="M410" i="17"/>
  <c r="M411" i="17"/>
  <c r="M412" i="17"/>
  <c r="M413" i="17"/>
  <c r="M414" i="17"/>
  <c r="M415" i="17"/>
  <c r="M416" i="17"/>
  <c r="M417" i="17"/>
  <c r="M418" i="17"/>
  <c r="M419" i="17"/>
  <c r="M420" i="17"/>
  <c r="M421" i="17"/>
  <c r="M422" i="17"/>
  <c r="M423" i="17"/>
  <c r="M424" i="17"/>
  <c r="M425" i="17"/>
  <c r="M426" i="17"/>
  <c r="M427" i="17"/>
  <c r="M428" i="17"/>
  <c r="M429" i="17"/>
  <c r="M430" i="17"/>
  <c r="M431" i="17"/>
  <c r="M432" i="17"/>
  <c r="M433" i="17"/>
  <c r="M434" i="17"/>
  <c r="M435" i="17"/>
  <c r="M436" i="17"/>
  <c r="M437" i="17"/>
  <c r="M438" i="17"/>
  <c r="M439" i="17"/>
  <c r="M440" i="17"/>
  <c r="M441" i="17"/>
  <c r="M442" i="17"/>
  <c r="M443" i="17"/>
  <c r="M444" i="17"/>
  <c r="M445" i="17"/>
  <c r="M446" i="17"/>
  <c r="M447" i="17"/>
  <c r="M448" i="17"/>
  <c r="M449" i="17"/>
  <c r="M450" i="17"/>
  <c r="M451" i="17"/>
  <c r="M452" i="17"/>
  <c r="M453" i="17"/>
  <c r="M454" i="17"/>
  <c r="M455" i="17"/>
  <c r="M456" i="17"/>
  <c r="M457" i="17"/>
  <c r="M458" i="17"/>
  <c r="M459" i="17"/>
  <c r="M460" i="17"/>
  <c r="M461" i="17"/>
  <c r="M462" i="17"/>
  <c r="M463" i="17"/>
  <c r="M464" i="17"/>
  <c r="M465" i="17"/>
  <c r="M466" i="17"/>
  <c r="M467" i="17"/>
  <c r="M468" i="17"/>
  <c r="M469" i="17"/>
  <c r="M470" i="17"/>
  <c r="M471" i="17"/>
  <c r="M472" i="17"/>
  <c r="M473" i="17"/>
  <c r="M474" i="17"/>
  <c r="M475" i="17"/>
  <c r="M476" i="17"/>
  <c r="M477" i="17"/>
  <c r="M478" i="17"/>
  <c r="M479" i="17"/>
  <c r="M480" i="17"/>
  <c r="M481" i="17"/>
  <c r="M482" i="17"/>
  <c r="M483" i="17"/>
  <c r="M484" i="17"/>
  <c r="M485" i="17"/>
  <c r="M486" i="17"/>
  <c r="M487" i="17"/>
  <c r="M488" i="17"/>
  <c r="M489" i="17"/>
  <c r="M490" i="17"/>
  <c r="M491" i="17"/>
  <c r="M492" i="17"/>
  <c r="M493" i="17"/>
  <c r="M494" i="17"/>
  <c r="M495" i="17"/>
  <c r="M496" i="17"/>
  <c r="M497" i="17"/>
  <c r="M498" i="17"/>
  <c r="M499" i="17"/>
  <c r="M500" i="17"/>
  <c r="M501" i="17"/>
  <c r="M502" i="17"/>
  <c r="M503" i="17"/>
  <c r="M504" i="17"/>
  <c r="M505" i="17"/>
  <c r="M506" i="17"/>
  <c r="M507" i="17"/>
  <c r="M508" i="17"/>
  <c r="M509" i="17"/>
  <c r="M510" i="17"/>
  <c r="M511" i="17"/>
  <c r="M512" i="17"/>
  <c r="M513" i="17"/>
  <c r="M514" i="17"/>
  <c r="M515" i="17"/>
  <c r="M516" i="17"/>
  <c r="M517" i="17"/>
  <c r="M518" i="17"/>
  <c r="M519" i="17"/>
  <c r="M520" i="17"/>
  <c r="M521" i="17"/>
  <c r="M522" i="17"/>
  <c r="M523" i="17"/>
  <c r="M524" i="17"/>
  <c r="M525" i="17"/>
  <c r="M526" i="17"/>
  <c r="M527" i="17"/>
  <c r="M528" i="17"/>
  <c r="M529" i="17"/>
  <c r="M530" i="17"/>
  <c r="M531" i="17"/>
  <c r="M532" i="17"/>
  <c r="M533" i="17"/>
  <c r="M534" i="17"/>
  <c r="M535" i="17"/>
  <c r="M536" i="17"/>
  <c r="M537" i="17"/>
  <c r="M538" i="17"/>
  <c r="M539" i="17"/>
  <c r="M540" i="17"/>
  <c r="M541" i="17"/>
  <c r="M542" i="17"/>
  <c r="M543" i="17"/>
  <c r="M544" i="17"/>
  <c r="M545" i="17"/>
  <c r="M546" i="17"/>
  <c r="M547" i="17"/>
  <c r="M548" i="17"/>
  <c r="M549" i="17"/>
  <c r="M550" i="17"/>
  <c r="M551" i="17"/>
  <c r="M552" i="17"/>
  <c r="M553" i="17"/>
  <c r="M554" i="17"/>
  <c r="M555" i="17"/>
  <c r="M556" i="17"/>
  <c r="M557" i="17"/>
  <c r="M558" i="17"/>
  <c r="M559" i="17"/>
  <c r="M560" i="17"/>
  <c r="M561" i="17"/>
  <c r="M562" i="17"/>
  <c r="M563" i="17"/>
  <c r="M564" i="17"/>
  <c r="M565" i="17"/>
  <c r="M566" i="17"/>
  <c r="M567" i="17"/>
  <c r="M568" i="17"/>
  <c r="M569" i="17"/>
  <c r="M570" i="17"/>
  <c r="M571" i="17"/>
  <c r="M572" i="17"/>
  <c r="M573" i="17"/>
  <c r="M574" i="17"/>
  <c r="M575" i="17"/>
  <c r="M576" i="17"/>
  <c r="M577" i="17"/>
  <c r="M578" i="17"/>
  <c r="M579" i="17"/>
  <c r="M580" i="17"/>
  <c r="M581" i="17"/>
  <c r="M582" i="17"/>
  <c r="M583" i="17"/>
  <c r="M584" i="17"/>
  <c r="M585" i="17"/>
  <c r="M586" i="17"/>
  <c r="M587" i="17"/>
  <c r="M588" i="17"/>
  <c r="M589" i="17"/>
  <c r="M590" i="17"/>
  <c r="M591" i="17"/>
  <c r="M592" i="17"/>
  <c r="M593" i="17"/>
  <c r="M594" i="17"/>
  <c r="M595" i="17"/>
  <c r="M596" i="17"/>
  <c r="M597" i="17"/>
  <c r="M598" i="17"/>
  <c r="M599" i="17"/>
  <c r="M600" i="17"/>
  <c r="M601" i="17"/>
  <c r="M602" i="17"/>
  <c r="M603" i="17"/>
  <c r="M604" i="17"/>
  <c r="M605" i="17"/>
  <c r="M606" i="17"/>
  <c r="M607" i="17"/>
  <c r="M608" i="17"/>
  <c r="M609" i="17"/>
  <c r="M610" i="17"/>
  <c r="M611" i="17"/>
  <c r="M612" i="17"/>
  <c r="M613" i="17"/>
  <c r="M614" i="17"/>
  <c r="M615" i="17"/>
  <c r="M616" i="17"/>
  <c r="M617" i="17"/>
  <c r="M618" i="17"/>
  <c r="M619" i="17"/>
  <c r="M620" i="17"/>
  <c r="M621" i="17"/>
  <c r="M622" i="17"/>
  <c r="M623" i="17"/>
  <c r="M624" i="17"/>
  <c r="M625" i="17"/>
  <c r="M626" i="17"/>
  <c r="M627" i="17"/>
  <c r="M628" i="17"/>
  <c r="M629" i="17"/>
  <c r="M630" i="17"/>
  <c r="M631" i="17"/>
  <c r="M632" i="17"/>
  <c r="M633" i="17"/>
  <c r="M634" i="17"/>
  <c r="M635" i="17"/>
  <c r="M636" i="17"/>
  <c r="M637" i="17"/>
  <c r="M638" i="17"/>
  <c r="M639" i="17"/>
  <c r="M640" i="17"/>
  <c r="M641" i="17"/>
  <c r="M642" i="17"/>
  <c r="M643" i="17"/>
  <c r="M644" i="17"/>
  <c r="M645" i="17"/>
  <c r="M646" i="17"/>
  <c r="M647" i="17"/>
  <c r="M648" i="17"/>
  <c r="M649" i="17"/>
  <c r="M650" i="17"/>
  <c r="M651" i="17"/>
  <c r="M652" i="17"/>
  <c r="M653" i="17"/>
  <c r="M654" i="17"/>
  <c r="M655" i="17"/>
  <c r="M656" i="17"/>
  <c r="M657" i="17"/>
  <c r="M658" i="17"/>
  <c r="M659" i="17"/>
  <c r="M660" i="17"/>
  <c r="M661" i="17"/>
  <c r="M662" i="17"/>
  <c r="M663" i="17"/>
  <c r="M664" i="17"/>
  <c r="M665" i="17"/>
  <c r="M666" i="17"/>
  <c r="M667" i="17"/>
  <c r="M668" i="17"/>
  <c r="M669" i="17"/>
  <c r="M670" i="17"/>
  <c r="M671" i="17"/>
  <c r="M672" i="17"/>
  <c r="M673" i="17"/>
  <c r="M674" i="17"/>
  <c r="M675" i="17"/>
  <c r="M676" i="17"/>
  <c r="M677" i="17"/>
  <c r="M678" i="17"/>
  <c r="M679" i="17"/>
  <c r="M680" i="17"/>
  <c r="M681" i="17"/>
  <c r="M682" i="17"/>
  <c r="M683" i="17"/>
  <c r="M684" i="17"/>
  <c r="M685" i="17"/>
  <c r="M686" i="17"/>
  <c r="M687" i="17"/>
  <c r="M688" i="17"/>
  <c r="M689" i="17"/>
  <c r="M690" i="17"/>
  <c r="M691" i="17"/>
  <c r="M692" i="17"/>
  <c r="M693" i="17"/>
  <c r="M694" i="17"/>
  <c r="M695" i="17"/>
  <c r="M696" i="17"/>
  <c r="M697" i="17"/>
  <c r="M698" i="17"/>
  <c r="M699" i="17"/>
  <c r="M700" i="17"/>
  <c r="M701" i="17"/>
  <c r="M702" i="17"/>
  <c r="M703" i="17"/>
  <c r="M704" i="17"/>
  <c r="M705" i="17"/>
  <c r="M706" i="17"/>
  <c r="M707" i="17"/>
  <c r="M708" i="17"/>
  <c r="M709" i="17"/>
  <c r="M710" i="17"/>
  <c r="M711" i="17"/>
  <c r="M712" i="17"/>
  <c r="M713" i="17"/>
  <c r="M714" i="17"/>
  <c r="M715" i="17"/>
  <c r="M716" i="17"/>
  <c r="M717" i="17"/>
  <c r="M718" i="17"/>
  <c r="M719" i="17"/>
  <c r="M720" i="17"/>
  <c r="M721" i="17"/>
  <c r="M722" i="17"/>
  <c r="M723" i="17"/>
  <c r="M724" i="17"/>
  <c r="M725" i="17"/>
  <c r="M726" i="17"/>
  <c r="M727" i="17"/>
  <c r="M728" i="17"/>
  <c r="M729" i="17"/>
  <c r="M730" i="17"/>
  <c r="M731" i="17"/>
  <c r="M732" i="17"/>
  <c r="M733" i="17"/>
  <c r="M734" i="17"/>
  <c r="M735" i="17"/>
  <c r="M736" i="17"/>
  <c r="M737" i="17"/>
  <c r="M738" i="17"/>
  <c r="M739" i="17"/>
  <c r="M740" i="17"/>
  <c r="M741" i="17"/>
  <c r="M742" i="17"/>
  <c r="M743" i="17"/>
  <c r="M744" i="17"/>
  <c r="M745" i="17"/>
  <c r="M746" i="17"/>
  <c r="M747" i="17"/>
  <c r="M748" i="17"/>
  <c r="M749" i="17"/>
  <c r="M750" i="17"/>
  <c r="M751" i="17"/>
  <c r="M752" i="17"/>
  <c r="M753" i="17"/>
  <c r="M754" i="17"/>
  <c r="M755" i="17"/>
  <c r="M756" i="17"/>
  <c r="M757" i="17"/>
  <c r="M758" i="17"/>
  <c r="M759" i="17"/>
  <c r="M760" i="17"/>
  <c r="M761" i="17"/>
  <c r="M762" i="17"/>
  <c r="M763" i="17"/>
  <c r="M764" i="17"/>
  <c r="M765" i="17"/>
  <c r="M766" i="17"/>
  <c r="M767" i="17"/>
  <c r="M768" i="17"/>
  <c r="M769" i="17"/>
  <c r="M770" i="17"/>
  <c r="M771" i="17"/>
  <c r="M772" i="17"/>
  <c r="M773" i="17"/>
  <c r="M774" i="17"/>
  <c r="M775" i="17"/>
  <c r="M776" i="17"/>
  <c r="M777" i="17"/>
  <c r="M778" i="17"/>
  <c r="M779" i="17"/>
  <c r="M780" i="17"/>
  <c r="M781" i="17"/>
  <c r="M782" i="17"/>
  <c r="M783" i="17"/>
  <c r="M784" i="17"/>
  <c r="M785" i="17"/>
  <c r="M786" i="17"/>
  <c r="M787" i="17"/>
  <c r="M788" i="17"/>
  <c r="M789" i="17"/>
  <c r="M790" i="17"/>
  <c r="M791" i="17"/>
  <c r="M792" i="17"/>
  <c r="M793" i="17"/>
  <c r="M794" i="17"/>
  <c r="M795" i="17"/>
  <c r="M796" i="17"/>
  <c r="M797" i="17"/>
  <c r="M798" i="17"/>
  <c r="M799" i="17"/>
  <c r="M800" i="17"/>
  <c r="M801" i="17"/>
  <c r="M802" i="17"/>
  <c r="M803" i="17"/>
  <c r="M804" i="17"/>
  <c r="M805" i="17"/>
  <c r="M806" i="17"/>
  <c r="M807" i="17"/>
  <c r="M808" i="17"/>
  <c r="M809" i="17"/>
  <c r="M810" i="17"/>
  <c r="M811" i="17"/>
  <c r="M812" i="17"/>
  <c r="M813" i="17"/>
  <c r="M814" i="17"/>
  <c r="M815" i="17"/>
  <c r="M816" i="17"/>
  <c r="M817" i="17"/>
  <c r="M818" i="17"/>
  <c r="M819" i="17"/>
  <c r="M820" i="17"/>
  <c r="M821" i="17"/>
  <c r="M822" i="17"/>
  <c r="M823" i="17"/>
  <c r="M824" i="17"/>
  <c r="M825" i="17"/>
  <c r="M826" i="17"/>
  <c r="M827" i="17"/>
  <c r="M828" i="17"/>
  <c r="M829" i="17"/>
  <c r="M830" i="17"/>
  <c r="M831" i="17"/>
  <c r="M832" i="17"/>
  <c r="M833" i="17"/>
  <c r="M834" i="17"/>
  <c r="M835" i="17"/>
  <c r="M836" i="17"/>
  <c r="M837" i="17"/>
  <c r="M838" i="17"/>
  <c r="M839" i="17"/>
  <c r="M840" i="17"/>
  <c r="M841" i="17"/>
  <c r="M842" i="17"/>
  <c r="M843" i="17"/>
  <c r="M844" i="17"/>
  <c r="M845" i="17"/>
  <c r="M846" i="17"/>
  <c r="M847" i="17"/>
  <c r="M848" i="17"/>
  <c r="M849" i="17"/>
  <c r="M850" i="17"/>
  <c r="M851" i="17"/>
  <c r="M852" i="17"/>
  <c r="M853" i="17"/>
  <c r="M854" i="17"/>
  <c r="M855" i="17"/>
  <c r="M856" i="17"/>
  <c r="M857" i="17"/>
  <c r="M858" i="17"/>
  <c r="M859" i="17"/>
  <c r="M860" i="17"/>
  <c r="M861" i="17"/>
  <c r="M862" i="17"/>
  <c r="M863" i="17"/>
  <c r="M864" i="17"/>
  <c r="M865" i="17"/>
  <c r="M866" i="17"/>
  <c r="M867" i="17"/>
  <c r="M868" i="17"/>
  <c r="M869" i="17"/>
  <c r="M870" i="17"/>
  <c r="M871" i="17"/>
  <c r="M872" i="17"/>
  <c r="M873" i="17"/>
  <c r="M874" i="17"/>
  <c r="M875" i="17"/>
  <c r="M876" i="17"/>
  <c r="M877" i="17"/>
  <c r="M878" i="17"/>
  <c r="M879" i="17"/>
  <c r="M880" i="17"/>
  <c r="M881" i="17"/>
  <c r="M882" i="17"/>
  <c r="M883" i="17"/>
  <c r="M884" i="17"/>
  <c r="M885" i="17"/>
  <c r="M886" i="17"/>
  <c r="M887" i="17"/>
  <c r="M888" i="17"/>
  <c r="M889" i="17"/>
  <c r="M890" i="17"/>
  <c r="M891" i="17"/>
  <c r="M892" i="17"/>
  <c r="M893" i="17"/>
  <c r="M894" i="17"/>
  <c r="M895" i="17"/>
  <c r="M896" i="17"/>
  <c r="M897" i="17"/>
  <c r="M898" i="17"/>
  <c r="M899" i="17"/>
  <c r="M900" i="17"/>
  <c r="M901" i="17"/>
  <c r="M902" i="17"/>
  <c r="M903" i="17"/>
  <c r="M904" i="17"/>
  <c r="M905" i="17"/>
  <c r="M906" i="17"/>
  <c r="M907" i="17"/>
  <c r="M908" i="17"/>
  <c r="M909" i="17"/>
  <c r="M910" i="17"/>
  <c r="M911" i="17"/>
  <c r="M912" i="17"/>
  <c r="M913" i="17"/>
  <c r="M914" i="17"/>
  <c r="M915" i="17"/>
  <c r="M916" i="17"/>
  <c r="M917" i="17"/>
  <c r="M918" i="17"/>
  <c r="M919" i="17"/>
  <c r="M920" i="17"/>
  <c r="M921" i="17"/>
  <c r="M922" i="17"/>
  <c r="M923" i="17"/>
  <c r="M924" i="17"/>
  <c r="M925" i="17"/>
  <c r="M926" i="17"/>
  <c r="M927" i="17"/>
  <c r="M928" i="17"/>
  <c r="M929" i="17"/>
  <c r="M930" i="17"/>
  <c r="M931" i="17"/>
  <c r="M932" i="17"/>
  <c r="M933" i="17"/>
  <c r="M934" i="17"/>
  <c r="M935" i="17"/>
  <c r="M936" i="17"/>
  <c r="M937" i="17"/>
  <c r="M938" i="17"/>
  <c r="M939" i="17"/>
  <c r="M940" i="17"/>
  <c r="M941" i="17"/>
  <c r="M942" i="17"/>
  <c r="M943" i="17"/>
  <c r="M944" i="17"/>
  <c r="M945" i="17"/>
  <c r="M946" i="17"/>
  <c r="M947" i="17"/>
  <c r="M948" i="17"/>
  <c r="M949" i="17"/>
  <c r="M950" i="17"/>
  <c r="M951" i="17"/>
  <c r="M952" i="17"/>
  <c r="M953" i="17"/>
  <c r="M954" i="17"/>
  <c r="M955" i="17"/>
  <c r="M956" i="17"/>
  <c r="M957" i="17"/>
  <c r="M958" i="17"/>
  <c r="M959" i="17"/>
  <c r="M960" i="17"/>
  <c r="M961" i="17"/>
  <c r="M962" i="17"/>
  <c r="M963" i="17"/>
  <c r="M964" i="17"/>
  <c r="M965" i="17"/>
  <c r="M966" i="17"/>
  <c r="M967" i="17"/>
  <c r="M968" i="17"/>
  <c r="M969" i="17"/>
  <c r="M970" i="17"/>
  <c r="M971" i="17"/>
  <c r="M972" i="17"/>
  <c r="M973" i="17"/>
  <c r="M974" i="17"/>
  <c r="M975" i="17"/>
  <c r="M976" i="17"/>
  <c r="M977" i="17"/>
  <c r="M978" i="17"/>
  <c r="M979" i="17"/>
  <c r="M980" i="17"/>
  <c r="M981" i="17"/>
  <c r="M982" i="17"/>
  <c r="M983" i="17"/>
  <c r="M984" i="17"/>
  <c r="M985" i="17"/>
  <c r="M986" i="17"/>
  <c r="M987" i="17"/>
  <c r="M988" i="17"/>
  <c r="M989" i="17"/>
  <c r="M990" i="17"/>
  <c r="M991" i="17"/>
  <c r="M992" i="17"/>
  <c r="M993" i="17"/>
  <c r="M994" i="17"/>
  <c r="M995" i="17"/>
  <c r="M996" i="17"/>
  <c r="M997" i="17"/>
  <c r="M998" i="17"/>
  <c r="M999" i="17"/>
  <c r="M1000" i="17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781" i="14"/>
  <c r="M782" i="14"/>
  <c r="M783" i="14"/>
  <c r="M784" i="14"/>
  <c r="M785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806" i="14"/>
  <c r="M807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M936" i="14"/>
  <c r="M937" i="14"/>
  <c r="M938" i="14"/>
  <c r="M939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2" i="32"/>
  <c r="M3" i="32"/>
  <c r="M4" i="32"/>
  <c r="M5" i="32"/>
  <c r="M6" i="32"/>
  <c r="M7" i="32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21" i="32"/>
  <c r="M22" i="32"/>
  <c r="M23" i="32"/>
  <c r="M24" i="32"/>
  <c r="M25" i="32"/>
  <c r="M26" i="32"/>
  <c r="M27" i="32"/>
  <c r="M28" i="32"/>
  <c r="M29" i="32"/>
  <c r="M30" i="32"/>
  <c r="M31" i="32"/>
  <c r="M32" i="32"/>
  <c r="M33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06" i="32"/>
  <c r="M107" i="32"/>
  <c r="M108" i="32"/>
  <c r="M109" i="32"/>
  <c r="M110" i="32"/>
  <c r="M111" i="32"/>
  <c r="M112" i="32"/>
  <c r="M113" i="32"/>
  <c r="M114" i="32"/>
  <c r="M115" i="32"/>
  <c r="M116" i="32"/>
  <c r="M117" i="32"/>
  <c r="M118" i="32"/>
  <c r="M119" i="32"/>
  <c r="M120" i="32"/>
  <c r="M121" i="32"/>
  <c r="M122" i="32"/>
  <c r="M123" i="32"/>
  <c r="M124" i="32"/>
  <c r="M125" i="32"/>
  <c r="M126" i="32"/>
  <c r="M127" i="32"/>
  <c r="M128" i="32"/>
  <c r="M129" i="32"/>
  <c r="M130" i="32"/>
  <c r="M131" i="32"/>
  <c r="M132" i="32"/>
  <c r="M133" i="32"/>
  <c r="M134" i="32"/>
  <c r="M135" i="32"/>
  <c r="M136" i="32"/>
  <c r="M137" i="32"/>
  <c r="M138" i="32"/>
  <c r="M139" i="32"/>
  <c r="M140" i="32"/>
  <c r="M141" i="32"/>
  <c r="M142" i="32"/>
  <c r="M143" i="32"/>
  <c r="M144" i="32"/>
  <c r="M145" i="32"/>
  <c r="M146" i="32"/>
  <c r="M147" i="32"/>
  <c r="M148" i="32"/>
  <c r="M149" i="32"/>
  <c r="M150" i="32"/>
  <c r="M151" i="32"/>
  <c r="M152" i="32"/>
  <c r="M153" i="32"/>
  <c r="M154" i="32"/>
  <c r="M155" i="32"/>
  <c r="M156" i="32"/>
  <c r="M157" i="32"/>
  <c r="M158" i="32"/>
  <c r="M159" i="32"/>
  <c r="M160" i="32"/>
  <c r="M161" i="32"/>
  <c r="M162" i="32"/>
  <c r="M163" i="32"/>
  <c r="M164" i="32"/>
  <c r="M165" i="32"/>
  <c r="M166" i="32"/>
  <c r="M167" i="32"/>
  <c r="M168" i="32"/>
  <c r="M169" i="32"/>
  <c r="M170" i="32"/>
  <c r="M171" i="32"/>
  <c r="M172" i="32"/>
  <c r="M173" i="32"/>
  <c r="M174" i="32"/>
  <c r="M175" i="32"/>
  <c r="M176" i="32"/>
  <c r="M177" i="32"/>
  <c r="M178" i="32"/>
  <c r="M179" i="32"/>
  <c r="M180" i="32"/>
  <c r="M181" i="32"/>
  <c r="M182" i="32"/>
  <c r="M183" i="32"/>
  <c r="M184" i="32"/>
  <c r="M185" i="32"/>
  <c r="M186" i="32"/>
  <c r="M187" i="32"/>
  <c r="M188" i="32"/>
  <c r="M189" i="32"/>
  <c r="M190" i="32"/>
  <c r="M191" i="32"/>
  <c r="M192" i="32"/>
  <c r="M193" i="32"/>
  <c r="M194" i="32"/>
  <c r="M195" i="32"/>
  <c r="M196" i="32"/>
  <c r="M197" i="32"/>
  <c r="M198" i="32"/>
  <c r="M199" i="32"/>
  <c r="M200" i="32"/>
  <c r="M201" i="32"/>
  <c r="M202" i="32"/>
  <c r="M203" i="32"/>
  <c r="M204" i="32"/>
  <c r="M205" i="32"/>
  <c r="M206" i="32"/>
  <c r="M207" i="32"/>
  <c r="M208" i="32"/>
  <c r="M209" i="32"/>
  <c r="M210" i="32"/>
  <c r="M211" i="32"/>
  <c r="M212" i="32"/>
  <c r="M213" i="32"/>
  <c r="M214" i="32"/>
  <c r="M215" i="32"/>
  <c r="M216" i="32"/>
  <c r="M217" i="32"/>
  <c r="M218" i="32"/>
  <c r="M219" i="32"/>
  <c r="M220" i="32"/>
  <c r="M221" i="32"/>
  <c r="M222" i="32"/>
  <c r="M223" i="32"/>
  <c r="M224" i="32"/>
  <c r="M225" i="32"/>
  <c r="M226" i="32"/>
  <c r="M227" i="32"/>
  <c r="M228" i="32"/>
  <c r="M229" i="32"/>
  <c r="M230" i="32"/>
  <c r="M231" i="32"/>
  <c r="M232" i="32"/>
  <c r="M233" i="32"/>
  <c r="M234" i="32"/>
  <c r="M235" i="32"/>
  <c r="M236" i="32"/>
  <c r="M237" i="32"/>
  <c r="M238" i="32"/>
  <c r="M239" i="32"/>
  <c r="M240" i="32"/>
  <c r="M241" i="32"/>
  <c r="M242" i="32"/>
  <c r="M243" i="32"/>
  <c r="M244" i="32"/>
  <c r="M245" i="32"/>
  <c r="M246" i="32"/>
  <c r="M247" i="32"/>
  <c r="M248" i="32"/>
  <c r="M249" i="32"/>
  <c r="M250" i="32"/>
  <c r="M251" i="32"/>
  <c r="M252" i="32"/>
  <c r="M253" i="32"/>
  <c r="M254" i="32"/>
  <c r="M255" i="32"/>
  <c r="M256" i="32"/>
  <c r="M257" i="32"/>
  <c r="M258" i="32"/>
  <c r="M259" i="32"/>
  <c r="M260" i="32"/>
  <c r="M261" i="32"/>
  <c r="M262" i="32"/>
  <c r="M263" i="32"/>
  <c r="M264" i="32"/>
  <c r="M265" i="32"/>
  <c r="M266" i="32"/>
  <c r="M267" i="32"/>
  <c r="M268" i="32"/>
  <c r="M269" i="32"/>
  <c r="M270" i="32"/>
  <c r="M271" i="32"/>
  <c r="M272" i="32"/>
  <c r="M273" i="32"/>
  <c r="M274" i="32"/>
  <c r="M275" i="32"/>
  <c r="M276" i="32"/>
  <c r="M277" i="32"/>
  <c r="M278" i="32"/>
  <c r="M279" i="32"/>
  <c r="M280" i="32"/>
  <c r="M281" i="32"/>
  <c r="M282" i="32"/>
  <c r="M283" i="32"/>
  <c r="M284" i="32"/>
  <c r="M285" i="32"/>
  <c r="M286" i="32"/>
  <c r="M287" i="32"/>
  <c r="M288" i="32"/>
  <c r="M289" i="32"/>
  <c r="M290" i="32"/>
  <c r="M291" i="32"/>
  <c r="M292" i="32"/>
  <c r="M293" i="32"/>
  <c r="M294" i="32"/>
  <c r="M295" i="32"/>
  <c r="M296" i="32"/>
  <c r="M297" i="32"/>
  <c r="M298" i="32"/>
  <c r="M299" i="32"/>
  <c r="M300" i="32"/>
  <c r="M301" i="32"/>
  <c r="M302" i="32"/>
  <c r="M303" i="32"/>
  <c r="M304" i="32"/>
  <c r="M305" i="32"/>
  <c r="M306" i="32"/>
  <c r="M307" i="32"/>
  <c r="M308" i="32"/>
  <c r="M309" i="32"/>
  <c r="M310" i="32"/>
  <c r="M311" i="32"/>
  <c r="M312" i="32"/>
  <c r="M313" i="32"/>
  <c r="M314" i="32"/>
  <c r="M315" i="32"/>
  <c r="M316" i="32"/>
  <c r="M317" i="32"/>
  <c r="M318" i="32"/>
  <c r="M319" i="32"/>
  <c r="M320" i="32"/>
  <c r="M321" i="32"/>
  <c r="M322" i="32"/>
  <c r="M323" i="32"/>
  <c r="M324" i="32"/>
  <c r="M325" i="32"/>
  <c r="M326" i="32"/>
  <c r="M327" i="32"/>
  <c r="M328" i="32"/>
  <c r="M329" i="32"/>
  <c r="M330" i="32"/>
  <c r="M331" i="32"/>
  <c r="M332" i="32"/>
  <c r="M333" i="32"/>
  <c r="M334" i="32"/>
  <c r="M335" i="32"/>
  <c r="M336" i="32"/>
  <c r="M337" i="32"/>
  <c r="M338" i="32"/>
  <c r="M339" i="32"/>
  <c r="M340" i="32"/>
  <c r="M341" i="32"/>
  <c r="M342" i="32"/>
  <c r="M343" i="32"/>
  <c r="M344" i="32"/>
  <c r="M345" i="32"/>
  <c r="M346" i="32"/>
  <c r="M347" i="32"/>
  <c r="M348" i="32"/>
  <c r="M349" i="32"/>
  <c r="M350" i="32"/>
  <c r="M351" i="32"/>
  <c r="M352" i="32"/>
  <c r="M353" i="32"/>
  <c r="M354" i="32"/>
  <c r="M355" i="32"/>
  <c r="M356" i="32"/>
  <c r="M357" i="32"/>
  <c r="M358" i="32"/>
  <c r="M359" i="32"/>
  <c r="M360" i="32"/>
  <c r="M361" i="32"/>
  <c r="M362" i="32"/>
  <c r="M363" i="32"/>
  <c r="M364" i="32"/>
  <c r="M365" i="32"/>
  <c r="M366" i="32"/>
  <c r="M367" i="32"/>
  <c r="M368" i="32"/>
  <c r="M369" i="32"/>
  <c r="M370" i="32"/>
  <c r="M371" i="32"/>
  <c r="M372" i="32"/>
  <c r="M373" i="32"/>
  <c r="M374" i="32"/>
  <c r="M375" i="32"/>
  <c r="M376" i="32"/>
  <c r="M377" i="32"/>
  <c r="M378" i="32"/>
  <c r="M379" i="32"/>
  <c r="M380" i="32"/>
  <c r="M381" i="32"/>
  <c r="M382" i="32"/>
  <c r="M383" i="32"/>
  <c r="M384" i="32"/>
  <c r="M385" i="32"/>
  <c r="M386" i="32"/>
  <c r="M387" i="32"/>
  <c r="M388" i="32"/>
  <c r="M389" i="32"/>
  <c r="M390" i="32"/>
  <c r="M391" i="32"/>
  <c r="M392" i="32"/>
  <c r="M393" i="32"/>
  <c r="M394" i="32"/>
  <c r="M395" i="32"/>
  <c r="M396" i="32"/>
  <c r="M397" i="32"/>
  <c r="M398" i="32"/>
  <c r="M399" i="32"/>
  <c r="M400" i="32"/>
  <c r="M401" i="32"/>
  <c r="M402" i="32"/>
  <c r="M403" i="32"/>
  <c r="M404" i="32"/>
  <c r="M405" i="32"/>
  <c r="M406" i="32"/>
  <c r="M407" i="32"/>
  <c r="M408" i="32"/>
  <c r="M409" i="32"/>
  <c r="M410" i="32"/>
  <c r="M411" i="32"/>
  <c r="M412" i="32"/>
  <c r="M413" i="32"/>
  <c r="M414" i="32"/>
  <c r="M415" i="32"/>
  <c r="M416" i="32"/>
  <c r="M417" i="32"/>
  <c r="M418" i="32"/>
  <c r="M419" i="32"/>
  <c r="M420" i="32"/>
  <c r="M421" i="32"/>
  <c r="M422" i="32"/>
  <c r="M423" i="32"/>
  <c r="M424" i="32"/>
  <c r="M425" i="32"/>
  <c r="M426" i="32"/>
  <c r="M427" i="32"/>
  <c r="M428" i="32"/>
  <c r="M429" i="32"/>
  <c r="M430" i="32"/>
  <c r="M431" i="32"/>
  <c r="M432" i="32"/>
  <c r="M433" i="32"/>
  <c r="M434" i="32"/>
  <c r="M435" i="32"/>
  <c r="M436" i="32"/>
  <c r="M437" i="32"/>
  <c r="M438" i="32"/>
  <c r="M439" i="32"/>
  <c r="M440" i="32"/>
  <c r="M441" i="32"/>
  <c r="M442" i="32"/>
  <c r="M443" i="32"/>
  <c r="M444" i="32"/>
  <c r="M445" i="32"/>
  <c r="M446" i="32"/>
  <c r="M447" i="32"/>
  <c r="M448" i="32"/>
  <c r="M449" i="32"/>
  <c r="M450" i="32"/>
  <c r="M451" i="32"/>
  <c r="M452" i="32"/>
  <c r="M453" i="32"/>
  <c r="M454" i="32"/>
  <c r="M455" i="32"/>
  <c r="M456" i="32"/>
  <c r="M457" i="32"/>
  <c r="M458" i="32"/>
  <c r="M459" i="32"/>
  <c r="M460" i="32"/>
  <c r="M461" i="32"/>
  <c r="M462" i="32"/>
  <c r="M463" i="32"/>
  <c r="M464" i="32"/>
  <c r="M465" i="32"/>
  <c r="M466" i="32"/>
  <c r="M467" i="32"/>
  <c r="M468" i="32"/>
  <c r="M469" i="32"/>
  <c r="M470" i="32"/>
  <c r="M471" i="32"/>
  <c r="M472" i="32"/>
  <c r="M473" i="32"/>
  <c r="M474" i="32"/>
  <c r="M475" i="32"/>
  <c r="M476" i="32"/>
  <c r="M477" i="32"/>
  <c r="M478" i="32"/>
  <c r="M479" i="32"/>
  <c r="M480" i="32"/>
  <c r="M481" i="32"/>
  <c r="M482" i="32"/>
  <c r="M483" i="32"/>
  <c r="M484" i="32"/>
  <c r="M485" i="32"/>
  <c r="M486" i="32"/>
  <c r="M487" i="32"/>
  <c r="M488" i="32"/>
  <c r="M489" i="32"/>
  <c r="M490" i="32"/>
  <c r="M491" i="32"/>
  <c r="M492" i="32"/>
  <c r="M493" i="32"/>
  <c r="M494" i="32"/>
  <c r="M495" i="32"/>
  <c r="M496" i="32"/>
  <c r="M497" i="32"/>
  <c r="M498" i="32"/>
  <c r="M499" i="32"/>
  <c r="M500" i="32"/>
  <c r="M501" i="32"/>
  <c r="M502" i="32"/>
  <c r="M503" i="32"/>
  <c r="M504" i="32"/>
  <c r="M505" i="32"/>
  <c r="M506" i="32"/>
  <c r="M507" i="32"/>
  <c r="M508" i="32"/>
  <c r="M509" i="32"/>
  <c r="M510" i="32"/>
  <c r="M511" i="32"/>
  <c r="M512" i="32"/>
  <c r="M513" i="32"/>
  <c r="M514" i="32"/>
  <c r="M515" i="32"/>
  <c r="M516" i="32"/>
  <c r="M517" i="32"/>
  <c r="M518" i="32"/>
  <c r="M519" i="32"/>
  <c r="M520" i="32"/>
  <c r="M521" i="32"/>
  <c r="M522" i="32"/>
  <c r="M523" i="32"/>
  <c r="M524" i="32"/>
  <c r="M525" i="32"/>
  <c r="M526" i="32"/>
  <c r="M527" i="32"/>
  <c r="M528" i="32"/>
  <c r="M529" i="32"/>
  <c r="M530" i="32"/>
  <c r="M531" i="32"/>
  <c r="M532" i="32"/>
  <c r="M533" i="32"/>
  <c r="M534" i="32"/>
  <c r="M535" i="32"/>
  <c r="M536" i="32"/>
  <c r="M537" i="32"/>
  <c r="M538" i="32"/>
  <c r="M539" i="32"/>
  <c r="M540" i="32"/>
  <c r="M541" i="32"/>
  <c r="M542" i="32"/>
  <c r="M543" i="32"/>
  <c r="M544" i="32"/>
  <c r="M545" i="32"/>
  <c r="M546" i="32"/>
  <c r="M547" i="32"/>
  <c r="M548" i="32"/>
  <c r="M549" i="32"/>
  <c r="M550" i="32"/>
  <c r="M551" i="32"/>
  <c r="M552" i="32"/>
  <c r="M553" i="32"/>
  <c r="M554" i="32"/>
  <c r="M555" i="32"/>
  <c r="M556" i="32"/>
  <c r="M557" i="32"/>
  <c r="M558" i="32"/>
  <c r="M559" i="32"/>
  <c r="M560" i="32"/>
  <c r="M561" i="32"/>
  <c r="M562" i="32"/>
  <c r="M563" i="32"/>
  <c r="M564" i="32"/>
  <c r="M565" i="32"/>
  <c r="M566" i="32"/>
  <c r="M567" i="32"/>
  <c r="M568" i="32"/>
  <c r="M569" i="32"/>
  <c r="M570" i="32"/>
  <c r="M571" i="32"/>
  <c r="M572" i="32"/>
  <c r="M573" i="32"/>
  <c r="M574" i="32"/>
  <c r="M575" i="32"/>
  <c r="M576" i="32"/>
  <c r="M577" i="32"/>
  <c r="M578" i="32"/>
  <c r="M579" i="32"/>
  <c r="M580" i="32"/>
  <c r="M581" i="32"/>
  <c r="M582" i="32"/>
  <c r="M583" i="32"/>
  <c r="M584" i="32"/>
  <c r="M585" i="32"/>
  <c r="M586" i="32"/>
  <c r="M587" i="32"/>
  <c r="M588" i="32"/>
  <c r="M589" i="32"/>
  <c r="M590" i="32"/>
  <c r="M591" i="32"/>
  <c r="M592" i="32"/>
  <c r="M593" i="32"/>
  <c r="M594" i="32"/>
  <c r="M595" i="32"/>
  <c r="M596" i="32"/>
  <c r="M597" i="32"/>
  <c r="M598" i="32"/>
  <c r="M599" i="32"/>
  <c r="M600" i="32"/>
  <c r="M601" i="32"/>
  <c r="M602" i="32"/>
  <c r="M603" i="32"/>
  <c r="M604" i="32"/>
  <c r="M605" i="32"/>
  <c r="M606" i="32"/>
  <c r="M607" i="32"/>
  <c r="M608" i="32"/>
  <c r="M609" i="32"/>
  <c r="M610" i="32"/>
  <c r="M611" i="32"/>
  <c r="M612" i="32"/>
  <c r="M613" i="32"/>
  <c r="M614" i="32"/>
  <c r="M615" i="32"/>
  <c r="M616" i="32"/>
  <c r="M617" i="32"/>
  <c r="M618" i="32"/>
  <c r="M619" i="32"/>
  <c r="M620" i="32"/>
  <c r="M621" i="32"/>
  <c r="M622" i="32"/>
  <c r="M623" i="32"/>
  <c r="M624" i="32"/>
  <c r="M625" i="32"/>
  <c r="M626" i="32"/>
  <c r="M627" i="32"/>
  <c r="M628" i="32"/>
  <c r="M629" i="32"/>
  <c r="M630" i="32"/>
  <c r="M631" i="32"/>
  <c r="M632" i="32"/>
  <c r="M633" i="32"/>
  <c r="M634" i="32"/>
  <c r="M635" i="32"/>
  <c r="M636" i="32"/>
  <c r="M637" i="32"/>
  <c r="M638" i="32"/>
  <c r="M639" i="32"/>
  <c r="M640" i="32"/>
  <c r="M641" i="32"/>
  <c r="M642" i="32"/>
  <c r="M643" i="32"/>
  <c r="M644" i="32"/>
  <c r="M645" i="32"/>
  <c r="M646" i="32"/>
  <c r="M647" i="32"/>
  <c r="M648" i="32"/>
  <c r="M649" i="32"/>
  <c r="M650" i="32"/>
  <c r="M651" i="32"/>
  <c r="M652" i="32"/>
  <c r="M653" i="32"/>
  <c r="M654" i="32"/>
  <c r="M655" i="32"/>
  <c r="M656" i="32"/>
  <c r="M657" i="32"/>
  <c r="M658" i="32"/>
  <c r="M659" i="32"/>
  <c r="M660" i="32"/>
  <c r="M661" i="32"/>
  <c r="M662" i="32"/>
  <c r="M663" i="32"/>
  <c r="M664" i="32"/>
  <c r="M665" i="32"/>
  <c r="M666" i="32"/>
  <c r="M667" i="32"/>
  <c r="M668" i="32"/>
  <c r="M669" i="32"/>
  <c r="M670" i="32"/>
  <c r="M671" i="32"/>
  <c r="M672" i="32"/>
  <c r="M673" i="32"/>
  <c r="M674" i="32"/>
  <c r="M675" i="32"/>
  <c r="M676" i="32"/>
  <c r="M677" i="32"/>
  <c r="M678" i="32"/>
  <c r="M679" i="32"/>
  <c r="M680" i="32"/>
  <c r="M681" i="32"/>
  <c r="M682" i="32"/>
  <c r="M683" i="32"/>
  <c r="M684" i="32"/>
  <c r="M685" i="32"/>
  <c r="M686" i="32"/>
  <c r="M687" i="32"/>
  <c r="M688" i="32"/>
  <c r="M689" i="32"/>
  <c r="M690" i="32"/>
  <c r="M691" i="32"/>
  <c r="M692" i="32"/>
  <c r="M693" i="32"/>
  <c r="M694" i="32"/>
  <c r="M695" i="32"/>
  <c r="M696" i="32"/>
  <c r="M697" i="32"/>
  <c r="M698" i="32"/>
  <c r="M699" i="32"/>
  <c r="M700" i="32"/>
  <c r="M701" i="32"/>
  <c r="M702" i="32"/>
  <c r="M703" i="32"/>
  <c r="M704" i="32"/>
  <c r="M705" i="32"/>
  <c r="M706" i="32"/>
  <c r="M707" i="32"/>
  <c r="M708" i="32"/>
  <c r="M709" i="32"/>
  <c r="M710" i="32"/>
  <c r="M711" i="32"/>
  <c r="M712" i="32"/>
  <c r="M713" i="32"/>
  <c r="M714" i="32"/>
  <c r="M715" i="32"/>
  <c r="M716" i="32"/>
  <c r="M717" i="32"/>
  <c r="M718" i="32"/>
  <c r="M719" i="32"/>
  <c r="M720" i="32"/>
  <c r="M721" i="32"/>
  <c r="M722" i="32"/>
  <c r="M723" i="32"/>
  <c r="M724" i="32"/>
  <c r="M725" i="32"/>
  <c r="M726" i="32"/>
  <c r="M727" i="32"/>
  <c r="M728" i="32"/>
  <c r="M729" i="32"/>
  <c r="M730" i="32"/>
  <c r="M731" i="32"/>
  <c r="M732" i="32"/>
  <c r="M733" i="32"/>
  <c r="M734" i="32"/>
  <c r="M735" i="32"/>
  <c r="M736" i="32"/>
  <c r="M737" i="32"/>
  <c r="M738" i="32"/>
  <c r="M739" i="32"/>
  <c r="M740" i="32"/>
  <c r="M741" i="32"/>
  <c r="M742" i="32"/>
  <c r="M743" i="32"/>
  <c r="M744" i="32"/>
  <c r="M745" i="32"/>
  <c r="M746" i="32"/>
  <c r="M747" i="32"/>
  <c r="M748" i="32"/>
  <c r="M749" i="32"/>
  <c r="M750" i="32"/>
  <c r="M751" i="32"/>
  <c r="M752" i="32"/>
  <c r="M753" i="32"/>
  <c r="M754" i="32"/>
  <c r="M755" i="32"/>
  <c r="M756" i="32"/>
  <c r="M757" i="32"/>
  <c r="M758" i="32"/>
  <c r="M759" i="32"/>
  <c r="M760" i="32"/>
  <c r="M761" i="32"/>
  <c r="M762" i="32"/>
  <c r="M763" i="32"/>
  <c r="M764" i="32"/>
  <c r="M765" i="32"/>
  <c r="M766" i="32"/>
  <c r="M767" i="32"/>
  <c r="M768" i="32"/>
  <c r="M769" i="32"/>
  <c r="M770" i="32"/>
  <c r="M771" i="32"/>
  <c r="M772" i="32"/>
  <c r="M773" i="32"/>
  <c r="M774" i="32"/>
  <c r="M775" i="32"/>
  <c r="M776" i="32"/>
  <c r="M777" i="32"/>
  <c r="M778" i="32"/>
  <c r="M779" i="32"/>
  <c r="M780" i="32"/>
  <c r="M781" i="32"/>
  <c r="M782" i="32"/>
  <c r="M783" i="32"/>
  <c r="M784" i="32"/>
  <c r="M785" i="32"/>
  <c r="M786" i="32"/>
  <c r="M787" i="32"/>
  <c r="M788" i="32"/>
  <c r="M789" i="32"/>
  <c r="M790" i="32"/>
  <c r="M791" i="32"/>
  <c r="M792" i="32"/>
  <c r="M793" i="32"/>
  <c r="M794" i="32"/>
  <c r="M795" i="32"/>
  <c r="M796" i="32"/>
  <c r="M797" i="32"/>
  <c r="M798" i="32"/>
  <c r="M799" i="32"/>
  <c r="M800" i="32"/>
  <c r="M801" i="32"/>
  <c r="M802" i="32"/>
  <c r="M803" i="32"/>
  <c r="M804" i="32"/>
  <c r="M805" i="32"/>
  <c r="M806" i="32"/>
  <c r="M807" i="32"/>
  <c r="M808" i="32"/>
  <c r="M809" i="32"/>
  <c r="M810" i="32"/>
  <c r="M811" i="32"/>
  <c r="M812" i="32"/>
  <c r="M813" i="32"/>
  <c r="M814" i="32"/>
  <c r="M815" i="32"/>
  <c r="M816" i="32"/>
  <c r="M817" i="32"/>
  <c r="M818" i="32"/>
  <c r="M819" i="32"/>
  <c r="M820" i="32"/>
  <c r="M821" i="32"/>
  <c r="M822" i="32"/>
  <c r="M823" i="32"/>
  <c r="M824" i="32"/>
  <c r="M825" i="32"/>
  <c r="M826" i="32"/>
  <c r="M827" i="32"/>
  <c r="M828" i="32"/>
  <c r="M829" i="32"/>
  <c r="M830" i="32"/>
  <c r="M831" i="32"/>
  <c r="M832" i="32"/>
  <c r="M833" i="32"/>
  <c r="M834" i="32"/>
  <c r="M835" i="32"/>
  <c r="M836" i="32"/>
  <c r="M837" i="32"/>
  <c r="M838" i="32"/>
  <c r="M839" i="32"/>
  <c r="M840" i="32"/>
  <c r="M841" i="32"/>
  <c r="M842" i="32"/>
  <c r="M843" i="32"/>
  <c r="M844" i="32"/>
  <c r="M845" i="32"/>
  <c r="M846" i="32"/>
  <c r="M847" i="32"/>
  <c r="M848" i="32"/>
  <c r="M849" i="32"/>
  <c r="M850" i="32"/>
  <c r="M851" i="32"/>
  <c r="M852" i="32"/>
  <c r="M853" i="32"/>
  <c r="M854" i="32"/>
  <c r="M855" i="32"/>
  <c r="M856" i="32"/>
  <c r="M857" i="32"/>
  <c r="M858" i="32"/>
  <c r="M859" i="32"/>
  <c r="M860" i="32"/>
  <c r="M861" i="32"/>
  <c r="M862" i="32"/>
  <c r="M863" i="32"/>
  <c r="M864" i="32"/>
  <c r="M865" i="32"/>
  <c r="M866" i="32"/>
  <c r="M867" i="32"/>
  <c r="M868" i="32"/>
  <c r="M869" i="32"/>
  <c r="M870" i="32"/>
  <c r="M871" i="32"/>
  <c r="M872" i="32"/>
  <c r="M873" i="32"/>
  <c r="M874" i="32"/>
  <c r="M875" i="32"/>
  <c r="M876" i="32"/>
  <c r="M877" i="32"/>
  <c r="M878" i="32"/>
  <c r="M879" i="32"/>
  <c r="M880" i="32"/>
  <c r="M881" i="32"/>
  <c r="M882" i="32"/>
  <c r="M883" i="32"/>
  <c r="M884" i="32"/>
  <c r="M885" i="32"/>
  <c r="M886" i="32"/>
  <c r="M887" i="32"/>
  <c r="M888" i="32"/>
  <c r="M889" i="32"/>
  <c r="M890" i="32"/>
  <c r="M891" i="32"/>
  <c r="M892" i="32"/>
  <c r="M893" i="32"/>
  <c r="M894" i="32"/>
  <c r="M895" i="32"/>
  <c r="M896" i="32"/>
  <c r="M897" i="32"/>
  <c r="M898" i="32"/>
  <c r="M899" i="32"/>
  <c r="M900" i="32"/>
  <c r="M901" i="32"/>
  <c r="M902" i="32"/>
  <c r="M903" i="32"/>
  <c r="M904" i="32"/>
  <c r="M905" i="32"/>
  <c r="M906" i="32"/>
  <c r="M907" i="32"/>
  <c r="M908" i="32"/>
  <c r="M909" i="32"/>
  <c r="M910" i="32"/>
  <c r="M911" i="32"/>
  <c r="M912" i="32"/>
  <c r="M913" i="32"/>
  <c r="M914" i="32"/>
  <c r="M915" i="32"/>
  <c r="M916" i="32"/>
  <c r="M917" i="32"/>
  <c r="M918" i="32"/>
  <c r="M919" i="32"/>
  <c r="M920" i="32"/>
  <c r="M921" i="32"/>
  <c r="M922" i="32"/>
  <c r="M923" i="32"/>
  <c r="M924" i="32"/>
  <c r="M925" i="32"/>
  <c r="M926" i="32"/>
  <c r="M927" i="32"/>
  <c r="M928" i="32"/>
  <c r="M929" i="32"/>
  <c r="M930" i="32"/>
  <c r="M931" i="32"/>
  <c r="M932" i="32"/>
  <c r="M933" i="32"/>
  <c r="M934" i="32"/>
  <c r="M935" i="32"/>
  <c r="M936" i="32"/>
  <c r="M937" i="32"/>
  <c r="M938" i="32"/>
  <c r="M939" i="32"/>
  <c r="M940" i="32"/>
  <c r="M941" i="32"/>
  <c r="M942" i="32"/>
  <c r="M943" i="32"/>
  <c r="M944" i="32"/>
  <c r="M945" i="32"/>
  <c r="M946" i="32"/>
  <c r="M947" i="32"/>
  <c r="M948" i="32"/>
  <c r="M949" i="32"/>
  <c r="M950" i="32"/>
  <c r="M951" i="32"/>
  <c r="M952" i="32"/>
  <c r="M953" i="32"/>
  <c r="M954" i="32"/>
  <c r="M955" i="32"/>
  <c r="M956" i="32"/>
  <c r="M957" i="32"/>
  <c r="M958" i="32"/>
  <c r="M959" i="32"/>
  <c r="M960" i="32"/>
  <c r="M961" i="32"/>
  <c r="M962" i="32"/>
  <c r="M963" i="32"/>
  <c r="M964" i="32"/>
  <c r="M965" i="32"/>
  <c r="M966" i="32"/>
  <c r="M967" i="32"/>
  <c r="M968" i="32"/>
  <c r="M969" i="32"/>
  <c r="M970" i="32"/>
  <c r="M971" i="32"/>
  <c r="M972" i="32"/>
  <c r="M973" i="32"/>
  <c r="M974" i="32"/>
  <c r="M975" i="32"/>
  <c r="M976" i="32"/>
  <c r="M977" i="32"/>
  <c r="M978" i="32"/>
  <c r="M979" i="32"/>
  <c r="M980" i="32"/>
  <c r="M981" i="32"/>
  <c r="M982" i="32"/>
  <c r="M983" i="32"/>
  <c r="M984" i="32"/>
  <c r="M985" i="32"/>
  <c r="M986" i="32"/>
  <c r="M987" i="32"/>
  <c r="M988" i="32"/>
  <c r="M989" i="32"/>
  <c r="M990" i="32"/>
  <c r="M991" i="32"/>
  <c r="M992" i="32"/>
  <c r="M993" i="32"/>
  <c r="M994" i="32"/>
  <c r="M995" i="32"/>
  <c r="M996" i="32"/>
  <c r="M997" i="32"/>
  <c r="M998" i="32"/>
  <c r="M999" i="32"/>
  <c r="M1000" i="32"/>
  <c r="M2" i="21"/>
  <c r="M3" i="2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B9" i="30" l="1"/>
  <c r="F9" i="30" s="1"/>
  <c r="B10" i="30"/>
  <c r="F10" i="30" s="1"/>
  <c r="B11" i="30"/>
  <c r="F11" i="30" s="1"/>
  <c r="B12" i="30"/>
  <c r="F12" i="30" s="1"/>
  <c r="B13" i="30"/>
  <c r="F13" i="30" s="1"/>
  <c r="B14" i="30"/>
  <c r="F14" i="30" s="1"/>
  <c r="B15" i="30"/>
  <c r="F15" i="30" s="1"/>
  <c r="B16" i="30"/>
  <c r="F16" i="30" s="1"/>
  <c r="B17" i="30"/>
  <c r="F17" i="30" s="1"/>
  <c r="B18" i="30"/>
  <c r="F18" i="30" s="1"/>
  <c r="B19" i="30"/>
  <c r="F19" i="30" s="1"/>
  <c r="B20" i="30"/>
  <c r="F20" i="30" s="1"/>
  <c r="B21" i="30"/>
  <c r="F21" i="30" s="1"/>
  <c r="B22" i="30"/>
  <c r="F22" i="30" s="1"/>
  <c r="B23" i="30"/>
  <c r="F23" i="30" s="1"/>
  <c r="B24" i="30"/>
  <c r="F24" i="30" s="1"/>
  <c r="B25" i="30"/>
  <c r="F25" i="30" s="1"/>
  <c r="B26" i="30"/>
  <c r="F26" i="30" s="1"/>
  <c r="B27" i="30"/>
  <c r="F27" i="30" s="1"/>
  <c r="B28" i="30"/>
  <c r="F28" i="30" s="1"/>
  <c r="B29" i="30"/>
  <c r="F29" i="30" s="1"/>
  <c r="B30" i="30"/>
  <c r="F30" i="30" s="1"/>
  <c r="B31" i="30"/>
  <c r="F31" i="30" s="1"/>
  <c r="B32" i="30"/>
  <c r="F32" i="30" s="1"/>
  <c r="C25" i="30" l="1"/>
  <c r="C13" i="30"/>
  <c r="D25" i="30"/>
  <c r="D13" i="30"/>
  <c r="C24" i="30"/>
  <c r="C12" i="30"/>
  <c r="D24" i="30"/>
  <c r="D12" i="30"/>
  <c r="C23" i="30"/>
  <c r="C11" i="30"/>
  <c r="D23" i="30"/>
  <c r="D11" i="30"/>
  <c r="C22" i="30"/>
  <c r="C10" i="30"/>
  <c r="D22" i="30"/>
  <c r="D10" i="30"/>
  <c r="C21" i="30"/>
  <c r="C9" i="30"/>
  <c r="D21" i="30"/>
  <c r="D9" i="30"/>
  <c r="C32" i="30"/>
  <c r="C20" i="30"/>
  <c r="D32" i="30"/>
  <c r="D20" i="30"/>
  <c r="C31" i="30"/>
  <c r="C19" i="30"/>
  <c r="D31" i="30"/>
  <c r="D19" i="30"/>
  <c r="C30" i="30"/>
  <c r="C18" i="30"/>
  <c r="D30" i="30"/>
  <c r="D18" i="30"/>
  <c r="C29" i="30"/>
  <c r="C17" i="30"/>
  <c r="D29" i="30"/>
  <c r="D17" i="30"/>
  <c r="C28" i="30"/>
  <c r="C16" i="30"/>
  <c r="D28" i="30"/>
  <c r="D16" i="30"/>
  <c r="C27" i="30"/>
  <c r="C15" i="30"/>
  <c r="D27" i="30"/>
  <c r="D15" i="30"/>
  <c r="C26" i="30"/>
  <c r="C14" i="30"/>
  <c r="D26" i="30"/>
  <c r="D14" i="30"/>
  <c r="B33" i="4"/>
  <c r="B33" i="30"/>
  <c r="B33" i="27"/>
  <c r="B33" i="31"/>
  <c r="B33" i="26"/>
  <c r="B36" i="25"/>
  <c r="B33" i="28"/>
  <c r="C14" i="28"/>
  <c r="B9" i="28"/>
  <c r="B10" i="28"/>
  <c r="B11" i="28"/>
  <c r="B12" i="28"/>
  <c r="D12" i="28" s="1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C11" i="28" l="1"/>
  <c r="D11" i="28"/>
  <c r="F22" i="28"/>
  <c r="D22" i="28"/>
  <c r="C23" i="28"/>
  <c r="D23" i="28"/>
  <c r="C32" i="28"/>
  <c r="D32" i="28"/>
  <c r="C21" i="28"/>
  <c r="D21" i="28"/>
  <c r="C18" i="28"/>
  <c r="D18" i="28"/>
  <c r="C20" i="28"/>
  <c r="D20" i="28"/>
  <c r="C28" i="28"/>
  <c r="D28" i="28"/>
  <c r="C30" i="28"/>
  <c r="D30" i="28"/>
  <c r="C17" i="28"/>
  <c r="D17" i="28"/>
  <c r="C15" i="28"/>
  <c r="D15" i="28"/>
  <c r="C9" i="28"/>
  <c r="D9" i="28"/>
  <c r="C19" i="28"/>
  <c r="D19" i="28"/>
  <c r="C29" i="28"/>
  <c r="D29" i="28"/>
  <c r="F14" i="28"/>
  <c r="D14" i="28"/>
  <c r="C24" i="28"/>
  <c r="D24" i="28"/>
  <c r="C10" i="28"/>
  <c r="D10" i="28"/>
  <c r="C31" i="28"/>
  <c r="D31" i="28"/>
  <c r="C16" i="28"/>
  <c r="D16" i="28"/>
  <c r="C27" i="28"/>
  <c r="D27" i="28"/>
  <c r="F26" i="28"/>
  <c r="D26" i="28"/>
  <c r="C25" i="28"/>
  <c r="D25" i="28"/>
  <c r="C13" i="28"/>
  <c r="D13" i="28"/>
  <c r="C26" i="28"/>
  <c r="F24" i="28"/>
  <c r="F13" i="28"/>
  <c r="C12" i="28"/>
  <c r="F23" i="28"/>
  <c r="F11" i="28"/>
  <c r="F25" i="28"/>
  <c r="F10" i="28"/>
  <c r="C22" i="28"/>
  <c r="F21" i="28"/>
  <c r="F9" i="28"/>
  <c r="F32" i="28"/>
  <c r="F20" i="28"/>
  <c r="F31" i="28"/>
  <c r="F19" i="28"/>
  <c r="F12" i="28"/>
  <c r="F30" i="28"/>
  <c r="F18" i="28"/>
  <c r="F29" i="28"/>
  <c r="F17" i="28"/>
  <c r="F28" i="28"/>
  <c r="F16" i="28"/>
  <c r="F27" i="28"/>
  <c r="F15" i="28"/>
  <c r="B9" i="31"/>
  <c r="F9" i="31" s="1"/>
  <c r="B10" i="31"/>
  <c r="C10" i="31" s="1"/>
  <c r="B11" i="31"/>
  <c r="C11" i="31" s="1"/>
  <c r="B12" i="31"/>
  <c r="C12" i="31" s="1"/>
  <c r="B13" i="31"/>
  <c r="C13" i="31" s="1"/>
  <c r="B14" i="31"/>
  <c r="C14" i="31" s="1"/>
  <c r="B15" i="31"/>
  <c r="C15" i="31" s="1"/>
  <c r="B16" i="31"/>
  <c r="C16" i="31" s="1"/>
  <c r="B17" i="31"/>
  <c r="C17" i="31" s="1"/>
  <c r="B18" i="31"/>
  <c r="C18" i="31" s="1"/>
  <c r="B19" i="31"/>
  <c r="C19" i="31" s="1"/>
  <c r="B20" i="31"/>
  <c r="C20" i="31" s="1"/>
  <c r="B21" i="31"/>
  <c r="F21" i="31" s="1"/>
  <c r="B22" i="31"/>
  <c r="C22" i="31" s="1"/>
  <c r="B23" i="31"/>
  <c r="C23" i="31" s="1"/>
  <c r="B24" i="31"/>
  <c r="C24" i="31" s="1"/>
  <c r="B25" i="31"/>
  <c r="C25" i="31" s="1"/>
  <c r="B26" i="31"/>
  <c r="C26" i="31" s="1"/>
  <c r="B27" i="31"/>
  <c r="C27" i="31" s="1"/>
  <c r="B28" i="31"/>
  <c r="C28" i="31" s="1"/>
  <c r="B29" i="31"/>
  <c r="C29" i="31" s="1"/>
  <c r="B30" i="31"/>
  <c r="C30" i="31" s="1"/>
  <c r="B31" i="31"/>
  <c r="C31" i="31" s="1"/>
  <c r="B32" i="31"/>
  <c r="D32" i="31" s="1"/>
  <c r="B9" i="27"/>
  <c r="F9" i="27" s="1"/>
  <c r="B10" i="27"/>
  <c r="F10" i="27" s="1"/>
  <c r="B11" i="27"/>
  <c r="F11" i="27" s="1"/>
  <c r="B12" i="27"/>
  <c r="F12" i="27" s="1"/>
  <c r="B13" i="27"/>
  <c r="F13" i="27" s="1"/>
  <c r="B14" i="27"/>
  <c r="C14" i="27" s="1"/>
  <c r="B15" i="27"/>
  <c r="F15" i="27" s="1"/>
  <c r="B16" i="27"/>
  <c r="F16" i="27" s="1"/>
  <c r="B17" i="27"/>
  <c r="F17" i="27" s="1"/>
  <c r="B18" i="27"/>
  <c r="F18" i="27" s="1"/>
  <c r="B19" i="27"/>
  <c r="F19" i="27" s="1"/>
  <c r="B20" i="27"/>
  <c r="F20" i="27" s="1"/>
  <c r="B21" i="27"/>
  <c r="F21" i="27" s="1"/>
  <c r="B22" i="27"/>
  <c r="F22" i="27" s="1"/>
  <c r="B23" i="27"/>
  <c r="F23" i="27" s="1"/>
  <c r="B24" i="27"/>
  <c r="F24" i="27" s="1"/>
  <c r="B25" i="27"/>
  <c r="F25" i="27" s="1"/>
  <c r="B26" i="27"/>
  <c r="F26" i="27" s="1"/>
  <c r="B27" i="27"/>
  <c r="F27" i="27" s="1"/>
  <c r="B28" i="27"/>
  <c r="F28" i="27" s="1"/>
  <c r="B29" i="27"/>
  <c r="F29" i="27" s="1"/>
  <c r="B30" i="27"/>
  <c r="C30" i="27" s="1"/>
  <c r="B31" i="27"/>
  <c r="C31" i="27" s="1"/>
  <c r="B32" i="27"/>
  <c r="F32" i="27" s="1"/>
  <c r="C9" i="31" l="1"/>
  <c r="C21" i="31"/>
  <c r="D20" i="31"/>
  <c r="F20" i="31"/>
  <c r="C32" i="31"/>
  <c r="D31" i="31"/>
  <c r="D19" i="31"/>
  <c r="F31" i="31"/>
  <c r="F19" i="31"/>
  <c r="D30" i="31"/>
  <c r="D18" i="31"/>
  <c r="F30" i="31"/>
  <c r="F18" i="31"/>
  <c r="D29" i="31"/>
  <c r="D17" i="31"/>
  <c r="F29" i="31"/>
  <c r="F17" i="31"/>
  <c r="D28" i="31"/>
  <c r="E28" i="31" s="1"/>
  <c r="D16" i="31"/>
  <c r="E16" i="31" s="1"/>
  <c r="F28" i="31"/>
  <c r="F16" i="31"/>
  <c r="D27" i="31"/>
  <c r="D15" i="31"/>
  <c r="F27" i="31"/>
  <c r="F15" i="31"/>
  <c r="D26" i="31"/>
  <c r="D14" i="31"/>
  <c r="F26" i="31"/>
  <c r="F14" i="31"/>
  <c r="D25" i="31"/>
  <c r="D13" i="31"/>
  <c r="F25" i="31"/>
  <c r="F13" i="31"/>
  <c r="D24" i="31"/>
  <c r="D12" i="31"/>
  <c r="F24" i="31"/>
  <c r="F12" i="31"/>
  <c r="F32" i="31"/>
  <c r="D23" i="31"/>
  <c r="D11" i="31"/>
  <c r="F23" i="31"/>
  <c r="F11" i="31"/>
  <c r="D22" i="31"/>
  <c r="D10" i="31"/>
  <c r="F22" i="31"/>
  <c r="F10" i="31"/>
  <c r="D21" i="31"/>
  <c r="D9" i="31"/>
  <c r="C32" i="27"/>
  <c r="C24" i="27"/>
  <c r="C16" i="27"/>
  <c r="D32" i="27"/>
  <c r="D24" i="27"/>
  <c r="D16" i="27"/>
  <c r="C23" i="27"/>
  <c r="C15" i="27"/>
  <c r="D31" i="27"/>
  <c r="D23" i="27"/>
  <c r="D15" i="27"/>
  <c r="F31" i="27"/>
  <c r="C22" i="27"/>
  <c r="D30" i="27"/>
  <c r="D22" i="27"/>
  <c r="D14" i="27"/>
  <c r="F30" i="27"/>
  <c r="F14" i="27"/>
  <c r="C29" i="27"/>
  <c r="C21" i="27"/>
  <c r="C13" i="27"/>
  <c r="D29" i="27"/>
  <c r="D21" i="27"/>
  <c r="D13" i="27"/>
  <c r="C28" i="27"/>
  <c r="C20" i="27"/>
  <c r="C12" i="27"/>
  <c r="D28" i="27"/>
  <c r="D20" i="27"/>
  <c r="D12" i="27"/>
  <c r="C27" i="27"/>
  <c r="C19" i="27"/>
  <c r="C11" i="27"/>
  <c r="D27" i="27"/>
  <c r="D19" i="27"/>
  <c r="D11" i="27"/>
  <c r="C26" i="27"/>
  <c r="C18" i="27"/>
  <c r="C10" i="27"/>
  <c r="D26" i="27"/>
  <c r="D18" i="27"/>
  <c r="D10" i="27"/>
  <c r="C25" i="27"/>
  <c r="C17" i="27"/>
  <c r="C9" i="27"/>
  <c r="D25" i="27"/>
  <c r="D17" i="27"/>
  <c r="D9" i="27"/>
  <c r="I5" i="31"/>
  <c r="B5" i="31"/>
  <c r="I4" i="31"/>
  <c r="B4" i="31"/>
  <c r="F33" i="31" l="1"/>
  <c r="E11" i="31"/>
  <c r="E20" i="31"/>
  <c r="E30" i="31"/>
  <c r="E18" i="31"/>
  <c r="E27" i="31"/>
  <c r="E15" i="31"/>
  <c r="E25" i="31"/>
  <c r="E13" i="31"/>
  <c r="E23" i="31"/>
  <c r="E32" i="31"/>
  <c r="E10" i="31"/>
  <c r="E22" i="31"/>
  <c r="E17" i="31"/>
  <c r="E29" i="31"/>
  <c r="C33" i="31"/>
  <c r="E12" i="31"/>
  <c r="E24" i="31"/>
  <c r="E19" i="31"/>
  <c r="E31" i="31"/>
  <c r="E14" i="31"/>
  <c r="E26" i="31"/>
  <c r="E21" i="31"/>
  <c r="K44" i="1"/>
  <c r="J32" i="1"/>
  <c r="E9" i="31" l="1"/>
  <c r="D33" i="31"/>
  <c r="E33" i="31" s="1"/>
  <c r="Q16" i="1"/>
  <c r="P16" i="1"/>
  <c r="R16" i="1"/>
  <c r="O16" i="1"/>
  <c r="H17" i="1"/>
  <c r="G17" i="1" s="1"/>
  <c r="H18" i="1"/>
  <c r="G18" i="1" s="1"/>
  <c r="I17" i="1"/>
  <c r="I18" i="1"/>
  <c r="F17" i="1"/>
  <c r="F18" i="1"/>
  <c r="D17" i="1"/>
  <c r="D18" i="1"/>
  <c r="J31" i="1"/>
  <c r="J20" i="1"/>
  <c r="L18" i="1" l="1"/>
  <c r="L17" i="1"/>
  <c r="K17" i="1" s="1"/>
  <c r="C16" i="23"/>
  <c r="C27" i="23"/>
  <c r="H23" i="23"/>
  <c r="H24" i="23"/>
  <c r="H25" i="23"/>
  <c r="H26" i="23"/>
  <c r="H12" i="23"/>
  <c r="H13" i="23"/>
  <c r="H14" i="23"/>
  <c r="H15" i="23"/>
  <c r="I5" i="30"/>
  <c r="B5" i="30"/>
  <c r="I4" i="30"/>
  <c r="B4" i="30"/>
  <c r="F33" i="30" l="1"/>
  <c r="J16" i="1" s="1"/>
  <c r="E32" i="30"/>
  <c r="E20" i="30"/>
  <c r="E31" i="30"/>
  <c r="E19" i="30"/>
  <c r="E30" i="30"/>
  <c r="E18" i="30"/>
  <c r="E29" i="30"/>
  <c r="E17" i="30"/>
  <c r="E28" i="30"/>
  <c r="E16" i="30"/>
  <c r="E27" i="30"/>
  <c r="E15" i="30"/>
  <c r="E26" i="30"/>
  <c r="E14" i="30"/>
  <c r="E25" i="30"/>
  <c r="E13" i="30"/>
  <c r="E24" i="30"/>
  <c r="E12" i="30"/>
  <c r="E23" i="30"/>
  <c r="E11" i="30"/>
  <c r="E22" i="30"/>
  <c r="E10" i="30"/>
  <c r="E21" i="30"/>
  <c r="E14" i="28"/>
  <c r="E23" i="28"/>
  <c r="I5" i="28"/>
  <c r="B5" i="28"/>
  <c r="I4" i="28"/>
  <c r="B4" i="28"/>
  <c r="J13" i="1" l="1"/>
  <c r="I16" i="1"/>
  <c r="C16" i="1"/>
  <c r="C33" i="30"/>
  <c r="E9" i="30"/>
  <c r="D33" i="30"/>
  <c r="E16" i="1" s="1"/>
  <c r="E31" i="28"/>
  <c r="E19" i="28"/>
  <c r="E30" i="28"/>
  <c r="E29" i="28"/>
  <c r="E17" i="28"/>
  <c r="E28" i="28"/>
  <c r="E16" i="28"/>
  <c r="E27" i="28"/>
  <c r="E15" i="28"/>
  <c r="E26" i="28"/>
  <c r="E25" i="28"/>
  <c r="E13" i="28"/>
  <c r="E12" i="28"/>
  <c r="E11" i="28"/>
  <c r="E22" i="28"/>
  <c r="E10" i="28"/>
  <c r="E21" i="28"/>
  <c r="E32" i="28"/>
  <c r="E20" i="28"/>
  <c r="E24" i="28"/>
  <c r="E18" i="28"/>
  <c r="F33" i="28" l="1"/>
  <c r="J10" i="1" s="1"/>
  <c r="E33" i="30"/>
  <c r="E13" i="1"/>
  <c r="C10" i="1"/>
  <c r="C33" i="28"/>
  <c r="E9" i="28"/>
  <c r="D33" i="28"/>
  <c r="E10" i="1" s="1"/>
  <c r="I5" i="27"/>
  <c r="B5" i="27"/>
  <c r="I4" i="27"/>
  <c r="B4" i="27"/>
  <c r="E23" i="27" l="1"/>
  <c r="E31" i="27"/>
  <c r="E12" i="27"/>
  <c r="E22" i="27"/>
  <c r="E21" i="27"/>
  <c r="E20" i="27"/>
  <c r="E19" i="27"/>
  <c r="E11" i="27"/>
  <c r="E15" i="27"/>
  <c r="E29" i="27"/>
  <c r="E28" i="27"/>
  <c r="E18" i="27"/>
  <c r="E10" i="27"/>
  <c r="E30" i="27"/>
  <c r="E13" i="27"/>
  <c r="E27" i="27"/>
  <c r="E26" i="27"/>
  <c r="E25" i="27"/>
  <c r="E17" i="27"/>
  <c r="E9" i="27"/>
  <c r="E14" i="27"/>
  <c r="E32" i="27"/>
  <c r="E24" i="27"/>
  <c r="E16" i="27"/>
  <c r="F16" i="1"/>
  <c r="E33" i="28"/>
  <c r="B30" i="25"/>
  <c r="D30" i="25" s="1"/>
  <c r="B31" i="25"/>
  <c r="D31" i="25" s="1"/>
  <c r="B32" i="25"/>
  <c r="D32" i="25" s="1"/>
  <c r="B33" i="25"/>
  <c r="D33" i="25" s="1"/>
  <c r="B34" i="25"/>
  <c r="D34" i="25" s="1"/>
  <c r="B35" i="25"/>
  <c r="D35" i="25" s="1"/>
  <c r="B23" i="25"/>
  <c r="D23" i="25" s="1"/>
  <c r="B24" i="25"/>
  <c r="D24" i="25" s="1"/>
  <c r="B25" i="25"/>
  <c r="D25" i="25" s="1"/>
  <c r="B26" i="25"/>
  <c r="D26" i="25" s="1"/>
  <c r="B27" i="25"/>
  <c r="D27" i="25" s="1"/>
  <c r="B28" i="25"/>
  <c r="D28" i="25" s="1"/>
  <c r="B29" i="25"/>
  <c r="D29" i="25" s="1"/>
  <c r="B9" i="26"/>
  <c r="D9" i="26" s="1"/>
  <c r="B10" i="26"/>
  <c r="D10" i="26" s="1"/>
  <c r="B11" i="26"/>
  <c r="D11" i="26" s="1"/>
  <c r="B12" i="26"/>
  <c r="D12" i="26" s="1"/>
  <c r="B13" i="26"/>
  <c r="D13" i="26" s="1"/>
  <c r="B14" i="26"/>
  <c r="D14" i="26" s="1"/>
  <c r="B15" i="26"/>
  <c r="D15" i="26" s="1"/>
  <c r="B16" i="26"/>
  <c r="D16" i="26" s="1"/>
  <c r="B17" i="26"/>
  <c r="D17" i="26" s="1"/>
  <c r="B18" i="26"/>
  <c r="D18" i="26" s="1"/>
  <c r="B19" i="26"/>
  <c r="D19" i="26" s="1"/>
  <c r="B20" i="26"/>
  <c r="D20" i="26" s="1"/>
  <c r="B21" i="26"/>
  <c r="D21" i="26" s="1"/>
  <c r="B22" i="26"/>
  <c r="D22" i="26" s="1"/>
  <c r="B23" i="26"/>
  <c r="D23" i="26" s="1"/>
  <c r="B24" i="26"/>
  <c r="D24" i="26" s="1"/>
  <c r="B25" i="26"/>
  <c r="D25" i="26" s="1"/>
  <c r="B26" i="26"/>
  <c r="D26" i="26" s="1"/>
  <c r="B27" i="26"/>
  <c r="D27" i="26" s="1"/>
  <c r="B28" i="26"/>
  <c r="D28" i="26" s="1"/>
  <c r="B29" i="26"/>
  <c r="D29" i="26" s="1"/>
  <c r="B30" i="26"/>
  <c r="D30" i="26" s="1"/>
  <c r="B31" i="26"/>
  <c r="D31" i="26" s="1"/>
  <c r="B32" i="26"/>
  <c r="D32" i="26" s="1"/>
  <c r="I5" i="26"/>
  <c r="B5" i="26"/>
  <c r="I4" i="26"/>
  <c r="B4" i="26"/>
  <c r="F15" i="26" l="1"/>
  <c r="C15" i="26"/>
  <c r="F13" i="26"/>
  <c r="C13" i="26"/>
  <c r="F29" i="26"/>
  <c r="C29" i="26"/>
  <c r="F14" i="26"/>
  <c r="E14" i="26"/>
  <c r="C14" i="26"/>
  <c r="F12" i="26"/>
  <c r="C12" i="26"/>
  <c r="F34" i="25"/>
  <c r="E34" i="25"/>
  <c r="C34" i="25"/>
  <c r="F16" i="26"/>
  <c r="C16" i="26"/>
  <c r="F24" i="25"/>
  <c r="E24" i="25"/>
  <c r="C24" i="25"/>
  <c r="F11" i="26"/>
  <c r="E11" i="26"/>
  <c r="C11" i="26"/>
  <c r="F33" i="25"/>
  <c r="E33" i="25"/>
  <c r="C33" i="25"/>
  <c r="F28" i="26"/>
  <c r="E28" i="26"/>
  <c r="C28" i="26"/>
  <c r="F17" i="26"/>
  <c r="E17" i="26"/>
  <c r="C17" i="26"/>
  <c r="F23" i="25"/>
  <c r="C23" i="25"/>
  <c r="F35" i="25"/>
  <c r="E35" i="25"/>
  <c r="C35" i="25"/>
  <c r="F23" i="26"/>
  <c r="E23" i="26"/>
  <c r="C23" i="26"/>
  <c r="F9" i="26"/>
  <c r="E9" i="26"/>
  <c r="C9" i="26"/>
  <c r="C31" i="25"/>
  <c r="F31" i="25"/>
  <c r="F24" i="26"/>
  <c r="C24" i="26"/>
  <c r="F22" i="26"/>
  <c r="E22" i="26"/>
  <c r="C22" i="26"/>
  <c r="E32" i="25"/>
  <c r="C32" i="25"/>
  <c r="F32" i="25"/>
  <c r="F32" i="26"/>
  <c r="E32" i="26"/>
  <c r="C32" i="26"/>
  <c r="C29" i="25"/>
  <c r="F29" i="25"/>
  <c r="E29" i="25"/>
  <c r="C30" i="25"/>
  <c r="F30" i="25"/>
  <c r="E30" i="25"/>
  <c r="E25" i="25"/>
  <c r="F25" i="25"/>
  <c r="C25" i="25"/>
  <c r="F26" i="26"/>
  <c r="E26" i="26"/>
  <c r="C26" i="26"/>
  <c r="F25" i="26"/>
  <c r="E25" i="26"/>
  <c r="C25" i="26"/>
  <c r="F10" i="26"/>
  <c r="E10" i="26"/>
  <c r="C10" i="26"/>
  <c r="F21" i="26"/>
  <c r="E21" i="26"/>
  <c r="C21" i="26"/>
  <c r="F31" i="26"/>
  <c r="E31" i="26"/>
  <c r="C31" i="26"/>
  <c r="C28" i="25"/>
  <c r="F28" i="25"/>
  <c r="E28" i="25"/>
  <c r="F26" i="25"/>
  <c r="E26" i="25"/>
  <c r="C26" i="25"/>
  <c r="F27" i="26"/>
  <c r="E27" i="26"/>
  <c r="C27" i="26"/>
  <c r="F20" i="26"/>
  <c r="E20" i="26"/>
  <c r="C20" i="26"/>
  <c r="F19" i="26"/>
  <c r="E19" i="26"/>
  <c r="C19" i="26"/>
  <c r="F30" i="26"/>
  <c r="E30" i="26"/>
  <c r="C30" i="26"/>
  <c r="F18" i="26"/>
  <c r="E18" i="26"/>
  <c r="C18" i="26"/>
  <c r="F27" i="25"/>
  <c r="E27" i="25"/>
  <c r="C27" i="25"/>
  <c r="E24" i="26"/>
  <c r="E13" i="26"/>
  <c r="E15" i="26"/>
  <c r="E29" i="26"/>
  <c r="E16" i="26"/>
  <c r="F33" i="27"/>
  <c r="J14" i="1" s="1"/>
  <c r="C14" i="1"/>
  <c r="D33" i="27"/>
  <c r="E14" i="1" s="1"/>
  <c r="H16" i="1"/>
  <c r="D16" i="1"/>
  <c r="C33" i="27"/>
  <c r="E31" i="25"/>
  <c r="E23" i="25"/>
  <c r="E12" i="26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15" i="4"/>
  <c r="F15" i="4" s="1"/>
  <c r="E16" i="4"/>
  <c r="F16" i="4" s="1"/>
  <c r="E17" i="4"/>
  <c r="F17" i="4" s="1"/>
  <c r="E18" i="4"/>
  <c r="F18" i="4" s="1"/>
  <c r="E19" i="4"/>
  <c r="F19" i="4" s="1"/>
  <c r="E20" i="4"/>
  <c r="F20" i="4" s="1"/>
  <c r="E21" i="4"/>
  <c r="F21" i="4" s="1"/>
  <c r="E22" i="4"/>
  <c r="F22" i="4" s="1"/>
  <c r="E23" i="4"/>
  <c r="F23" i="4" s="1"/>
  <c r="E24" i="4"/>
  <c r="F24" i="4" s="1"/>
  <c r="E25" i="4"/>
  <c r="F25" i="4" s="1"/>
  <c r="E26" i="4"/>
  <c r="F26" i="4" s="1"/>
  <c r="E27" i="4"/>
  <c r="F27" i="4" s="1"/>
  <c r="E28" i="4"/>
  <c r="F28" i="4" s="1"/>
  <c r="E29" i="4"/>
  <c r="F29" i="4" s="1"/>
  <c r="E30" i="4"/>
  <c r="F30" i="4" s="1"/>
  <c r="E31" i="4"/>
  <c r="F31" i="4" s="1"/>
  <c r="E32" i="4"/>
  <c r="F32" i="4" s="1"/>
  <c r="D9" i="4"/>
  <c r="H9" i="4" s="1"/>
  <c r="D10" i="4"/>
  <c r="H10" i="4" s="1"/>
  <c r="D11" i="4"/>
  <c r="H11" i="4" s="1"/>
  <c r="D12" i="4"/>
  <c r="H12" i="4" s="1"/>
  <c r="D13" i="4"/>
  <c r="H13" i="4" s="1"/>
  <c r="D14" i="4"/>
  <c r="H14" i="4" s="1"/>
  <c r="D15" i="4"/>
  <c r="H15" i="4" s="1"/>
  <c r="D16" i="4"/>
  <c r="H16" i="4" s="1"/>
  <c r="D17" i="4"/>
  <c r="H17" i="4" s="1"/>
  <c r="D18" i="4"/>
  <c r="H18" i="4" s="1"/>
  <c r="D19" i="4"/>
  <c r="H19" i="4" s="1"/>
  <c r="D20" i="4"/>
  <c r="H20" i="4" s="1"/>
  <c r="D21" i="4"/>
  <c r="H21" i="4" s="1"/>
  <c r="D22" i="4"/>
  <c r="H22" i="4" s="1"/>
  <c r="D23" i="4"/>
  <c r="H23" i="4" s="1"/>
  <c r="D24" i="4"/>
  <c r="H24" i="4" s="1"/>
  <c r="D25" i="4"/>
  <c r="H25" i="4" s="1"/>
  <c r="D26" i="4"/>
  <c r="H26" i="4" s="1"/>
  <c r="D27" i="4"/>
  <c r="H27" i="4" s="1"/>
  <c r="D28" i="4"/>
  <c r="H28" i="4" s="1"/>
  <c r="D29" i="4"/>
  <c r="H29" i="4" s="1"/>
  <c r="D30" i="4"/>
  <c r="H30" i="4" s="1"/>
  <c r="D31" i="4"/>
  <c r="H31" i="4" s="1"/>
  <c r="D32" i="4"/>
  <c r="H32" i="4" s="1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B9" i="25"/>
  <c r="D9" i="25" s="1"/>
  <c r="B10" i="25"/>
  <c r="D10" i="25" s="1"/>
  <c r="B11" i="25"/>
  <c r="D11" i="25" s="1"/>
  <c r="B12" i="25"/>
  <c r="D12" i="25" s="1"/>
  <c r="B13" i="25"/>
  <c r="D13" i="25" s="1"/>
  <c r="B14" i="25"/>
  <c r="D14" i="25" s="1"/>
  <c r="B15" i="25"/>
  <c r="D15" i="25" s="1"/>
  <c r="B16" i="25"/>
  <c r="D16" i="25" s="1"/>
  <c r="B17" i="25"/>
  <c r="D17" i="25" s="1"/>
  <c r="B18" i="25"/>
  <c r="D18" i="25" s="1"/>
  <c r="B19" i="25"/>
  <c r="D19" i="25" s="1"/>
  <c r="B20" i="25"/>
  <c r="D20" i="25" s="1"/>
  <c r="B21" i="25"/>
  <c r="D21" i="25" s="1"/>
  <c r="B22" i="25"/>
  <c r="D22" i="25" s="1"/>
  <c r="I5" i="25"/>
  <c r="B5" i="25"/>
  <c r="I4" i="25"/>
  <c r="B4" i="25"/>
  <c r="F11" i="25" l="1"/>
  <c r="C11" i="25"/>
  <c r="F22" i="25"/>
  <c r="C22" i="25"/>
  <c r="F10" i="25"/>
  <c r="C10" i="25"/>
  <c r="C16" i="25"/>
  <c r="F16" i="25"/>
  <c r="E16" i="25"/>
  <c r="F13" i="25"/>
  <c r="E13" i="25"/>
  <c r="C13" i="25"/>
  <c r="F12" i="25"/>
  <c r="C12" i="25"/>
  <c r="C21" i="25"/>
  <c r="E21" i="25"/>
  <c r="F21" i="25"/>
  <c r="F9" i="25"/>
  <c r="C9" i="25"/>
  <c r="E20" i="25"/>
  <c r="C20" i="25"/>
  <c r="F20" i="25"/>
  <c r="C18" i="25"/>
  <c r="F18" i="25"/>
  <c r="E18" i="25"/>
  <c r="C17" i="25"/>
  <c r="F17" i="25"/>
  <c r="E17" i="25"/>
  <c r="F15" i="25"/>
  <c r="E15" i="25"/>
  <c r="C15" i="25"/>
  <c r="C19" i="25"/>
  <c r="F19" i="25"/>
  <c r="F14" i="25"/>
  <c r="E14" i="25"/>
  <c r="C14" i="25"/>
  <c r="C11" i="1"/>
  <c r="F33" i="26"/>
  <c r="J15" i="1" s="1"/>
  <c r="G16" i="1"/>
  <c r="L16" i="1"/>
  <c r="K16" i="1" s="1"/>
  <c r="E33" i="27"/>
  <c r="H33" i="4"/>
  <c r="J11" i="1" s="1"/>
  <c r="E22" i="25"/>
  <c r="E10" i="25"/>
  <c r="E12" i="25"/>
  <c r="E11" i="25"/>
  <c r="C33" i="26"/>
  <c r="C15" i="1"/>
  <c r="D33" i="26"/>
  <c r="E15" i="1" s="1"/>
  <c r="E33" i="4"/>
  <c r="E11" i="1" s="1"/>
  <c r="D33" i="4"/>
  <c r="F36" i="25" l="1"/>
  <c r="J12" i="1" s="1"/>
  <c r="D36" i="25"/>
  <c r="E12" i="1" s="1"/>
  <c r="C12" i="1"/>
  <c r="F33" i="4"/>
  <c r="E9" i="25"/>
  <c r="E19" i="25"/>
  <c r="E33" i="26"/>
  <c r="E36" i="25" l="1"/>
  <c r="B10" i="4"/>
  <c r="D10" i="1" l="1"/>
  <c r="K27" i="1" l="1"/>
  <c r="K28" i="1"/>
  <c r="I5" i="23" l="1"/>
  <c r="I4" i="23"/>
  <c r="K26" i="1"/>
  <c r="K29" i="1"/>
  <c r="K25" i="1"/>
  <c r="K24" i="1"/>
  <c r="L30" i="1" l="1"/>
  <c r="L32" i="1" s="1"/>
  <c r="K32" i="1" s="1"/>
  <c r="K30" i="1" l="1"/>
  <c r="L31" i="1"/>
  <c r="K31" i="1" s="1"/>
  <c r="L33" i="1" l="1"/>
  <c r="K33" i="1" l="1"/>
  <c r="L36" i="1"/>
  <c r="K36" i="1" s="1"/>
  <c r="I5" i="7"/>
  <c r="B5" i="7"/>
  <c r="I4" i="7"/>
  <c r="B5" i="23"/>
  <c r="B4" i="23"/>
  <c r="L40" i="1" l="1"/>
  <c r="K40" i="1" s="1"/>
  <c r="L39" i="1"/>
  <c r="K39" i="1" s="1"/>
  <c r="I15" i="1"/>
  <c r="I14" i="1"/>
  <c r="I13" i="1"/>
  <c r="I12" i="1"/>
  <c r="I10" i="1"/>
  <c r="F10" i="1"/>
  <c r="D13" i="1"/>
  <c r="D14" i="1"/>
  <c r="D9" i="1"/>
  <c r="B9" i="4" l="1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F15" i="1"/>
  <c r="E8" i="1"/>
  <c r="F8" i="1" s="1"/>
  <c r="C8" i="1"/>
  <c r="E9" i="1"/>
  <c r="F12" i="1"/>
  <c r="H9" i="1" l="1"/>
  <c r="G9" i="1" s="1"/>
  <c r="F9" i="1"/>
  <c r="H14" i="1"/>
  <c r="G14" i="1" s="1"/>
  <c r="F14" i="1"/>
  <c r="H13" i="1"/>
  <c r="G13" i="1" s="1"/>
  <c r="F13" i="1"/>
  <c r="H8" i="1"/>
  <c r="D8" i="1"/>
  <c r="H15" i="1"/>
  <c r="G15" i="1" s="1"/>
  <c r="D15" i="1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C46" i="3" l="1"/>
  <c r="D46" i="3" s="1"/>
  <c r="E46" i="3"/>
  <c r="E41" i="3"/>
  <c r="C41" i="3"/>
  <c r="D41" i="3" s="1"/>
  <c r="C44" i="3"/>
  <c r="D44" i="3" s="1"/>
  <c r="E44" i="3"/>
  <c r="E35" i="3"/>
  <c r="C35" i="3"/>
  <c r="D35" i="3" s="1"/>
  <c r="E34" i="3"/>
  <c r="C34" i="3"/>
  <c r="D34" i="3" s="1"/>
  <c r="E43" i="3"/>
  <c r="C43" i="3"/>
  <c r="D43" i="3" s="1"/>
  <c r="E39" i="3"/>
  <c r="C39" i="3"/>
  <c r="D39" i="3" s="1"/>
  <c r="E37" i="3"/>
  <c r="C37" i="3"/>
  <c r="D37" i="3" s="1"/>
  <c r="E45" i="3"/>
  <c r="C45" i="3"/>
  <c r="D45" i="3" s="1"/>
  <c r="C42" i="3"/>
  <c r="D42" i="3" s="1"/>
  <c r="E42" i="3"/>
  <c r="E40" i="3"/>
  <c r="C40" i="3"/>
  <c r="D40" i="3" s="1"/>
  <c r="E38" i="3"/>
  <c r="C38" i="3"/>
  <c r="D38" i="3" s="1"/>
  <c r="C36" i="3"/>
  <c r="D36" i="3" s="1"/>
  <c r="E36" i="3"/>
  <c r="E19" i="1"/>
  <c r="R10" i="1" s="1"/>
  <c r="R11" i="1" s="1"/>
  <c r="G8" i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E27" i="3" l="1"/>
  <c r="C27" i="3"/>
  <c r="D27" i="3" s="1"/>
  <c r="E15" i="3"/>
  <c r="C15" i="3"/>
  <c r="D15" i="3" s="1"/>
  <c r="E26" i="3"/>
  <c r="C26" i="3"/>
  <c r="D26" i="3" s="1"/>
  <c r="E14" i="3"/>
  <c r="C14" i="3"/>
  <c r="D14" i="3" s="1"/>
  <c r="E31" i="3"/>
  <c r="C31" i="3"/>
  <c r="D31" i="3" s="1"/>
  <c r="C19" i="3"/>
  <c r="D19" i="3" s="1"/>
  <c r="E19" i="3"/>
  <c r="C30" i="3"/>
  <c r="D30" i="3" s="1"/>
  <c r="E30" i="3"/>
  <c r="E18" i="3"/>
  <c r="C18" i="3"/>
  <c r="D18" i="3" s="1"/>
  <c r="E29" i="3"/>
  <c r="C29" i="3"/>
  <c r="D29" i="3" s="1"/>
  <c r="C17" i="3"/>
  <c r="D17" i="3" s="1"/>
  <c r="E17" i="3"/>
  <c r="E28" i="3"/>
  <c r="C28" i="3"/>
  <c r="D28" i="3" s="1"/>
  <c r="E16" i="3"/>
  <c r="C16" i="3"/>
  <c r="D16" i="3" s="1"/>
  <c r="C25" i="3"/>
  <c r="D25" i="3" s="1"/>
  <c r="E25" i="3"/>
  <c r="C13" i="3"/>
  <c r="D13" i="3" s="1"/>
  <c r="E13" i="3"/>
  <c r="C24" i="3"/>
  <c r="D24" i="3" s="1"/>
  <c r="E24" i="3"/>
  <c r="C12" i="3"/>
  <c r="D12" i="3" s="1"/>
  <c r="E12" i="3"/>
  <c r="E23" i="3"/>
  <c r="C23" i="3"/>
  <c r="D23" i="3" s="1"/>
  <c r="C11" i="3"/>
  <c r="D11" i="3" s="1"/>
  <c r="E11" i="3"/>
  <c r="E22" i="3"/>
  <c r="C22" i="3"/>
  <c r="D22" i="3" s="1"/>
  <c r="C10" i="3"/>
  <c r="D10" i="3" s="1"/>
  <c r="E10" i="3"/>
  <c r="C33" i="3"/>
  <c r="D33" i="3" s="1"/>
  <c r="E33" i="3"/>
  <c r="C21" i="3"/>
  <c r="D21" i="3" s="1"/>
  <c r="E21" i="3"/>
  <c r="C9" i="3"/>
  <c r="D9" i="3" s="1"/>
  <c r="E9" i="3"/>
  <c r="C32" i="3"/>
  <c r="D32" i="3" s="1"/>
  <c r="E32" i="3"/>
  <c r="C20" i="3"/>
  <c r="D20" i="3" s="1"/>
  <c r="E20" i="3"/>
  <c r="H20" i="23"/>
  <c r="I20" i="23" s="1"/>
  <c r="H21" i="23"/>
  <c r="I21" i="23" s="1"/>
  <c r="H22" i="23"/>
  <c r="I22" i="23" s="1"/>
  <c r="H9" i="23"/>
  <c r="I9" i="23" s="1"/>
  <c r="H10" i="23"/>
  <c r="I10" i="23" s="1"/>
  <c r="H11" i="23"/>
  <c r="I11" i="23" s="1"/>
  <c r="F19" i="1"/>
  <c r="F11" i="1"/>
  <c r="I16" i="23" l="1"/>
  <c r="L37" i="1" s="1"/>
  <c r="K37" i="1" s="1"/>
  <c r="I27" i="23"/>
  <c r="L38" i="1" s="1"/>
  <c r="K38" i="1" s="1"/>
  <c r="E47" i="3" l="1"/>
  <c r="L41" i="1" l="1"/>
  <c r="K41" i="1" s="1"/>
  <c r="K18" i="1"/>
  <c r="L13" i="1"/>
  <c r="K13" i="1" s="1"/>
  <c r="L14" i="1"/>
  <c r="K14" i="1" s="1"/>
  <c r="L15" i="1"/>
  <c r="K15" i="1" s="1"/>
  <c r="L42" i="1" l="1"/>
  <c r="K42" i="1" s="1"/>
  <c r="H10" i="1" l="1"/>
  <c r="J9" i="1" l="1"/>
  <c r="I9" i="1" s="1"/>
  <c r="L9" i="1" s="1"/>
  <c r="K9" i="1" s="1"/>
  <c r="J8" i="1"/>
  <c r="G10" i="1"/>
  <c r="H12" i="1"/>
  <c r="D12" i="1"/>
  <c r="L10" i="1" l="1"/>
  <c r="K10" i="1" s="1"/>
  <c r="L12" i="1"/>
  <c r="K12" i="1" s="1"/>
  <c r="G12" i="1"/>
  <c r="K5" i="4"/>
  <c r="K4" i="4"/>
  <c r="H5" i="3"/>
  <c r="H4" i="3"/>
  <c r="B5" i="4"/>
  <c r="B4" i="4"/>
  <c r="B5" i="3"/>
  <c r="B4" i="3"/>
  <c r="L5" i="1"/>
  <c r="L4" i="1"/>
  <c r="B5" i="1"/>
  <c r="B4" i="1"/>
  <c r="D11" i="1" l="1"/>
  <c r="H11" i="1"/>
  <c r="I11" i="1"/>
  <c r="L11" i="1" l="1"/>
  <c r="K11" i="1" s="1"/>
  <c r="G11" i="1"/>
  <c r="H19" i="1"/>
  <c r="P17" i="1" s="1"/>
  <c r="P18" i="1" s="1"/>
  <c r="G19" i="1" l="1"/>
  <c r="C19" i="1"/>
  <c r="Q10" i="1" s="1"/>
  <c r="Q11" i="1" s="1"/>
  <c r="D19" i="1" l="1"/>
  <c r="Q17" i="1"/>
  <c r="Q18" i="1" s="1"/>
  <c r="I8" i="1"/>
  <c r="L8" i="1"/>
  <c r="L19" i="1" s="1"/>
  <c r="R17" i="1" s="1"/>
  <c r="R18" i="1" s="1"/>
  <c r="J19" i="1"/>
  <c r="I19" i="1" l="1"/>
  <c r="O17" i="1"/>
  <c r="O18" i="1" s="1"/>
  <c r="K8" i="1"/>
  <c r="L20" i="1" l="1"/>
  <c r="K20" i="1" s="1"/>
  <c r="K19" i="1"/>
  <c r="L21" i="1" l="1"/>
  <c r="K21" i="1" l="1"/>
  <c r="L44" i="1"/>
  <c r="L46" i="1" s="1"/>
  <c r="K46" i="1" s="1"/>
</calcChain>
</file>

<file path=xl/connections.xml><?xml version="1.0" encoding="utf-8"?>
<connections xmlns="http://schemas.openxmlformats.org/spreadsheetml/2006/main">
  <connection id="1" name="EST-Job Info" type="6" refreshedVersion="6" background="1" saveData="1">
    <textPr prompt="0" codePage="437" sourceFile="C:\Autodesk Fabrication\DataExports\EST-Job Info.TXT" tab="0" comma="1">
      <textFields count="4">
        <textField/>
        <textField/>
        <textField/>
        <textField/>
      </textFields>
    </textPr>
  </connection>
  <connection id="2" name="P-EST-Accessories" type="6" refreshedVersion="6" background="1" saveData="1">
    <textPr prompt="0" codePage="437" sourceFile="C:\Autodesk Fabrication\DataExports\P-EST-Accessories.TXT" tab="0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P-EST-Ancillaries" type="6" refreshedVersion="6" background="1" saveData="1">
    <textPr prompt="0" codePage="437" sourceFile="C:\Autodesk Fabrication\DataExports\P-EST-Ancillaries.TXT" tab="0" comma="1">
      <textFields count="13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P-EST-Equipment" type="6" refreshedVersion="6" background="1" saveData="1">
    <textPr prompt="0" codePage="437" sourceFile="C:\Autodesk Fabrication\DataExports\P-EST-Equipment.TXT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P-EST-Fittings" type="6" refreshedVersion="6" background="1" saveData="1">
    <textPr prompt="0" codePage="437" sourceFile="C:\Autodesk Fabrication\DataExports\P-EST-Fittings.TXT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P-EST-Hangers" type="6" refreshedVersion="6" background="1" saveData="1">
    <textPr prompt="0" codePage="437" sourceFile="C:\Autodesk Fabrication\DataExports\P-EST-Hangers.TXT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P-EST-Pipe" type="6" refreshedVersion="6" background="1" saveData="1">
    <textPr prompt="0" codePage="437" sourceFile="C:\Autodesk Fabrication\DataExports\P-EST-Pipe.TXT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P-EST-Sleeves" type="6" refreshedVersion="6" background="1" saveData="1">
    <textPr prompt="0" codePage="437" sourceFile="C:\Autodesk Fabrication\DataExports\P-EST-Sleeves.TXT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P-EST-Valves" type="6" refreshedVersion="6" background="1" saveData="1">
    <textPr prompt="0" codePage="437" sourceFile="C:\Autodesk Fabrication\DataExports\P-EST-Valves.TXT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Supplier Provided Pricing" type="6" refreshedVersion="6" background="1" saveData="1">
    <textPr prompt="0" codePage="437" sourceFile="C:\Autodesk Fabrication\DataExports\Supplier Provided Pricing.CSV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Supplier Provided Pricing - pipe" type="6" refreshedVersion="6" background="1" saveData="1">
    <textPr prompt="0" codePage="437" sourceFile="C:\Autodesk Fabrication\DataExports\Supplier Provided Pricing - pipe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<sst xmlns="http://schemas.openxmlformats.org/spreadsheetml/2006/main" count="399" uniqueCount="172">
  <si>
    <t>TOTAL</t>
  </si>
  <si>
    <t>Ancillaries</t>
  </si>
  <si>
    <t>Hangers</t>
  </si>
  <si>
    <t>Equipment</t>
  </si>
  <si>
    <t>Accessories</t>
  </si>
  <si>
    <t>Flex Duct</t>
  </si>
  <si>
    <t>Subtotal</t>
  </si>
  <si>
    <t>LABOR COST</t>
  </si>
  <si>
    <t>MATERIAL COST</t>
  </si>
  <si>
    <t>Estimating Summary</t>
  </si>
  <si>
    <t>Esitmator:</t>
  </si>
  <si>
    <t>Esitmate No.</t>
  </si>
  <si>
    <t>Bought Out</t>
  </si>
  <si>
    <t>Round Fittings</t>
  </si>
  <si>
    <t>Other Cost</t>
  </si>
  <si>
    <t>Subcontracts</t>
  </si>
  <si>
    <t>Rentals</t>
  </si>
  <si>
    <t>Management</t>
  </si>
  <si>
    <t>Misc.</t>
  </si>
  <si>
    <t>Rate</t>
  </si>
  <si>
    <t>Shop Labor</t>
  </si>
  <si>
    <t>Field Labor</t>
  </si>
  <si>
    <t>Project Management</t>
  </si>
  <si>
    <t>Supervision</t>
  </si>
  <si>
    <t>Administration</t>
  </si>
  <si>
    <t>Detail/Coordination</t>
  </si>
  <si>
    <t>Material Handling</t>
  </si>
  <si>
    <t>Saftey</t>
  </si>
  <si>
    <t>Total</t>
  </si>
  <si>
    <t>Cost</t>
  </si>
  <si>
    <t>Qty/ft</t>
  </si>
  <si>
    <t>Description</t>
  </si>
  <si>
    <t>%</t>
  </si>
  <si>
    <t>Tag</t>
  </si>
  <si>
    <t>SHOP LABOR</t>
  </si>
  <si>
    <t>FIELD LABOR</t>
  </si>
  <si>
    <t>Other Costs</t>
  </si>
  <si>
    <t>Labor</t>
  </si>
  <si>
    <t>Balancing</t>
  </si>
  <si>
    <t>Controls</t>
  </si>
  <si>
    <t>Coring</t>
  </si>
  <si>
    <t>Excavation</t>
  </si>
  <si>
    <t>Fire Stop</t>
  </si>
  <si>
    <t>Insulation</t>
  </si>
  <si>
    <t>Paint</t>
  </si>
  <si>
    <t>Barricades</t>
  </si>
  <si>
    <t>Crane</t>
  </si>
  <si>
    <t>Fork Lift</t>
  </si>
  <si>
    <t>Job Office Trailers</t>
  </si>
  <si>
    <t>Job Storage Trailers</t>
  </si>
  <si>
    <t>Man Lift</t>
  </si>
  <si>
    <t>Shoring</t>
  </si>
  <si>
    <t>% of total field hrs =</t>
  </si>
  <si>
    <t>Administrative Costs</t>
  </si>
  <si>
    <t>Method</t>
  </si>
  <si>
    <t>Hours</t>
  </si>
  <si>
    <t>Detailing/Coordination</t>
  </si>
  <si>
    <t>Safety</t>
  </si>
  <si>
    <t>Field Support</t>
  </si>
  <si>
    <t>Travel</t>
  </si>
  <si>
    <t>Over Time Labor</t>
  </si>
  <si>
    <t>Start-Up</t>
  </si>
  <si>
    <t>Project Total</t>
  </si>
  <si>
    <t>Sales Tax</t>
  </si>
  <si>
    <t>Markup</t>
  </si>
  <si>
    <t>CONTRACTOR</t>
  </si>
  <si>
    <t>Qty</t>
  </si>
  <si>
    <t>Material</t>
  </si>
  <si>
    <t>multipliers</t>
  </si>
  <si>
    <t>Each ($)</t>
  </si>
  <si>
    <t>Subtotal ($)</t>
  </si>
  <si>
    <t>Overall Profit Margin</t>
  </si>
  <si>
    <t>Equipment Summary</t>
  </si>
  <si>
    <t>EST</t>
  </si>
  <si>
    <t>Category</t>
  </si>
  <si>
    <t>Mat</t>
  </si>
  <si>
    <t>Fab</t>
  </si>
  <si>
    <t>Install</t>
  </si>
  <si>
    <t>Manufactured</t>
  </si>
  <si>
    <t>Group</t>
  </si>
  <si>
    <t>Rect Straights</t>
  </si>
  <si>
    <t>Rect Fittings</t>
  </si>
  <si>
    <t>Round Pipes</t>
  </si>
  <si>
    <t>Oval Fittings</t>
  </si>
  <si>
    <t>*Generic HVAC Equipment*</t>
  </si>
  <si>
    <t>Generic</t>
  </si>
  <si>
    <t>HVAC - Manufactures</t>
  </si>
  <si>
    <t>Mechanical - Manufactures</t>
  </si>
  <si>
    <t>Miscellaneous</t>
  </si>
  <si>
    <t>Sleeves</t>
  </si>
  <si>
    <t>Hanger Summary</t>
  </si>
  <si>
    <t>Sleeve Summary</t>
  </si>
  <si>
    <t>Field</t>
  </si>
  <si>
    <t>Value</t>
  </si>
  <si>
    <t>Tax Rate</t>
  </si>
  <si>
    <t>difference</t>
  </si>
  <si>
    <r>
      <t xml:space="preserve">Labor </t>
    </r>
    <r>
      <rPr>
        <b/>
        <sz val="11"/>
        <color theme="0" tint="-0.499984740745262"/>
        <rFont val="Calibri"/>
        <family val="2"/>
        <scheme val="minor"/>
      </rPr>
      <t>($)</t>
    </r>
  </si>
  <si>
    <r>
      <t xml:space="preserve">Labor </t>
    </r>
    <r>
      <rPr>
        <b/>
        <sz val="11"/>
        <color theme="0" tint="-0.499984740745262"/>
        <rFont val="Calibri"/>
        <family val="2"/>
        <scheme val="minor"/>
      </rPr>
      <t>(hrs)</t>
    </r>
  </si>
  <si>
    <t>summary sheet</t>
  </si>
  <si>
    <r>
      <t>Total</t>
    </r>
    <r>
      <rPr>
        <b/>
        <sz val="11"/>
        <color theme="0" tint="-0.499984740745262"/>
        <rFont val="Calibri"/>
        <family val="2"/>
        <scheme val="minor"/>
      </rPr>
      <t xml:space="preserve"> ($)</t>
    </r>
  </si>
  <si>
    <t>Subcontract Markup</t>
  </si>
  <si>
    <t>Profit Margin</t>
  </si>
  <si>
    <t>Pipework</t>
  </si>
  <si>
    <t>Pipework - Manufactured</t>
  </si>
  <si>
    <t>Pipework - Bought Out</t>
  </si>
  <si>
    <t>Pipework Ancillary Summary</t>
  </si>
  <si>
    <t>Valves</t>
  </si>
  <si>
    <t>Valves Summary</t>
  </si>
  <si>
    <t>Pipe</t>
  </si>
  <si>
    <t>Pipe Summary</t>
  </si>
  <si>
    <t>ID</t>
  </si>
  <si>
    <t>Project</t>
  </si>
  <si>
    <t>Section</t>
  </si>
  <si>
    <t>PipeName</t>
  </si>
  <si>
    <t>Qty (ft)</t>
  </si>
  <si>
    <t>JobName</t>
  </si>
  <si>
    <t>Service</t>
  </si>
  <si>
    <t>ShopLabor (hrs)</t>
  </si>
  <si>
    <t>FieldLabor (hrs)</t>
  </si>
  <si>
    <t>$PriceListCost</t>
  </si>
  <si>
    <t>FittingName</t>
  </si>
  <si>
    <t>AccessoryName</t>
  </si>
  <si>
    <t>Size</t>
  </si>
  <si>
    <t>ValveName</t>
  </si>
  <si>
    <t>Id</t>
  </si>
  <si>
    <t>Job Name</t>
  </si>
  <si>
    <t>AncillaryName</t>
  </si>
  <si>
    <t>Qty/Length</t>
  </si>
  <si>
    <t>FabTime</t>
  </si>
  <si>
    <t>InstallTime</t>
  </si>
  <si>
    <t>HangerName</t>
  </si>
  <si>
    <t>ShopLabor</t>
  </si>
  <si>
    <t>FieldLabor</t>
  </si>
  <si>
    <t>MaterialCost</t>
  </si>
  <si>
    <t>ProjectName</t>
  </si>
  <si>
    <t>ProjectAddress</t>
  </si>
  <si>
    <t>EstimateNumber</t>
  </si>
  <si>
    <t>EstimatorName</t>
  </si>
  <si>
    <t>Material Cost ($)</t>
  </si>
  <si>
    <t>Fittings</t>
  </si>
  <si>
    <t>Fittings Summary</t>
  </si>
  <si>
    <t>Accessories Summary</t>
  </si>
  <si>
    <t>Order #</t>
  </si>
  <si>
    <t>Code</t>
  </si>
  <si>
    <t>Discount</t>
  </si>
  <si>
    <t>Units</t>
  </si>
  <si>
    <t>DateOfPricingUpdate</t>
  </si>
  <si>
    <t>Status</t>
  </si>
  <si>
    <t>Elbow 90 LR</t>
  </si>
  <si>
    <t>6"</t>
  </si>
  <si>
    <t>Carbon Steel</t>
  </si>
  <si>
    <t>ADSK_30003862</t>
  </si>
  <si>
    <t>-</t>
  </si>
  <si>
    <t>(each)</t>
  </si>
  <si>
    <t>Strainer Fig353</t>
  </si>
  <si>
    <t>2"</t>
  </si>
  <si>
    <t>Cast Iron</t>
  </si>
  <si>
    <t>ADSK_30000297</t>
  </si>
  <si>
    <t>Z1203-ND4 Closet Carrier</t>
  </si>
  <si>
    <t>ENC_40000019</t>
  </si>
  <si>
    <t>Pipe Pup Piece Type L PE</t>
  </si>
  <si>
    <t>1-1/2"</t>
  </si>
  <si>
    <t>Copper</t>
  </si>
  <si>
    <t>ADSK_30000766</t>
  </si>
  <si>
    <t>ADSK_30000296</t>
  </si>
  <si>
    <t>ADSK_30000723</t>
  </si>
  <si>
    <t>Sch 40 A53B ERW BLK PE Pipe</t>
  </si>
  <si>
    <t>ADSK_30077013</t>
  </si>
  <si>
    <t>Sch 40 A53B CW BLK GRV Pipe</t>
  </si>
  <si>
    <t>Quantity (ft)</t>
  </si>
  <si>
    <t>4"</t>
  </si>
  <si>
    <t>per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</si>
</sst>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8" formatCode="&quot;$&quot;#,##0.00_);[Red]\(&quot;$&quot;#,##0.00\)"/>
    <numFmt numFmtId="44" formatCode="_(&quot;$&quot;* #,##0.00_);_(&quot;$&quot;* \(#,##0.00\);_(&quot;$&quot;* &quot;-&quot;??_);_(@_)"/>
    <numFmt numFmtId="164" formatCode="#,###&quot; hrs&quot;;;&quot;&quot;"/>
    <numFmt numFmtId="165" formatCode="_(&quot;$&quot;* #,##0_);;&quot;&quot;"/>
    <numFmt numFmtId="166" formatCode="0;;&quot;&quot;;@"/>
    <numFmt numFmtId="167" formatCode="[h]&quot; hrs&quot;;;&quot;&quot;"/>
    <numFmt numFmtId="168" formatCode="#,##0.000"/>
    <numFmt numFmtId="169" formatCode="&quot;$&quot;#,##0.00"/>
    <numFmt numFmtId="170" formatCode="#,##0;;&quot;&quot;"/>
    <numFmt numFmtId="171" formatCode="&quot;$&quot;#,##0"/>
    <numFmt numFmtId="172" formatCode="0;0;;@"/>
    <numFmt numFmtId="173" formatCode="0.00;0.00;;@"/>
    <numFmt numFmtId="174" formatCode="0.0%"/>
    <numFmt numFmtId="175" formatCode="#,##0.00;;&quot;&quot;"/>
  </numFmts>
  <fonts count="20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4659260841701"/>
        <bgColor theme="0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9" tint="-0.499984740745262"/>
      </left>
      <right style="thin">
        <color theme="9" tint="0.39994506668294322"/>
      </right>
      <top style="thin">
        <color theme="9" tint="-0.499984740745262"/>
      </top>
      <bottom style="thin">
        <color rgb="FFECF5E7"/>
      </bottom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/>
      <right/>
      <top style="thin">
        <color theme="9" tint="0.79995117038483843"/>
      </top>
      <bottom/>
      <diagonal/>
    </border>
    <border>
      <left/>
      <right style="thin">
        <color theme="9" tint="-0.499984740745262"/>
      </right>
      <top style="thin">
        <color theme="9" tint="0.79995117038483843"/>
      </top>
      <bottom/>
      <diagonal/>
    </border>
    <border>
      <left/>
      <right/>
      <top style="thin">
        <color theme="9" tint="0.79998168889431442"/>
      </top>
      <bottom/>
      <diagonal/>
    </border>
    <border>
      <left/>
      <right style="thin">
        <color theme="9" tint="-0.499984740745262"/>
      </right>
      <top style="thin">
        <color theme="9" tint="0.79998168889431442"/>
      </top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 style="thin">
        <color theme="9" tint="0.39994506668294322"/>
      </left>
      <right/>
      <top style="thin">
        <color theme="9" tint="-0.499984740745262"/>
      </top>
      <bottom/>
      <diagonal/>
    </border>
    <border>
      <left style="thin">
        <color theme="9" tint="-0.499984740745262"/>
      </left>
      <right/>
      <top style="thin">
        <color rgb="FFECF5E7"/>
      </top>
      <bottom/>
      <diagonal/>
    </border>
    <border>
      <left style="thin">
        <color theme="9" tint="0.39994506668294322"/>
      </left>
      <right/>
      <top style="thin">
        <color theme="9" tint="0.79995117038483843"/>
      </top>
      <bottom/>
      <diagonal/>
    </border>
    <border>
      <left style="thin">
        <color theme="9" tint="0.39994506668294322"/>
      </left>
      <right/>
      <top style="thin">
        <color theme="9" tint="0.79998168889431442"/>
      </top>
      <bottom/>
      <diagonal/>
    </border>
    <border>
      <left style="thin">
        <color theme="9" tint="-0.499984740745262"/>
      </left>
      <right/>
      <top style="thin">
        <color theme="9" tint="0.39994506668294322"/>
      </top>
      <bottom style="thin">
        <color theme="9" tint="-0.499984740745262"/>
      </bottom>
      <diagonal/>
    </border>
    <border>
      <left style="thin">
        <color theme="9" tint="0.79998168889431442"/>
      </left>
      <right/>
      <top style="thin">
        <color theme="9" tint="0.39994506668294322"/>
      </top>
      <bottom style="thin">
        <color theme="9" tint="-0.499984740745262"/>
      </bottom>
      <diagonal/>
    </border>
    <border>
      <left style="thin">
        <color theme="9" tint="0.39994506668294322"/>
      </left>
      <right/>
      <top style="thin">
        <color theme="9" tint="-0.499984740745262"/>
      </top>
      <bottom style="thin">
        <color theme="9" tint="0.79995117038483843"/>
      </bottom>
      <diagonal/>
    </border>
    <border>
      <left/>
      <right/>
      <top style="thin">
        <color theme="9" tint="-0.499984740745262"/>
      </top>
      <bottom style="thin">
        <color theme="9" tint="0.79995117038483843"/>
      </bottom>
      <diagonal/>
    </border>
    <border>
      <left/>
      <right/>
      <top style="thin">
        <color theme="9" tint="0.3999450666829432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0.39994506668294322"/>
      </top>
      <bottom style="thin">
        <color theme="9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9" tint="0.39994506668294322"/>
      </left>
      <right/>
      <top style="thin">
        <color theme="9" tint="0.79995117038483843"/>
      </top>
      <bottom style="thin">
        <color theme="9" tint="0.79998168889431442"/>
      </bottom>
      <diagonal/>
    </border>
    <border>
      <left/>
      <right/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3999450666829432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39991454817346722"/>
      </top>
      <bottom style="thin">
        <color theme="9" tint="0.39988402966399123"/>
      </bottom>
      <diagonal/>
    </border>
    <border>
      <left/>
      <right style="thin">
        <color theme="9" tint="-0.499984740745262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-0.499984740745262"/>
      </left>
      <right/>
      <top style="thin">
        <color theme="9" tint="0.39988402966399123"/>
      </top>
      <bottom style="thin">
        <color theme="9" tint="0.39988402966399123"/>
      </bottom>
      <diagonal/>
    </border>
    <border>
      <left/>
      <right style="thin">
        <color theme="9" tint="-0.499984740745262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-0.499984740745262"/>
      </left>
      <right/>
      <top style="thin">
        <color theme="9" tint="0.39988402966399123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0.39988402966399123"/>
      </top>
      <bottom style="thin">
        <color theme="9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4506668294322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9" tint="0.39994506668294322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9" tint="0.39994506668294322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right" indent="1"/>
    </xf>
    <xf numFmtId="0" fontId="2" fillId="0" borderId="1" xfId="2"/>
    <xf numFmtId="0" fontId="3" fillId="0" borderId="0" xfId="3" applyAlignment="1"/>
    <xf numFmtId="0" fontId="0" fillId="0" borderId="0" xfId="0" applyAlignment="1">
      <alignment horizontal="left"/>
    </xf>
    <xf numFmtId="0" fontId="5" fillId="0" borderId="0" xfId="0" applyFont="1" applyAlignment="1">
      <alignment horizontal="right"/>
    </xf>
    <xf numFmtId="0" fontId="1" fillId="0" borderId="0" xfId="1"/>
    <xf numFmtId="14" fontId="4" fillId="0" borderId="0" xfId="0" applyNumberFormat="1" applyFont="1" applyAlignment="1">
      <alignment horizontal="left"/>
    </xf>
    <xf numFmtId="44" fontId="0" fillId="0" borderId="0" xfId="4" applyFont="1"/>
    <xf numFmtId="0" fontId="7" fillId="0" borderId="0" xfId="0" applyFont="1"/>
    <xf numFmtId="0" fontId="8" fillId="2" borderId="2" xfId="0" applyFont="1" applyFill="1" applyBorder="1"/>
    <xf numFmtId="0" fontId="9" fillId="3" borderId="3" xfId="0" applyFont="1" applyFill="1" applyBorder="1" applyAlignment="1">
      <alignment horizontal="right" indent="1"/>
    </xf>
    <xf numFmtId="44" fontId="0" fillId="0" borderId="0" xfId="4" applyFont="1" applyAlignment="1">
      <alignment horizontal="right" inden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 indent="1"/>
    </xf>
    <xf numFmtId="0" fontId="2" fillId="0" borderId="1" xfId="2" applyAlignment="1">
      <alignment horizontal="right" indent="1"/>
    </xf>
    <xf numFmtId="0" fontId="0" fillId="0" borderId="0" xfId="0" applyAlignment="1">
      <alignment horizontal="right"/>
    </xf>
    <xf numFmtId="44" fontId="0" fillId="0" borderId="0" xfId="0" applyNumberFormat="1" applyFont="1" applyAlignment="1">
      <alignment horizontal="right" indent="1"/>
    </xf>
    <xf numFmtId="4" fontId="0" fillId="0" borderId="0" xfId="0" applyNumberFormat="1" applyAlignment="1">
      <alignment horizontal="right" indent="1"/>
    </xf>
    <xf numFmtId="0" fontId="10" fillId="3" borderId="3" xfId="0" applyFont="1" applyFill="1" applyBorder="1" applyAlignment="1">
      <alignment horizontal="right" indent="1"/>
    </xf>
    <xf numFmtId="0" fontId="8" fillId="2" borderId="9" xfId="0" applyFont="1" applyFill="1" applyBorder="1"/>
    <xf numFmtId="0" fontId="10" fillId="3" borderId="10" xfId="0" applyFont="1" applyFill="1" applyBorder="1" applyAlignment="1">
      <alignment horizontal="right" indent="1"/>
    </xf>
    <xf numFmtId="0" fontId="11" fillId="4" borderId="11" xfId="0" applyFont="1" applyFill="1" applyBorder="1"/>
    <xf numFmtId="0" fontId="11" fillId="6" borderId="14" xfId="0" applyFont="1" applyFill="1" applyBorder="1"/>
    <xf numFmtId="166" fontId="0" fillId="0" borderId="0" xfId="0" applyNumberFormat="1" applyAlignment="1">
      <alignment horizontal="right" indent="1"/>
    </xf>
    <xf numFmtId="166" fontId="2" fillId="0" borderId="1" xfId="2" applyNumberFormat="1" applyAlignment="1">
      <alignment horizontal="right" indent="1"/>
    </xf>
    <xf numFmtId="0" fontId="0" fillId="0" borderId="0" xfId="0" applyFont="1"/>
    <xf numFmtId="167" fontId="0" fillId="7" borderId="15" xfId="0" applyNumberFormat="1" applyFill="1" applyBorder="1" applyAlignment="1">
      <alignment horizontal="right" indent="1"/>
    </xf>
    <xf numFmtId="4" fontId="2" fillId="0" borderId="1" xfId="2" applyNumberFormat="1" applyAlignment="1">
      <alignment horizontal="right" indent="1"/>
    </xf>
    <xf numFmtId="4" fontId="9" fillId="3" borderId="4" xfId="0" applyNumberFormat="1" applyFont="1" applyFill="1" applyBorder="1" applyAlignment="1">
      <alignment horizontal="right" indent="1"/>
    </xf>
    <xf numFmtId="168" fontId="0" fillId="0" borderId="0" xfId="0" applyNumberFormat="1" applyAlignment="1">
      <alignment horizontal="right" indent="1"/>
    </xf>
    <xf numFmtId="168" fontId="9" fillId="3" borderId="3" xfId="0" applyNumberFormat="1" applyFont="1" applyFill="1" applyBorder="1" applyAlignment="1">
      <alignment horizontal="right" indent="1"/>
    </xf>
    <xf numFmtId="169" fontId="0" fillId="0" borderId="0" xfId="0" applyNumberFormat="1" applyAlignment="1">
      <alignment horizontal="right" indent="1"/>
    </xf>
    <xf numFmtId="4" fontId="7" fillId="0" borderId="0" xfId="0" applyNumberFormat="1" applyFont="1"/>
    <xf numFmtId="4" fontId="0" fillId="0" borderId="0" xfId="0" applyNumberFormat="1"/>
    <xf numFmtId="0" fontId="9" fillId="3" borderId="3" xfId="0" applyFont="1" applyFill="1" applyBorder="1" applyAlignment="1">
      <alignment horizontal="left" indent="1"/>
    </xf>
    <xf numFmtId="0" fontId="2" fillId="0" borderId="1" xfId="2" applyAlignment="1">
      <alignment horizontal="right"/>
    </xf>
    <xf numFmtId="0" fontId="10" fillId="3" borderId="17" xfId="0" applyFont="1" applyFill="1" applyBorder="1" applyAlignment="1">
      <alignment horizontal="centerContinuous"/>
    </xf>
    <xf numFmtId="164" fontId="13" fillId="0" borderId="5" xfId="0" applyNumberFormat="1" applyFont="1" applyBorder="1" applyAlignment="1">
      <alignment horizontal="left" vertical="center"/>
    </xf>
    <xf numFmtId="164" fontId="13" fillId="5" borderId="7" xfId="0" applyNumberFormat="1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centerContinuous"/>
    </xf>
    <xf numFmtId="164" fontId="13" fillId="7" borderId="18" xfId="0" applyNumberFormat="1" applyFont="1" applyFill="1" applyBorder="1" applyAlignment="1"/>
    <xf numFmtId="164" fontId="13" fillId="0" borderId="5" xfId="0" applyNumberFormat="1" applyFont="1" applyBorder="1" applyAlignment="1">
      <alignment horizontal="right" vertical="center"/>
    </xf>
    <xf numFmtId="164" fontId="13" fillId="5" borderId="7" xfId="0" applyNumberFormat="1" applyFont="1" applyFill="1" applyBorder="1" applyAlignment="1">
      <alignment horizontal="right" vertical="center"/>
    </xf>
    <xf numFmtId="164" fontId="13" fillId="7" borderId="18" xfId="0" applyNumberFormat="1" applyFont="1" applyFill="1" applyBorder="1" applyAlignment="1">
      <alignment horizontal="right"/>
    </xf>
    <xf numFmtId="170" fontId="0" fillId="0" borderId="12" xfId="0" applyNumberFormat="1" applyBorder="1" applyAlignment="1">
      <alignment horizontal="right" vertical="center"/>
    </xf>
    <xf numFmtId="170" fontId="0" fillId="5" borderId="13" xfId="0" applyNumberFormat="1" applyFill="1" applyBorder="1" applyAlignment="1">
      <alignment horizontal="right" vertical="center"/>
    </xf>
    <xf numFmtId="170" fontId="0" fillId="7" borderId="15" xfId="0" applyNumberFormat="1" applyFill="1" applyBorder="1" applyAlignment="1"/>
    <xf numFmtId="170" fontId="0" fillId="0" borderId="5" xfId="0" applyNumberFormat="1" applyBorder="1" applyAlignment="1">
      <alignment vertical="center"/>
    </xf>
    <xf numFmtId="170" fontId="0" fillId="5" borderId="7" xfId="0" applyNumberFormat="1" applyFill="1" applyBorder="1" applyAlignment="1">
      <alignment vertical="center"/>
    </xf>
    <xf numFmtId="170" fontId="0" fillId="7" borderId="18" xfId="0" applyNumberFormat="1" applyFill="1" applyBorder="1" applyAlignment="1"/>
    <xf numFmtId="170" fontId="0" fillId="0" borderId="5" xfId="0" applyNumberFormat="1" applyBorder="1" applyAlignment="1">
      <alignment horizontal="right" vertical="center"/>
    </xf>
    <xf numFmtId="170" fontId="0" fillId="5" borderId="7" xfId="0" applyNumberFormat="1" applyFill="1" applyBorder="1" applyAlignment="1">
      <alignment horizontal="right" vertical="center"/>
    </xf>
    <xf numFmtId="3" fontId="0" fillId="0" borderId="0" xfId="0" applyNumberFormat="1"/>
    <xf numFmtId="0" fontId="10" fillId="3" borderId="3" xfId="0" applyFont="1" applyFill="1" applyBorder="1" applyAlignment="1"/>
    <xf numFmtId="0" fontId="14" fillId="0" borderId="0" xfId="0" applyFont="1"/>
    <xf numFmtId="0" fontId="2" fillId="0" borderId="1" xfId="2" applyAlignment="1">
      <alignment horizontal="center"/>
    </xf>
    <xf numFmtId="167" fontId="0" fillId="7" borderId="18" xfId="0" applyNumberFormat="1" applyFill="1" applyBorder="1" applyAlignment="1">
      <alignment horizontal="right" indent="1"/>
    </xf>
    <xf numFmtId="165" fontId="0" fillId="7" borderId="18" xfId="0" applyNumberFormat="1" applyFill="1" applyBorder="1" applyAlignment="1">
      <alignment horizontal="right" indent="1"/>
    </xf>
    <xf numFmtId="0" fontId="0" fillId="0" borderId="20" xfId="0" applyBorder="1"/>
    <xf numFmtId="0" fontId="13" fillId="0" borderId="20" xfId="0" applyFont="1" applyBorder="1" applyAlignment="1">
      <alignment horizontal="right"/>
    </xf>
    <xf numFmtId="0" fontId="0" fillId="0" borderId="21" xfId="0" applyBorder="1"/>
    <xf numFmtId="0" fontId="0" fillId="0" borderId="22" xfId="0" applyBorder="1"/>
    <xf numFmtId="170" fontId="0" fillId="0" borderId="23" xfId="0" applyNumberFormat="1" applyBorder="1" applyAlignment="1">
      <alignment horizontal="right" vertical="center"/>
    </xf>
    <xf numFmtId="170" fontId="0" fillId="0" borderId="0" xfId="0" applyNumberFormat="1" applyBorder="1" applyAlignment="1">
      <alignment vertical="center"/>
    </xf>
    <xf numFmtId="0" fontId="11" fillId="4" borderId="11" xfId="0" applyFont="1" applyFill="1" applyBorder="1" applyProtection="1">
      <protection locked="0"/>
    </xf>
    <xf numFmtId="0" fontId="10" fillId="3" borderId="10" xfId="0" applyFont="1" applyFill="1" applyBorder="1" applyAlignment="1">
      <alignment horizontal="left" indent="1"/>
    </xf>
    <xf numFmtId="0" fontId="10" fillId="3" borderId="3" xfId="0" applyFont="1" applyFill="1" applyBorder="1" applyAlignment="1">
      <alignment horizontal="left" indent="1"/>
    </xf>
    <xf numFmtId="0" fontId="15" fillId="0" borderId="0" xfId="0" applyFont="1"/>
    <xf numFmtId="164" fontId="13" fillId="7" borderId="28" xfId="0" applyNumberFormat="1" applyFont="1" applyFill="1" applyBorder="1" applyAlignment="1">
      <alignment horizontal="right"/>
    </xf>
    <xf numFmtId="164" fontId="13" fillId="5" borderId="30" xfId="0" applyNumberFormat="1" applyFont="1" applyFill="1" applyBorder="1" applyAlignment="1">
      <alignment horizontal="right" vertical="center"/>
    </xf>
    <xf numFmtId="164" fontId="13" fillId="0" borderId="32" xfId="0" applyNumberFormat="1" applyFont="1" applyBorder="1" applyAlignment="1">
      <alignment horizontal="right" vertical="center"/>
    </xf>
    <xf numFmtId="0" fontId="15" fillId="0" borderId="0" xfId="0" applyFont="1" applyAlignment="1">
      <alignment horizontal="right" indent="1"/>
    </xf>
    <xf numFmtId="10" fontId="15" fillId="0" borderId="0" xfId="5" applyNumberFormat="1" applyFont="1" applyBorder="1" applyAlignment="1">
      <alignment horizontal="right" indent="1"/>
    </xf>
    <xf numFmtId="0" fontId="10" fillId="3" borderId="4" xfId="0" applyFont="1" applyFill="1" applyBorder="1" applyAlignment="1">
      <alignment horizontal="right" indent="2"/>
    </xf>
    <xf numFmtId="170" fontId="0" fillId="0" borderId="6" xfId="0" applyNumberFormat="1" applyBorder="1" applyAlignment="1">
      <alignment horizontal="right" indent="1"/>
    </xf>
    <xf numFmtId="170" fontId="0" fillId="5" borderId="8" xfId="0" applyNumberFormat="1" applyFill="1" applyBorder="1" applyAlignment="1">
      <alignment horizontal="right" indent="1"/>
    </xf>
    <xf numFmtId="170" fontId="0" fillId="7" borderId="29" xfId="0" applyNumberFormat="1" applyFill="1" applyBorder="1" applyAlignment="1">
      <alignment horizontal="right" vertical="center" indent="1"/>
    </xf>
    <xf numFmtId="170" fontId="0" fillId="5" borderId="31" xfId="0" applyNumberFormat="1" applyFill="1" applyBorder="1" applyAlignment="1">
      <alignment horizontal="right" vertical="center" indent="1"/>
    </xf>
    <xf numFmtId="170" fontId="0" fillId="0" borderId="33" xfId="0" applyNumberFormat="1" applyBorder="1" applyAlignment="1">
      <alignment horizontal="right" vertical="center" indent="1"/>
    </xf>
    <xf numFmtId="167" fontId="0" fillId="7" borderId="15" xfId="0" applyNumberFormat="1" applyFill="1" applyBorder="1" applyAlignment="1">
      <alignment horizontal="right" vertical="center"/>
    </xf>
    <xf numFmtId="167" fontId="0" fillId="7" borderId="18" xfId="0" applyNumberFormat="1" applyFill="1" applyBorder="1" applyAlignment="1">
      <alignment horizontal="right" vertical="center"/>
    </xf>
    <xf numFmtId="165" fontId="0" fillId="7" borderId="18" xfId="0" applyNumberFormat="1" applyFill="1" applyBorder="1" applyAlignment="1">
      <alignment horizontal="right" vertical="center"/>
    </xf>
    <xf numFmtId="164" fontId="13" fillId="7" borderId="28" xfId="0" applyNumberFormat="1" applyFont="1" applyFill="1" applyBorder="1" applyAlignment="1">
      <alignment horizontal="right" vertical="center"/>
    </xf>
    <xf numFmtId="164" fontId="13" fillId="7" borderId="30" xfId="0" applyNumberFormat="1" applyFont="1" applyFill="1" applyBorder="1" applyAlignment="1">
      <alignment horizontal="right" vertical="center"/>
    </xf>
    <xf numFmtId="170" fontId="13" fillId="0" borderId="0" xfId="0" applyNumberFormat="1" applyFont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4" fontId="0" fillId="0" borderId="0" xfId="4" applyFont="1" applyProtection="1">
      <protection locked="0"/>
    </xf>
    <xf numFmtId="44" fontId="0" fillId="0" borderId="0" xfId="0" applyNumberFormat="1" applyFont="1"/>
    <xf numFmtId="4" fontId="0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9" fillId="3" borderId="3" xfId="0" applyFont="1" applyFill="1" applyBorder="1" applyAlignment="1">
      <alignment horizontal="center"/>
    </xf>
    <xf numFmtId="0" fontId="0" fillId="0" borderId="0" xfId="0" applyNumberFormat="1" applyProtection="1"/>
    <xf numFmtId="0" fontId="0" fillId="0" borderId="0" xfId="0" applyNumberFormat="1" applyAlignment="1" applyProtection="1">
      <alignment horizontal="center"/>
    </xf>
    <xf numFmtId="0" fontId="7" fillId="0" borderId="0" xfId="0" applyNumberFormat="1" applyFont="1"/>
    <xf numFmtId="1" fontId="0" fillId="0" borderId="0" xfId="0" applyNumberFormat="1" applyAlignment="1" applyProtection="1">
      <alignment horizontal="center"/>
    </xf>
    <xf numFmtId="0" fontId="9" fillId="3" borderId="3" xfId="0" applyFont="1" applyFill="1" applyBorder="1" applyAlignment="1">
      <alignment horizontal="centerContinuous"/>
    </xf>
    <xf numFmtId="164" fontId="13" fillId="0" borderId="0" xfId="0" applyNumberFormat="1" applyFont="1" applyAlignment="1">
      <alignment horizontal="left"/>
    </xf>
    <xf numFmtId="171" fontId="0" fillId="0" borderId="0" xfId="0" applyNumberFormat="1" applyAlignment="1">
      <alignment horizontal="right" indent="1"/>
    </xf>
    <xf numFmtId="0" fontId="16" fillId="8" borderId="34" xfId="0" applyFont="1" applyFill="1" applyBorder="1" applyAlignment="1">
      <alignment horizontal="centerContinuous"/>
    </xf>
    <xf numFmtId="0" fontId="16" fillId="8" borderId="35" xfId="0" applyFont="1" applyFill="1" applyBorder="1" applyAlignment="1">
      <alignment horizontal="centerContinuous"/>
    </xf>
    <xf numFmtId="0" fontId="11" fillId="9" borderId="38" xfId="0" applyFont="1" applyFill="1" applyBorder="1"/>
    <xf numFmtId="0" fontId="11" fillId="9" borderId="39" xfId="0" applyFont="1" applyFill="1" applyBorder="1"/>
    <xf numFmtId="0" fontId="0" fillId="0" borderId="0" xfId="0" applyNumberFormat="1" applyFont="1"/>
    <xf numFmtId="49" fontId="7" fillId="0" borderId="0" xfId="0" applyNumberFormat="1" applyFont="1"/>
    <xf numFmtId="49" fontId="0" fillId="0" borderId="0" xfId="0" applyNumberFormat="1" applyFont="1"/>
    <xf numFmtId="172" fontId="0" fillId="0" borderId="0" xfId="0" applyNumberFormat="1" applyAlignment="1" applyProtection="1">
      <alignment horizontal="center"/>
    </xf>
    <xf numFmtId="173" fontId="0" fillId="0" borderId="0" xfId="0" applyNumberFormat="1" applyAlignment="1" applyProtection="1">
      <alignment horizontal="right" indent="1"/>
      <protection locked="0"/>
    </xf>
    <xf numFmtId="0" fontId="3" fillId="0" borderId="0" xfId="3" applyAlignment="1">
      <alignment horizontal="center"/>
    </xf>
    <xf numFmtId="14" fontId="4" fillId="0" borderId="0" xfId="0" applyNumberFormat="1" applyFont="1" applyAlignment="1">
      <alignment horizontal="center"/>
    </xf>
    <xf numFmtId="0" fontId="1" fillId="0" borderId="0" xfId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173" fontId="0" fillId="0" borderId="0" xfId="0" applyNumberFormat="1" applyAlignment="1" applyProtection="1">
      <alignment horizontal="right"/>
    </xf>
    <xf numFmtId="173" fontId="0" fillId="0" borderId="0" xfId="0" applyNumberFormat="1" applyAlignment="1">
      <alignment horizontal="right" indent="1"/>
    </xf>
    <xf numFmtId="173" fontId="0" fillId="0" borderId="0" xfId="0" applyNumberFormat="1" applyAlignment="1">
      <alignment horizontal="right"/>
    </xf>
    <xf numFmtId="172" fontId="0" fillId="0" borderId="0" xfId="0" applyNumberFormat="1" applyAlignment="1">
      <alignment horizontal="center"/>
    </xf>
    <xf numFmtId="173" fontId="0" fillId="0" borderId="0" xfId="0" applyNumberFormat="1" applyAlignment="1" applyProtection="1">
      <alignment horizontal="right" indent="1"/>
    </xf>
    <xf numFmtId="4" fontId="9" fillId="3" borderId="4" xfId="0" applyNumberFormat="1" applyFont="1" applyFill="1" applyBorder="1" applyAlignment="1"/>
    <xf numFmtId="173" fontId="12" fillId="0" borderId="0" xfId="0" applyNumberFormat="1" applyFont="1" applyAlignment="1">
      <alignment horizontal="right" indent="1"/>
    </xf>
    <xf numFmtId="173" fontId="0" fillId="0" borderId="0" xfId="0" applyNumberFormat="1" applyAlignment="1" applyProtection="1">
      <alignment horizontal="right" indent="2"/>
    </xf>
    <xf numFmtId="173" fontId="12" fillId="0" borderId="0" xfId="0" applyNumberFormat="1" applyFont="1" applyAlignment="1" applyProtection="1">
      <alignment horizontal="right" indent="1"/>
    </xf>
    <xf numFmtId="164" fontId="12" fillId="0" borderId="0" xfId="0" applyNumberFormat="1" applyFont="1" applyAlignment="1">
      <alignment horizontal="right" indent="1"/>
    </xf>
    <xf numFmtId="0" fontId="0" fillId="0" borderId="0" xfId="0" applyNumberFormat="1" applyAlignment="1" applyProtection="1">
      <alignment horizontal="left" indent="1"/>
    </xf>
    <xf numFmtId="10" fontId="15" fillId="0" borderId="0" xfId="5" applyNumberFormat="1" applyFont="1" applyBorder="1" applyAlignment="1">
      <alignment horizontal="right"/>
    </xf>
    <xf numFmtId="169" fontId="0" fillId="0" borderId="0" xfId="0" applyNumberFormat="1"/>
    <xf numFmtId="0" fontId="17" fillId="0" borderId="0" xfId="0" applyFont="1"/>
    <xf numFmtId="0" fontId="18" fillId="0" borderId="42" xfId="0" applyFont="1" applyBorder="1"/>
    <xf numFmtId="4" fontId="18" fillId="0" borderId="42" xfId="0" applyNumberFormat="1" applyFont="1" applyBorder="1"/>
    <xf numFmtId="0" fontId="5" fillId="0" borderId="0" xfId="0" applyFont="1" applyAlignment="1">
      <alignment horizontal="center"/>
    </xf>
    <xf numFmtId="0" fontId="3" fillId="0" borderId="0" xfId="3" applyAlignment="1">
      <alignment horizontal="right"/>
    </xf>
    <xf numFmtId="0" fontId="2" fillId="0" borderId="1" xfId="2" applyFill="1" applyBorder="1"/>
    <xf numFmtId="0" fontId="2" fillId="0" borderId="1" xfId="2" applyFill="1" applyBorder="1" applyAlignment="1">
      <alignment horizontal="right" indent="1"/>
    </xf>
    <xf numFmtId="164" fontId="13" fillId="0" borderId="32" xfId="0" applyNumberFormat="1" applyFont="1" applyFill="1" applyBorder="1" applyAlignment="1">
      <alignment horizontal="right" vertical="center"/>
    </xf>
    <xf numFmtId="170" fontId="0" fillId="0" borderId="33" xfId="0" applyNumberFormat="1" applyFill="1" applyBorder="1" applyAlignment="1">
      <alignment horizontal="right" vertical="center" indent="1"/>
    </xf>
    <xf numFmtId="0" fontId="0" fillId="0" borderId="0" xfId="0" applyBorder="1"/>
    <xf numFmtId="0" fontId="7" fillId="0" borderId="0" xfId="0" applyFont="1" applyBorder="1" applyAlignment="1">
      <alignment horizontal="left" indent="1"/>
    </xf>
    <xf numFmtId="0" fontId="0" fillId="0" borderId="0" xfId="0" applyFont="1" applyBorder="1" applyAlignment="1">
      <alignment horizontal="left" indent="1"/>
    </xf>
    <xf numFmtId="9" fontId="15" fillId="0" borderId="41" xfId="5" applyFont="1" applyBorder="1" applyAlignment="1" applyProtection="1">
      <alignment horizontal="right" vertical="center" indent="1"/>
      <protection locked="0"/>
    </xf>
    <xf numFmtId="1" fontId="0" fillId="0" borderId="0" xfId="0" applyNumberFormat="1" applyAlignment="1">
      <alignment horizontal="center"/>
    </xf>
    <xf numFmtId="44" fontId="6" fillId="0" borderId="0" xfId="0" applyNumberFormat="1" applyFont="1"/>
    <xf numFmtId="170" fontId="0" fillId="7" borderId="19" xfId="0" applyNumberFormat="1" applyFill="1" applyBorder="1" applyAlignment="1">
      <alignment horizontal="right" indent="1"/>
    </xf>
    <xf numFmtId="170" fontId="0" fillId="0" borderId="6" xfId="0" applyNumberFormat="1" applyBorder="1" applyAlignment="1" applyProtection="1">
      <alignment horizontal="right" vertical="center" indent="1"/>
      <protection locked="0"/>
    </xf>
    <xf numFmtId="170" fontId="0" fillId="5" borderId="8" xfId="0" applyNumberFormat="1" applyFill="1" applyBorder="1" applyAlignment="1" applyProtection="1">
      <alignment horizontal="right" vertical="center" indent="1"/>
      <protection locked="0"/>
    </xf>
    <xf numFmtId="170" fontId="0" fillId="0" borderId="6" xfId="0" applyNumberFormat="1" applyBorder="1" applyAlignment="1">
      <alignment horizontal="right" vertical="center" indent="1"/>
    </xf>
    <xf numFmtId="44" fontId="6" fillId="0" borderId="0" xfId="4" applyNumberFormat="1" applyFont="1"/>
    <xf numFmtId="0" fontId="0" fillId="0" borderId="0" xfId="4" applyNumberFormat="1" applyFont="1" applyProtection="1">
      <protection locked="0"/>
    </xf>
    <xf numFmtId="174" fontId="0" fillId="0" borderId="0" xfId="5" applyNumberFormat="1" applyFont="1" applyProtection="1">
      <protection locked="0"/>
    </xf>
    <xf numFmtId="174" fontId="15" fillId="0" borderId="3" xfId="5" applyNumberFormat="1" applyFont="1" applyBorder="1" applyAlignment="1" applyProtection="1">
      <alignment horizontal="right" indent="1"/>
    </xf>
    <xf numFmtId="170" fontId="0" fillId="7" borderId="0" xfId="0" applyNumberFormat="1" applyFill="1" applyBorder="1" applyAlignment="1">
      <alignment horizontal="right" indent="1"/>
    </xf>
    <xf numFmtId="170" fontId="0" fillId="7" borderId="44" xfId="0" applyNumberFormat="1" applyFill="1" applyBorder="1" applyAlignment="1">
      <alignment horizontal="right" indent="1"/>
    </xf>
    <xf numFmtId="170" fontId="0" fillId="7" borderId="45" xfId="0" applyNumberFormat="1" applyFill="1" applyBorder="1" applyAlignment="1">
      <alignment horizontal="right" indent="1"/>
    </xf>
    <xf numFmtId="167" fontId="0" fillId="5" borderId="26" xfId="0" applyNumberFormat="1" applyFill="1" applyBorder="1" applyAlignment="1"/>
    <xf numFmtId="167" fontId="0" fillId="5" borderId="27" xfId="0" applyNumberFormat="1" applyFill="1" applyBorder="1" applyAlignment="1"/>
    <xf numFmtId="167" fontId="0" fillId="0" borderId="24" xfId="0" applyNumberFormat="1" applyBorder="1" applyAlignment="1"/>
    <xf numFmtId="167" fontId="0" fillId="0" borderId="25" xfId="0" applyNumberFormat="1" applyBorder="1" applyAlignment="1"/>
    <xf numFmtId="49" fontId="0" fillId="0" borderId="0" xfId="0" applyNumberFormat="1" applyBorder="1"/>
    <xf numFmtId="0" fontId="10" fillId="3" borderId="16" xfId="0" applyFont="1" applyFill="1" applyBorder="1" applyAlignment="1">
      <alignment horizontal="centerContinuous"/>
    </xf>
    <xf numFmtId="0" fontId="18" fillId="0" borderId="0" xfId="0" applyFont="1" applyFill="1" applyBorder="1" applyAlignment="1">
      <alignment horizontal="right" indent="1"/>
    </xf>
    <xf numFmtId="39" fontId="0" fillId="0" borderId="0" xfId="4" applyNumberFormat="1" applyFont="1"/>
    <xf numFmtId="39" fontId="0" fillId="0" borderId="40" xfId="4" applyNumberFormat="1" applyFont="1" applyBorder="1"/>
    <xf numFmtId="40" fontId="0" fillId="0" borderId="40" xfId="0" applyNumberFormat="1" applyBorder="1"/>
    <xf numFmtId="40" fontId="0" fillId="0" borderId="0" xfId="0" applyNumberFormat="1"/>
    <xf numFmtId="40" fontId="0" fillId="0" borderId="0" xfId="0" applyNumberFormat="1" applyBorder="1"/>
    <xf numFmtId="0" fontId="7" fillId="0" borderId="40" xfId="0" applyFont="1" applyBorder="1" applyAlignment="1">
      <alignment horizontal="center"/>
    </xf>
    <xf numFmtId="0" fontId="4" fillId="0" borderId="0" xfId="0" applyFont="1"/>
    <xf numFmtId="40" fontId="0" fillId="0" borderId="43" xfId="0" applyNumberFormat="1" applyBorder="1"/>
    <xf numFmtId="0" fontId="7" fillId="0" borderId="0" xfId="0" applyFont="1" applyBorder="1" applyAlignment="1">
      <alignment horizontal="center"/>
    </xf>
    <xf numFmtId="39" fontId="0" fillId="0" borderId="0" xfId="4" applyNumberFormat="1" applyFont="1" applyBorder="1"/>
    <xf numFmtId="0" fontId="7" fillId="0" borderId="40" xfId="0" applyFont="1" applyBorder="1" applyAlignment="1">
      <alignment horizontal="right"/>
    </xf>
    <xf numFmtId="0" fontId="7" fillId="0" borderId="40" xfId="0" applyFont="1" applyBorder="1" applyAlignment="1">
      <alignment horizontal="right" indent="1"/>
    </xf>
    <xf numFmtId="40" fontId="0" fillId="0" borderId="43" xfId="0" applyNumberFormat="1" applyBorder="1" applyAlignment="1">
      <alignment horizontal="right" indent="1"/>
    </xf>
    <xf numFmtId="40" fontId="0" fillId="0" borderId="0" xfId="0" applyNumberFormat="1" applyAlignment="1">
      <alignment horizontal="right" indent="1"/>
    </xf>
    <xf numFmtId="8" fontId="0" fillId="0" borderId="0" xfId="4" applyNumberFormat="1" applyFont="1"/>
    <xf numFmtId="2" fontId="0" fillId="0" borderId="0" xfId="0" applyNumberFormat="1"/>
    <xf numFmtId="175" fontId="0" fillId="0" borderId="0" xfId="0" applyNumberFormat="1"/>
    <xf numFmtId="0" fontId="0" fillId="0" borderId="0" xfId="0" applyBorder="1" applyAlignment="1">
      <alignment horizontal="center"/>
    </xf>
    <xf numFmtId="173" fontId="0" fillId="0" borderId="0" xfId="0" applyNumberFormat="1" applyBorder="1" applyAlignment="1">
      <alignment horizontal="right"/>
    </xf>
    <xf numFmtId="170" fontId="13" fillId="0" borderId="0" xfId="0" applyNumberFormat="1" applyFont="1" applyBorder="1" applyAlignment="1"/>
    <xf numFmtId="169" fontId="0" fillId="0" borderId="0" xfId="0" applyNumberFormat="1" applyBorder="1" applyAlignment="1">
      <alignment horizontal="right" indent="1"/>
    </xf>
    <xf numFmtId="0" fontId="0" fillId="0" borderId="0" xfId="0" applyProtection="1"/>
    <xf numFmtId="44" fontId="0" fillId="0" borderId="0" xfId="4" applyFont="1" applyProtection="1"/>
    <xf numFmtId="0" fontId="0" fillId="0" borderId="3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9" fontId="15" fillId="0" borderId="0" xfId="5" applyFont="1" applyAlignment="1" applyProtection="1">
      <alignment horizontal="left" indent="1"/>
    </xf>
    <xf numFmtId="9" fontId="15" fillId="0" borderId="0" xfId="5" applyFont="1" applyBorder="1" applyAlignment="1" applyProtection="1">
      <alignment vertical="center"/>
    </xf>
    <xf numFmtId="0" fontId="0" fillId="0" borderId="0" xfId="0" applyFont="1" applyBorder="1"/>
    <xf numFmtId="49" fontId="0" fillId="0" borderId="0" xfId="0" applyNumberFormat="1" applyFont="1" applyBorder="1"/>
    <xf numFmtId="4" fontId="0" fillId="0" borderId="0" xfId="0" applyNumberFormat="1" applyBorder="1"/>
    <xf numFmtId="49" fontId="0" fillId="0" borderId="0" xfId="0" applyNumberFormat="1"/>
    <xf numFmtId="2" fontId="0" fillId="0" borderId="0" xfId="0" applyNumberFormat="1" applyFont="1" applyBorder="1"/>
    <xf numFmtId="2" fontId="7" fillId="0" borderId="0" xfId="0" applyNumberFormat="1" applyFont="1"/>
    <xf numFmtId="2" fontId="0" fillId="0" borderId="0" xfId="0" applyNumberFormat="1" applyFont="1"/>
    <xf numFmtId="2" fontId="0" fillId="0" borderId="0" xfId="0" applyNumberFormat="1" applyBorder="1"/>
    <xf numFmtId="1" fontId="7" fillId="0" borderId="0" xfId="0" applyNumberFormat="1" applyFont="1"/>
    <xf numFmtId="1" fontId="0" fillId="0" borderId="0" xfId="0" applyNumberFormat="1" applyFont="1"/>
    <xf numFmtId="1" fontId="0" fillId="0" borderId="0" xfId="0" applyNumberFormat="1" applyBorder="1"/>
    <xf numFmtId="170" fontId="0" fillId="0" borderId="0" xfId="0" applyNumberFormat="1" applyAlignment="1" applyProtection="1">
      <alignment horizontal="center"/>
    </xf>
    <xf numFmtId="17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7" fontId="0" fillId="5" borderId="26" xfId="0" applyNumberFormat="1" applyFill="1" applyBorder="1" applyAlignment="1" applyProtection="1">
      <alignment horizontal="left" vertical="center"/>
      <protection locked="0"/>
    </xf>
    <xf numFmtId="167" fontId="0" fillId="5" borderId="27" xfId="0" applyNumberFormat="1" applyFill="1" applyBorder="1" applyAlignment="1" applyProtection="1">
      <alignment horizontal="left" vertical="center"/>
      <protection locked="0"/>
    </xf>
    <xf numFmtId="167" fontId="0" fillId="0" borderId="24" xfId="0" applyNumberFormat="1" applyBorder="1" applyAlignment="1" applyProtection="1">
      <alignment horizontal="left" vertical="center"/>
      <protection locked="0"/>
    </xf>
    <xf numFmtId="167" fontId="0" fillId="0" borderId="25" xfId="0" applyNumberFormat="1" applyBorder="1" applyAlignment="1" applyProtection="1">
      <alignment horizontal="left" vertical="center"/>
      <protection locked="0"/>
    </xf>
    <xf numFmtId="14" fontId="0" fillId="0" borderId="0" xfId="0" applyNumberFormat="1"/>
    <xf numFmtId="39" fontId="7" fillId="0" borderId="0" xfId="0" applyNumberFormat="1" applyFont="1"/>
    <xf numFmtId="39" fontId="0" fillId="0" borderId="0" xfId="0" applyNumberFormat="1"/>
  </cellXfs>
  <cellStyles count="6">
    <cellStyle name="Currency" xfId="4" builtinId="4"/>
    <cellStyle name="Heading 1" xfId="2" builtinId="16"/>
    <cellStyle name="Heading 4" xfId="3" builtinId="19"/>
    <cellStyle name="Normal" xfId="0" builtinId="0"/>
    <cellStyle name="Percent" xfId="5" builtinId="5"/>
    <cellStyle name="Title" xfId="1" builtinId="15"/>
  </cellStyles>
  <dxfs count="16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protection locked="0" hidden="0"/>
    </dxf>
    <dxf>
      <protection locked="0" hidden="0"/>
    </dxf>
    <dxf>
      <protection locked="0" hidden="0"/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relativeIndent="1" justifyLastLine="0" shrinkToFit="0" readingOrder="0"/>
    </dxf>
    <dxf>
      <alignment horizontal="right" vertical="bottom" textRotation="0" wrapText="0" indent="1" justifyLastLine="0" shrinkToFit="0" readingOrder="0"/>
    </dxf>
    <dxf>
      <numFmt numFmtId="168" formatCode="#,##0.000"/>
      <alignment horizontal="right" vertical="bottom" textRotation="0" wrapText="0" indent="1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#&quot; hrs&quot;;;&quot;&quot;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3" formatCode="0.00;0.00;;@"/>
      <alignment horizontal="right" vertical="bottom" textRotation="0" wrapText="0" relative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  <alignment horizontal="left" vertical="bottom" textRotation="0" wrapText="0" relative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0" hidden="0"/>
    </dxf>
    <dxf>
      <alignment horizontal="right" vertical="bottom" textRotation="0" wrapText="0" indent="1" justifyLastLine="0" shrinkToFit="0" readingOrder="0"/>
    </dxf>
    <dxf>
      <protection locked="0" hidden="0"/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numFmt numFmtId="169" formatCode="&quot;$&quot;#,##0.0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173" formatCode="0.00;0.00;;@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0" formatCode="#,##0;;&quot;&quot;"/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theme="0" tint="-0.34998626667073579"/>
      </font>
      <numFmt numFmtId="170" formatCode="#,##0;;&quot;&quot;"/>
      <alignment horizontal="general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3" formatCode="0.00;0.00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2" formatCode="0;0;;@"/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</dxf>
    <dxf>
      <numFmt numFmtId="172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</dxf>
    <dxf>
      <alignment horizontal="right" vertical="bottom" textRotation="0" wrapText="0" indent="1" justifyLastLine="0" shrinkToFit="0" readingOrder="0"/>
    </dxf>
    <dxf>
      <protection locked="0" hidden="0"/>
    </dxf>
    <dxf>
      <numFmt numFmtId="169" formatCode="&quot;$&quot;#,##0.00"/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</dxf>
    <dxf>
      <numFmt numFmtId="173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</dxf>
    <dxf>
      <numFmt numFmtId="170" formatCode="#,##0;;&quot;&quot;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</dxf>
    <dxf>
      <alignment horizontal="right" vertical="bottom" textRotation="0" wrapText="0" indent="1" justifyLastLine="0" shrinkToFit="0" readingOrder="0"/>
    </dxf>
    <dxf>
      <protection locked="0" hidden="0"/>
    </dxf>
    <dxf>
      <fill>
        <patternFill>
          <bgColor theme="0" tint="-4.9989318521683403E-2"/>
        </patternFill>
      </fill>
      <border>
        <top style="thin">
          <color theme="9" tint="0.79998168889431442"/>
        </top>
      </border>
    </dxf>
    <dxf>
      <border>
        <top style="thin">
          <color theme="9" tint="0.79995117038483843"/>
        </top>
        <horizontal/>
      </border>
    </dxf>
    <dxf>
      <font>
        <color theme="9" tint="-0.499984740745262"/>
      </font>
      <fill>
        <patternFill patternType="solid">
          <fgColor theme="0"/>
          <bgColor theme="9" tint="0.79998168889431442"/>
        </patternFill>
      </fill>
      <border>
        <left style="thin">
          <color theme="9" tint="-0.499984740745262"/>
        </left>
        <right style="thin">
          <color theme="9" tint="0.39994506668294322"/>
        </right>
        <horizontal style="thin">
          <color rgb="FFECF5E7"/>
        </horizontal>
      </border>
    </dxf>
    <dxf>
      <fill>
        <patternFill patternType="solid">
          <bgColor theme="0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0.39994506668294322"/>
        </top>
        <bottom style="thin">
          <color theme="9" tint="-0.499984740745262"/>
        </bottom>
        <vertical/>
      </border>
    </dxf>
    <dxf>
      <font>
        <color theme="0" tint="-4.9989318521683403E-2"/>
      </font>
      <fill>
        <patternFill>
          <bgColor theme="9" tint="-0.24994659260841701"/>
        </patternFill>
      </fill>
    </dxf>
    <dxf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62"/>
      <tableStyleElement type="headerRow" dxfId="161"/>
    </tableStyle>
    <tableStyle name="Vegas" pivot="0" count="6">
      <tableStyleElement type="wholeTable" dxfId="160"/>
      <tableStyleElement type="headerRow" dxfId="159"/>
      <tableStyleElement type="totalRow" dxfId="158"/>
      <tableStyleElement type="firstColumn" dxfId="157"/>
      <tableStyleElement type="firstRowStripe" dxfId="156"/>
      <tableStyleElement type="secondRowStripe" dxfId="155"/>
    </tableStyle>
  </tableStyles>
  <colors>
    <mruColors>
      <color rgb="FF606062"/>
      <color rgb="FF4D6F79"/>
      <color rgb="FF548235"/>
      <color rgb="FFFFFFCC"/>
      <color rgb="FF777777"/>
      <color rgb="FFE2EFDA"/>
      <color rgb="FFECF5E7"/>
      <color rgb="FFF3F3F3"/>
      <color rgb="FFECEC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581025</xdr:colOff>
      <xdr:row>1</xdr:row>
      <xdr:rowOff>57150</xdr:rowOff>
    </xdr:from>
    <xdr:to>
      <xdr:col>12</xdr:col>
      <xdr:colOff>142875</xdr:colOff>
      <xdr:row>1</xdr:row>
      <xdr:rowOff>441509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29E09B-97B3-42E5-97F7-EEE9FE92C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2375" y="133350"/>
          <a:ext cx="857250" cy="3843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1</xdr:row>
      <xdr:rowOff>38100</xdr:rowOff>
    </xdr:from>
    <xdr:to>
      <xdr:col>10</xdr:col>
      <xdr:colOff>123825</xdr:colOff>
      <xdr:row>1</xdr:row>
      <xdr:rowOff>422459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B5E8DA-A2A1-4861-921C-70C7F3F8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114300"/>
          <a:ext cx="857250" cy="3843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1</xdr:row>
      <xdr:rowOff>38100</xdr:rowOff>
    </xdr:from>
    <xdr:to>
      <xdr:col>10</xdr:col>
      <xdr:colOff>123825</xdr:colOff>
      <xdr:row>1</xdr:row>
      <xdr:rowOff>422459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B81C43-0F23-4012-9BB2-C84618595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114300"/>
          <a:ext cx="857250" cy="3843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1</xdr:row>
      <xdr:rowOff>28575</xdr:rowOff>
    </xdr:from>
    <xdr:to>
      <xdr:col>10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BEC1AC-11AD-46ED-A115-C38F008A3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542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285750</xdr:colOff>
      <xdr:row>1</xdr:row>
      <xdr:rowOff>38100</xdr:rowOff>
    </xdr:from>
    <xdr:to>
      <xdr:col>10</xdr:col>
      <xdr:colOff>114300</xdr:colOff>
      <xdr:row>1</xdr:row>
      <xdr:rowOff>422459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AA83E8-B790-463A-93F7-2224EC9DF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14300"/>
          <a:ext cx="857250" cy="38435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1</xdr:row>
      <xdr:rowOff>28575</xdr:rowOff>
    </xdr:from>
    <xdr:to>
      <xdr:col>10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995658-DCBE-4878-B87F-AA10B70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1</xdr:row>
      <xdr:rowOff>28575</xdr:rowOff>
    </xdr:from>
    <xdr:to>
      <xdr:col>10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453EE3-19E4-436A-9C12-FC8081DA4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295275</xdr:colOff>
      <xdr:row>1</xdr:row>
      <xdr:rowOff>38100</xdr:rowOff>
    </xdr:from>
    <xdr:to>
      <xdr:col>12</xdr:col>
      <xdr:colOff>123825</xdr:colOff>
      <xdr:row>1</xdr:row>
      <xdr:rowOff>422459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34F4E6-9CF8-41DA-8F41-752827A82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9950" y="114300"/>
          <a:ext cx="857250" cy="384359"/>
        </a:xfrm>
        <a:prstGeom prst="rect">
          <a:avLst/>
        </a:prstGeom>
      </xdr:spPr>
    </xdr:pic>
    <xdr:clientData/>
  </xdr:twoCellAnchor>
  <xdr:twoCellAnchor>
    <xdr:from>
      <xdr:col>9</xdr:col>
      <xdr:colOff>200025</xdr:colOff>
      <xdr:row>13</xdr:row>
      <xdr:rowOff>38100</xdr:rowOff>
    </xdr:from>
    <xdr:to>
      <xdr:col>13</xdr:col>
      <xdr:colOff>123825</xdr:colOff>
      <xdr:row>20</xdr:row>
      <xdr:rowOff>47625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92A63A1-F960-45B2-8332-89216F4D453D}"/>
            </a:ext>
          </a:extLst>
        </xdr:cNvPr>
        <xdr:cNvSpPr/>
      </xdr:nvSpPr>
      <xdr:spPr>
        <a:xfrm>
          <a:off x="9020175" y="2781300"/>
          <a:ext cx="2276475" cy="1343025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Note: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All</a:t>
          </a:r>
          <a:r>
            <a:rPr lang="en-US" sz="1100" baseline="0">
              <a:solidFill>
                <a:sysClr val="windowText" lastClr="000000"/>
              </a:solidFill>
            </a:rPr>
            <a:t> equipment must have a tag designated.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180975</xdr:colOff>
      <xdr:row>21</xdr:row>
      <xdr:rowOff>76200</xdr:rowOff>
    </xdr:from>
    <xdr:to>
      <xdr:col>13</xdr:col>
      <xdr:colOff>257175</xdr:colOff>
      <xdr:row>28</xdr:row>
      <xdr:rowOff>114300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D9B5A6F-9336-425F-A690-B6A2FE817ABF}"/>
            </a:ext>
          </a:extLst>
        </xdr:cNvPr>
        <xdr:cNvSpPr/>
      </xdr:nvSpPr>
      <xdr:spPr>
        <a:xfrm>
          <a:off x="7972425" y="4343400"/>
          <a:ext cx="2428875" cy="1371600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Note:</a:t>
          </a:r>
        </a:p>
        <a:p>
          <a:pPr algn="l"/>
          <a:r>
            <a:rPr lang="en-US" sz="1100" b="1">
              <a:solidFill>
                <a:sysClr val="windowText" lastClr="000000"/>
              </a:solidFill>
            </a:rPr>
            <a:t>This table is not complete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 i="1">
              <a:solidFill>
                <a:sysClr val="windowText" lastClr="000000"/>
              </a:solidFill>
            </a:rPr>
            <a:t>(still trying to</a:t>
          </a:r>
          <a:r>
            <a:rPr lang="en-US" sz="1100" i="1" baseline="0">
              <a:solidFill>
                <a:sysClr val="windowText" lastClr="000000"/>
              </a:solidFill>
            </a:rPr>
            <a:t> figure out the best way to handle this, any feedback you have would be appreciated)</a:t>
          </a:r>
          <a:endParaRPr lang="en-US" sz="1100" i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390525</xdr:colOff>
      <xdr:row>1</xdr:row>
      <xdr:rowOff>9525</xdr:rowOff>
    </xdr:from>
    <xdr:to>
      <xdr:col>9</xdr:col>
      <xdr:colOff>133350</xdr:colOff>
      <xdr:row>1</xdr:row>
      <xdr:rowOff>393884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3F5615-EB29-4FC4-8190-05BE6B0AE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3525" y="85725"/>
          <a:ext cx="857250" cy="384359"/>
        </a:xfrm>
        <a:prstGeom prst="rect">
          <a:avLst/>
        </a:prstGeom>
      </xdr:spPr>
    </xdr:pic>
    <xdr:clientData/>
  </xdr:twoCellAnchor>
  <xdr:twoCellAnchor>
    <xdr:from>
      <xdr:col>6</xdr:col>
      <xdr:colOff>76200</xdr:colOff>
      <xdr:row>7</xdr:row>
      <xdr:rowOff>57149</xdr:rowOff>
    </xdr:from>
    <xdr:to>
      <xdr:col>10</xdr:col>
      <xdr:colOff>276225</xdr:colOff>
      <xdr:row>14</xdr:row>
      <xdr:rowOff>19049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5D15A91-EC94-4C36-808E-71297E103DB1}"/>
            </a:ext>
          </a:extLst>
        </xdr:cNvPr>
        <xdr:cNvSpPr/>
      </xdr:nvSpPr>
      <xdr:spPr>
        <a:xfrm>
          <a:off x="6410325" y="1609724"/>
          <a:ext cx="2276475" cy="1343025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Note: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For error checking only, ancillary labor and cost are</a:t>
          </a:r>
          <a:r>
            <a:rPr lang="en-US" sz="1100" baseline="0">
              <a:solidFill>
                <a:sysClr val="windowText" lastClr="000000"/>
              </a:solidFill>
            </a:rPr>
            <a:t> included with the items.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866775</xdr:colOff>
      <xdr:row>1</xdr:row>
      <xdr:rowOff>19050</xdr:rowOff>
    </xdr:from>
    <xdr:to>
      <xdr:col>8</xdr:col>
      <xdr:colOff>857250</xdr:colOff>
      <xdr:row>1</xdr:row>
      <xdr:rowOff>403409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BAEB77-8591-4105-A043-1004B159F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95250"/>
          <a:ext cx="857250" cy="38435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304800</xdr:colOff>
      <xdr:row>1</xdr:row>
      <xdr:rowOff>0</xdr:rowOff>
    </xdr:from>
    <xdr:to>
      <xdr:col>10</xdr:col>
      <xdr:colOff>133350</xdr:colOff>
      <xdr:row>1</xdr:row>
      <xdr:rowOff>384359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1909F6-C09A-435B-96A0-CFB8B6122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0" y="76200"/>
          <a:ext cx="857250" cy="38435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upplier Provided Pricing_1" growShrinkType="overwriteClear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upplier Provided Pricing - pipe" growShrinkType="overwriteClear" connectionId="1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-EST-Pipe" growShrinkType="overwriteClear" fillFormulas="1" connectionId="7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-EST-Fittings" growShrinkType="overwriteClear" connectionId="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-EST-Valves" growShrinkType="overwriteClear" connectionId="9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P-EST-Accessories" growShrinkType="overwriteClear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P-EST-Hangers" growShrinkType="overwriteClear" connectionId="6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P-EST-Sleeves" growShrinkType="overwriteClea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P-EST-Equipment" growShrinkType="overwriteClear" fillFormulas="1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P-EST-Ancillaries" growShrinkType="overwriteClear" connectionId="3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EST-Job Info" growShrinkType="overwriteClear" connectionId="1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3" name="Pipe" displayName="Pipe" ref="B9:F33" headerRowCount="0" totalsRowCount="1" dataDxfId="154">
  <tableColumns count="5">
    <tableColumn id="6" name="Column1" totalsRowFunction="custom" headerRowDxfId="153" dataDxfId="152" totalsRowDxfId="151">
      <calculatedColumnFormula>IF(Lists!A2="","",Lists!A2)</calculatedColumnFormula>
      <totalsRowFormula>IF(SUM(I9:I10)&gt;2,"Total w/Multiplier","Total")</totalsRowFormula>
    </tableColumn>
    <tableColumn id="4" name="Column2" totalsRowFunction="sum" headerRowDxfId="150" dataDxfId="149" totalsRowDxfId="148">
      <calculatedColumnFormula>SUMIFS('P-EST-Pipe'!H:H,P_PipeName,Pipe[[#This Row],[Column1]])</calculatedColumnFormula>
    </tableColumn>
    <tableColumn id="5" name="Etime" totalsRowFunction="custom" headerRowDxfId="147" dataDxfId="146" totalsRowDxfId="145">
      <calculatedColumnFormula>SUMIFS('P-EST-Pipe'!J:J,P_PipeName,Pipe[[#This Row],[Column1]])</calculatedColumnFormula>
      <totalsRowFormula>SUBTOTAL(109,Pipe[Etime])*I9</totalsRowFormula>
    </tableColumn>
    <tableColumn id="7" name="Column3" totalsRowFunction="custom" headerRowDxfId="144" dataDxfId="143" totalsRowDxfId="142">
      <calculatedColumnFormula>IF(D9=0,"","hrs")</calculatedColumnFormula>
      <totalsRowFormula>IF(D33=0,"","hrs")</totalsRowFormula>
    </tableColumn>
    <tableColumn id="3" name="Cost" totalsRowFunction="custom" headerRowDxfId="141" dataDxfId="140" totalsRowDxfId="139">
      <calculatedColumnFormula>SUMIFS('P-EST-Pipe'!K:K,P_PipeName,Pipe[[#This Row],[Column1]])</calculatedColumnFormula>
      <totalsRowFormula>SUBTOTAL(109,Pipe[Cost])*I10</totalsRowFormula>
    </tableColumn>
  </tableColumns>
  <tableStyleInfo name="Vegas" showFirstColumn="1" showLastColumn="0" showRowStripes="1" showColumnStripes="0"/>
</table>
</file>

<file path=xl/tables/table2.xml><?xml version="1.0" encoding="utf-8"?>
<table xmlns="http://schemas.openxmlformats.org/spreadsheetml/2006/main" id="1" name="Fittings" displayName="Fittings" ref="B9:F33" headerRowCount="0" totalsRowCount="1" dataDxfId="138">
  <tableColumns count="5">
    <tableColumn id="6" name="Column1" totalsRowFunction="custom" headerRowDxfId="137" dataDxfId="136" totalsRowDxfId="135">
      <calculatedColumnFormula>IF(Lists!B2="","",Lists!B2)</calculatedColumnFormula>
      <totalsRowFormula>IF(SUM(I9:I10)&gt;2,"Total w/Multiplier","Total")</totalsRowFormula>
    </tableColumn>
    <tableColumn id="4" name="Column2" totalsRowFunction="sum" headerRowDxfId="134" dataDxfId="133" totalsRowDxfId="132">
      <calculatedColumnFormula>SUMIFS('P-EST-Fittings'!H:H,P_FittingName,Fittings[[#This Row],[Column1]])</calculatedColumnFormula>
    </tableColumn>
    <tableColumn id="5" name="Etime" totalsRowFunction="custom" headerRowDxfId="131" dataDxfId="130" totalsRowDxfId="129">
      <calculatedColumnFormula>SUMIFS('P-EST-Fittings'!J:J,P_FittingName,Fittings[[#This Row],[Column1]])</calculatedColumnFormula>
      <totalsRowFormula>SUBTOTAL(109,Fittings[Etime])*I9</totalsRowFormula>
    </tableColumn>
    <tableColumn id="7" name="Column3" totalsRowFunction="custom" headerRowDxfId="128" dataDxfId="127" totalsRowDxfId="126">
      <calculatedColumnFormula>IF(D9=0,"","hrs")</calculatedColumnFormula>
      <totalsRowFormula>IF(D33=0,"","hrs")</totalsRowFormula>
    </tableColumn>
    <tableColumn id="3" name="Cost" totalsRowFunction="custom" headerRowDxfId="125" dataDxfId="124" totalsRowDxfId="123">
      <calculatedColumnFormula>SUMIFS('P-EST-Fittings'!K:K,P_FittingName,Fittings[[#This Row],[Column1]])</calculatedColumnFormula>
      <totalsRowFormula>SUBTOTAL(109,Fittings[Cost])*I10</totalsRowFormula>
    </tableColumn>
  </tableColumns>
  <tableStyleInfo name="Vegas" showFirstColumn="1" showLastColumn="0" showRowStripes="1" showColumnStripes="0"/>
</table>
</file>

<file path=xl/tables/table3.xml><?xml version="1.0" encoding="utf-8"?>
<table xmlns="http://schemas.openxmlformats.org/spreadsheetml/2006/main" id="12" name="Valves" displayName="Valves" ref="B9:F33" headerRowCount="0" totalsRowCount="1" dataDxfId="122">
  <tableColumns count="5">
    <tableColumn id="6" name="Column1" totalsRowFunction="custom" headerRowDxfId="121" dataDxfId="120" totalsRowDxfId="119">
      <calculatedColumnFormula>IF(Lists!F2="","",Lists!F2)</calculatedColumnFormula>
      <totalsRowFormula>IF(SUM(I9:I10)&gt;2,"Total w/Multiplier","Total")</totalsRowFormula>
    </tableColumn>
    <tableColumn id="4" name="Column2" totalsRowFunction="sum" headerRowDxfId="118" dataDxfId="117" totalsRowDxfId="116">
      <calculatedColumnFormula>SUMIFS('P-EST-Valves'!H:H,P_ValveName,Valves[[#This Row],[Column1]])</calculatedColumnFormula>
    </tableColumn>
    <tableColumn id="5" name="Etime" totalsRowFunction="custom" headerRowDxfId="115" dataDxfId="114" totalsRowDxfId="113">
      <calculatedColumnFormula>SUMIFS('P-EST-Valves'!J:J,P_ValveName,Valves[[#This Row],[Column1]])</calculatedColumnFormula>
      <totalsRowFormula>SUBTOTAL(109,Valves[Etime])*I9</totalsRowFormula>
    </tableColumn>
    <tableColumn id="7" name="Column3" totalsRowFunction="custom" headerRowDxfId="112" dataDxfId="111" totalsRowDxfId="110">
      <calculatedColumnFormula>IF(D9=0,"","hrs")</calculatedColumnFormula>
      <totalsRowFormula>IF(D33=0,"","hrs")</totalsRowFormula>
    </tableColumn>
    <tableColumn id="3" name="Cost" totalsRowFunction="custom" headerRowDxfId="109" dataDxfId="108" totalsRowDxfId="107">
      <calculatedColumnFormula>SUMIFS('P-EST-Valves'!K:K,P_ValveName,Valves[[#This Row],[Column1]])</calculatedColumnFormula>
      <totalsRowFormula>SUBTOTAL(109,Valves[Cost])*I10</totalsRowFormula>
    </tableColumn>
  </tableColumns>
  <tableStyleInfo name="Vegas" showFirstColumn="1" showLastColumn="0" showRowStripes="1" showColumnStripes="0"/>
</table>
</file>

<file path=xl/tables/table4.xml><?xml version="1.0" encoding="utf-8"?>
<table xmlns="http://schemas.openxmlformats.org/spreadsheetml/2006/main" id="11" name="Accessories" displayName="Accessories" ref="B9:F36" headerRowCount="0" totalsRowCount="1">
  <tableColumns count="5">
    <tableColumn id="1" name="Column1" totalsRowFunction="custom" totalsRowDxfId="106">
      <calculatedColumnFormula>IF(Lists!D2="","",Lists!D2)</calculatedColumnFormula>
      <totalsRowFormula>IF(SUM(I9:I10)&gt;2,"Total w/Multiplier","Total")</totalsRowFormula>
    </tableColumn>
    <tableColumn id="5" name="Column5" dataDxfId="105" totalsRowDxfId="104">
      <calculatedColumnFormula>SUMIFS('P-EST-Accessories'!H:H,P_AccessoryName,Accessories!B9)</calculatedColumnFormula>
    </tableColumn>
    <tableColumn id="8" name="Column7" totalsRowFunction="custom" dataDxfId="103" totalsRowDxfId="102">
      <calculatedColumnFormula>SUMIFS('P-EST-Accessories'!H:H,P_AccessoryName,Accessories!B9)</calculatedColumnFormula>
      <totalsRowFormula>SUBTOTAL(109,Accessories[Column7])*I9</totalsRowFormula>
    </tableColumn>
    <tableColumn id="6" name="Column3" totalsRowFunction="custom" dataDxfId="101" totalsRowDxfId="100">
      <calculatedColumnFormula>IF(D9=0,"","hrs")</calculatedColumnFormula>
      <totalsRowFormula>IF(D36=0,"","hrs")</totalsRowFormula>
    </tableColumn>
    <tableColumn id="4" name="Column4" totalsRowFunction="custom" dataDxfId="99" totalsRowDxfId="98">
      <calculatedColumnFormula>SUMIFS('P-EST-Accessories'!H:H,P_AccessoryName,Accessories!B9)</calculatedColumnFormula>
      <totalsRowFormula>SUBTOTAL(109,Accessories[Column4])*I10</totalsRowFormula>
    </tableColumn>
  </tableColumns>
  <tableStyleInfo name="Vegas" showFirstColumn="1" showLastColumn="0" showRowStripes="1" showColumnStripes="0"/>
</table>
</file>

<file path=xl/tables/table5.xml><?xml version="1.0" encoding="utf-8"?>
<table xmlns="http://schemas.openxmlformats.org/spreadsheetml/2006/main" id="14" name="Hangers" displayName="Hangers" ref="B9:F33" headerRowCount="0" totalsRowCount="1" dataDxfId="97">
  <tableColumns count="5">
    <tableColumn id="6" name="Column1" totalsRowFunction="custom" headerRowDxfId="96" dataDxfId="95" totalsRowDxfId="94">
      <calculatedColumnFormula>IF(Lists!G2="","",Lists!G2)</calculatedColumnFormula>
      <totalsRowFormula>IF(SUM(I9:I10)&gt;2,"Total w/Multiplier","Total")</totalsRowFormula>
    </tableColumn>
    <tableColumn id="4" name="Column2" totalsRowFunction="sum" headerRowDxfId="93" dataDxfId="92" totalsRowDxfId="91">
      <calculatedColumnFormula>SUMIFS('P-EST-Hangers'!H:H,P_HangerName,Hangers[[#This Row],[Column1]])</calculatedColumnFormula>
    </tableColumn>
    <tableColumn id="5" name="Etime" totalsRowFunction="custom" headerRowDxfId="90" dataDxfId="89" totalsRowDxfId="88">
      <calculatedColumnFormula>SUMIFS('P-EST-Hangers'!J:J,P_HangerName,Hangers[[#This Row],[Column1]])</calculatedColumnFormula>
      <totalsRowFormula>SUBTOTAL(109,Hangers[Etime])*I9</totalsRowFormula>
    </tableColumn>
    <tableColumn id="7" name="Column3" totalsRowFunction="custom" headerRowDxfId="87" dataDxfId="86" totalsRowDxfId="85">
      <calculatedColumnFormula>IF(D9=0,"","hrs")</calculatedColumnFormula>
      <totalsRowFormula>IF(D33=0,"","hrs")</totalsRowFormula>
    </tableColumn>
    <tableColumn id="3" name="Cost" totalsRowFunction="custom" headerRowDxfId="84" dataDxfId="83" totalsRowDxfId="82">
      <calculatedColumnFormula>SUMIFS('P-EST-Hangers'!K:K,P_HangerName,Hangers[[#This Row],[Column1]])</calculatedColumnFormula>
      <totalsRowFormula>SUBTOTAL(109,Hangers[Cost])*I10</totalsRowFormula>
    </tableColumn>
  </tableColumns>
  <tableStyleInfo name="Vegas" showFirstColumn="1" showLastColumn="0" showRowStripes="1" showColumnStripes="0"/>
</table>
</file>

<file path=xl/tables/table6.xml><?xml version="1.0" encoding="utf-8"?>
<table xmlns="http://schemas.openxmlformats.org/spreadsheetml/2006/main" id="16" name="Sleeves" displayName="Sleeves" ref="B9:F33" headerRowCount="0" totalsRowCount="1" dataDxfId="81">
  <tableColumns count="5">
    <tableColumn id="6" name="Column1" totalsRowFunction="custom" headerRowDxfId="80" dataDxfId="79" totalsRowDxfId="78">
      <calculatedColumnFormula>IF(Lists!H2="","",Lists!H2)</calculatedColumnFormula>
      <totalsRowFormula>IF(SUM(I9:I10)&gt;2,"Total w/Multiplier","Total")</totalsRowFormula>
    </tableColumn>
    <tableColumn id="4" name="Column2" totalsRowFunction="sum" headerRowDxfId="77" dataDxfId="76" totalsRowDxfId="75">
      <calculatedColumnFormula>SUMIFS('P-EST-Sleeves'!G:G,P_SleeveName,Sleeves[[#This Row],[Column1]])</calculatedColumnFormula>
    </tableColumn>
    <tableColumn id="5" name="Etime" totalsRowFunction="custom" headerRowDxfId="74" dataDxfId="73" totalsRowDxfId="72">
      <calculatedColumnFormula>SUMIFS('P-EST-Sleeves'!I:I,P_SleeveName,Sleeves[[#This Row],[Column1]])</calculatedColumnFormula>
      <totalsRowFormula>SUBTOTAL(109,Sleeves[Etime])*I9</totalsRowFormula>
    </tableColumn>
    <tableColumn id="7" name="Column3" totalsRowFunction="custom" headerRowDxfId="71" dataDxfId="70" totalsRowDxfId="69">
      <calculatedColumnFormula>IF(D9=0,"","hrs")</calculatedColumnFormula>
      <totalsRowFormula>IF(D33=0,"","hrs")</totalsRowFormula>
    </tableColumn>
    <tableColumn id="3" name="Cost" totalsRowFunction="custom" headerRowDxfId="68" dataDxfId="67" totalsRowDxfId="66">
      <calculatedColumnFormula>SUMIFS('P-EST-Sleeves'!J:J,P_SleeveName,Sleeves[[#This Row],[Column1]])</calculatedColumnFormula>
      <totalsRowFormula>SUBTOTAL(109,Sleeves[Cost])*I10</totalsRowFormula>
    </tableColumn>
  </tableColumns>
  <tableStyleInfo name="Vegas" showFirstColumn="1" showLastColumn="0" showRowStripes="1" showColumnStripes="0"/>
</table>
</file>

<file path=xl/tables/table7.xml><?xml version="1.0" encoding="utf-8"?>
<table xmlns="http://schemas.openxmlformats.org/spreadsheetml/2006/main" id="25" name="Equipment" displayName="Equipment" ref="B9:H33" headerRowCount="0" totalsRowCount="1" dataDxfId="65">
  <tableColumns count="7">
    <tableColumn id="6" name="Column1" totalsRowFunction="custom" headerRowDxfId="64" dataDxfId="63" totalsRowDxfId="62">
      <calculatedColumnFormula>IF('P-EST-Equipment'!F2="","",'P-EST-Equipment'!F2)</calculatedColumnFormula>
      <totalsRowFormula>IF(SUM(K9:K10)&gt;2,"Total w/Multiplier","Total")</totalsRowFormula>
    </tableColumn>
    <tableColumn id="1" name="0" headerRowDxfId="61" dataDxfId="60">
      <calculatedColumnFormula>IF('P-EST-Equipment'!E2="","",'P-EST-Equipment'!E2)</calculatedColumnFormula>
    </tableColumn>
    <tableColumn id="4" name="Column2" totalsRowFunction="sum" headerRowDxfId="59" dataDxfId="58" totalsRowDxfId="57">
      <calculatedColumnFormula>IF('P-EST-Equipment'!J2=0,"",'P-EST-Equipment'!J2)</calculatedColumnFormula>
    </tableColumn>
    <tableColumn id="5" name="Etime" totalsRowFunction="custom" headerRowDxfId="56" dataDxfId="55" totalsRowDxfId="54">
      <calculatedColumnFormula>IF('P-EST-Equipment'!I2=0,"",'P-EST-Equipment'!I2*24)</calculatedColumnFormula>
      <totalsRowFormula>SUBTOTAL(109,Equipment[Etime])*K9</totalsRowFormula>
    </tableColumn>
    <tableColumn id="7" name="Column3" totalsRowFunction="custom" headerRowDxfId="53" dataDxfId="52" totalsRowDxfId="51">
      <calculatedColumnFormula>IF(E9="","","hrs")</calculatedColumnFormula>
      <totalsRowFormula>IF(E33=0,"","hrs")</totalsRowFormula>
    </tableColumn>
    <tableColumn id="9" name="Column5" headerRowDxfId="50" dataDxfId="49" totalsRowDxfId="48"/>
    <tableColumn id="3" name="Cost" totalsRowFunction="custom" headerRowDxfId="47" dataDxfId="46" totalsRowDxfId="45">
      <calculatedColumnFormula>IFERROR(Equipment[[#This Row],[Column2]]*Equipment[[#This Row],[Column5]],"")</calculatedColumnFormula>
      <totalsRowFormula>SUBTOTAL(109,Equipment[Cost])*K10</totalsRowFormula>
    </tableColumn>
  </tableColumns>
  <tableStyleInfo name="Vegas" showFirstColumn="1" showLastColumn="0" showRowStripes="1" showColumnStripes="0"/>
</table>
</file>

<file path=xl/tables/table8.xml><?xml version="1.0" encoding="utf-8"?>
<table xmlns="http://schemas.openxmlformats.org/spreadsheetml/2006/main" id="22" name="Ancillaries" displayName="Ancillaries" ref="B9:E47" headerRowCount="0" totalsRowCount="1">
  <tableColumns count="4">
    <tableColumn id="1" name="Column1" totalsRowLabel="Total" dataDxfId="44">
      <calculatedColumnFormula>IF(Lists!C2="","",Lists!C2)</calculatedColumnFormula>
    </tableColumn>
    <tableColumn id="3" name="Column3" dataDxfId="43" totalsRowDxfId="42">
      <calculatedColumnFormula>IF(B9="","",SUMIFS('P-EST-Ancillaries'!H:H,P_AncillaryName,Ancillaries!B9))</calculatedColumnFormula>
    </tableColumn>
    <tableColumn id="2" name="Column2" dataDxfId="41" totalsRowDxfId="40">
      <calculatedColumnFormula>IFERROR((VLOOKUP(B9,'P-EST-Ancillaries'!F:K,6,FALSE))/C9,"")</calculatedColumnFormula>
    </tableColumn>
    <tableColumn id="4" name="Column4" totalsRowFunction="sum" dataDxfId="39" totalsRowDxfId="38">
      <calculatedColumnFormula>SUMIFS('P-EST-Ancillaries'!K:K,P_AncillaryName,Ancillaries[[#This Row],[Column1]])</calculatedColumnFormula>
    </tableColumn>
  </tableColumns>
  <tableStyleInfo name="Vegas" showFirstColumn="1" showLastColumn="0" showRowStripes="1" showColumnStripes="0"/>
</table>
</file>

<file path=xl/tables/table9.xml><?xml version="1.0" encoding="utf-8"?>
<table xmlns="http://schemas.openxmlformats.org/spreadsheetml/2006/main" id="26" name="RentalsTable" displayName="RentalsTable" ref="B19:C27" totalsRowCount="1" dataDxfId="37">
  <autoFilter ref="B19:C26">
    <filterColumn colId="0" hiddenButton="1"/>
    <filterColumn colId="1" hiddenButton="1"/>
  </autoFilter>
  <tableColumns count="2">
    <tableColumn id="1" name="Description" totalsRowLabel="Total" dataDxfId="36"/>
    <tableColumn id="2" name="Cost" totalsRowFunction="sum" dataDxfId="35" totalsRowDxfId="34" dataCellStyle="Currency" totalsRowCellStyle="Currency"/>
  </tableColumns>
  <tableStyleInfo name="Vegas" showFirstColumn="1" showLastColumn="0" showRowStripes="1" showColumnStripes="0"/>
</table>
</file>

<file path=xl/tables/table10.xml><?xml version="1.0" encoding="utf-8"?>
<table xmlns="http://schemas.openxmlformats.org/spreadsheetml/2006/main" id="27" name="ManagmentTable" displayName="ManagmentTable" ref="E8:I16" totalsRowCount="1">
  <autoFilter ref="E8:I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scription" totalsRowLabel="Total" dataDxfId="33"/>
    <tableColumn id="2" name="%" dataDxfId="32" totalsRowDxfId="31"/>
    <tableColumn id="3" name="Method" dataDxfId="30"/>
    <tableColumn id="4" name="Hours" dataDxfId="29" totalsRowDxfId="28">
      <calculatedColumnFormula>IF(ManagmentTable[[#This Row],[%]]="","",Labor_Total*(ManagmentTable[[#This Row],[%]]/100))</calculatedColumnFormula>
    </tableColumn>
    <tableColumn id="5" name="Cost" totalsRowFunction="sum" totalsRowDxfId="27" dataCellStyle="Currency"/>
  </tableColumns>
  <tableStyleInfo name="Vegas" showFirstColumn="1" showLastColumn="0" showRowStripes="1" showColumnStripes="0"/>
</table>
</file>

<file path=xl/tables/table11.xml><?xml version="1.0" encoding="utf-8"?>
<table xmlns="http://schemas.openxmlformats.org/spreadsheetml/2006/main" id="28" name="FieldSupportTable" displayName="FieldSupportTable" ref="E19:I27" totalsRowCount="1">
  <autoFilter ref="E19:I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scription" totalsRowLabel="Total" dataDxfId="26"/>
    <tableColumn id="2" name="%" dataDxfId="25" totalsRowDxfId="24"/>
    <tableColumn id="3" name="Method" dataDxfId="23"/>
    <tableColumn id="4" name="Hours" dataDxfId="22" totalsRowDxfId="21">
      <calculatedColumnFormula>IF(FieldSupportTable[[#This Row],[%]]="","",Labor_Total*(FieldSupportTable[[#This Row],[%]]/100))</calculatedColumnFormula>
    </tableColumn>
    <tableColumn id="5" name="Cost" totalsRowFunction="sum" totalsRowDxfId="20" dataCellStyle="Currency"/>
  </tableColumns>
  <tableStyleInfo name="Vegas" showFirstColumn="1" showLastColumn="0" showRowStripes="1" showColumnStripes="0"/>
</table>
</file>

<file path=xl/tables/table12.xml><?xml version="1.0" encoding="utf-8"?>
<table xmlns="http://schemas.openxmlformats.org/spreadsheetml/2006/main" id="29" name="MiscTable" displayName="MiscTable" ref="B8:C16" totalsRowCount="1" dataDxfId="19">
  <autoFilter ref="B8:C15">
    <filterColumn colId="0" hiddenButton="1"/>
    <filterColumn colId="1" hiddenButton="1"/>
  </autoFilter>
  <tableColumns count="2">
    <tableColumn id="1" name="Description" totalsRowLabel="Total" dataDxfId="18"/>
    <tableColumn id="2" name="Cost" totalsRowFunction="sum" dataDxfId="17" totalsRowDxfId="16" dataCellStyle="Currency" totalsRowCellStyle="Currency"/>
  </tableColumns>
  <tableStyleInfo name="Vegas" showFirstColumn="1" showLastColumn="0" showRowStripes="1" showColumnStripes="0"/>
</table>
</file>

<file path=xl/tables/table13.xml><?xml version="1.0" encoding="utf-8"?>
<table xmlns="http://schemas.openxmlformats.org/spreadsheetml/2006/main" id="7" name="LaborRates" displayName="LaborRates" ref="B7:C17" totalsRowShown="0" dataDxfId="15">
  <autoFilter ref="B7:C17">
    <filterColumn colId="0" hiddenButton="1"/>
    <filterColumn colId="1" hiddenButton="1"/>
  </autoFilter>
  <tableColumns count="2">
    <tableColumn id="1" name="Labor" dataDxfId="14"/>
    <tableColumn id="2" name="Rate" dataDxfId="13" dataCellStyle="Currency"/>
  </tableColumns>
  <tableStyleInfo name="Vegas" showFirstColumn="1" showLastColumn="0" showRowStripes="1" showColumnStripes="0"/>
</table>
</file>

<file path=xl/tables/table14.xml><?xml version="1.0" encoding="utf-8"?>
<table xmlns="http://schemas.openxmlformats.org/spreadsheetml/2006/main" id="6" name="SubcontractsRentals" displayName="SubcontractsRentals" ref="E7:F20" totalsRowShown="0" dataDxfId="12">
  <autoFilter ref="E7:F20">
    <filterColumn colId="0" hiddenButton="1"/>
    <filterColumn colId="1" hiddenButton="1"/>
  </autoFilter>
  <sortState ref="E8:F21">
    <sortCondition ref="F8"/>
  </sortState>
  <tableColumns count="2">
    <tableColumn id="1" name="Subcontracts" dataDxfId="11"/>
    <tableColumn id="2" name="Rentals" dataDxfId="10"/>
  </tableColumns>
  <tableStyleInfo name="Vegas" showFirstColumn="0" showLastColumn="0" showRowStripes="1" showColumnStripes="0"/>
</table>
</file>

<file path=xl/tables/table15.xml><?xml version="1.0" encoding="utf-8"?>
<table xmlns="http://schemas.openxmlformats.org/spreadsheetml/2006/main" id="17" name="Settings" displayName="Settings" ref="B19:C29" totalsRowShown="0" dataDxfId="9">
  <autoFilter ref="B19:C29">
    <filterColumn colId="0" hiddenButton="1"/>
    <filterColumn colId="1" hiddenButton="1"/>
  </autoFilter>
  <tableColumns count="2">
    <tableColumn id="1" name="Field" dataDxfId="8"/>
    <tableColumn id="2" name="Value" dataDxfId="7" dataCellStyle="Currency"/>
  </tableColumns>
  <tableStyleInfo name="Vegas" showFirstColumn="1" showLastColumn="0" showRowStripes="1" showColumnStripes="0"/>
</table>
</file>

<file path=xl/theme/theme1.xml><?xml version="1.0" encoding="utf-8"?>
<a:theme xmlns:a="http://schemas.openxmlformats.org/drawingml/2006/main" name="Gree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Z46"/>
  <sheetViews>
    <sheetView showGridLines="0" zoomScaleNormal="100" workbookViewId="0">
      <selection activeCell="B16" sqref="B16"/>
    </sheetView>
  </sheetViews>
  <sheetFormatPr defaultRowHeight="14.4" x14ac:dyDescent="0.3"/>
  <cols>
    <col min="2" max="2" width="23.88671875" customWidth="1"/>
    <col min="3" max="3" width="7.6640625" customWidth="1"/>
    <col min="4" max="4" width="4.6640625" customWidth="1"/>
    <col min="5" max="5" width="7.6640625" customWidth="1"/>
    <col min="6" max="6" width="4.6640625" customWidth="1"/>
    <col min="7" max="7" width="8.6640625" customWidth="1"/>
    <col min="8" max="8" width="9.6640625" customWidth="1"/>
    <col min="9" max="9" width="8.6640625" customWidth="1"/>
    <col min="10" max="10" width="7.6640625" customWidth="1"/>
    <col min="11" max="11" width="8.6640625" customWidth="1"/>
    <col min="12" max="12" width="10.6640625" style="1" customWidth="1"/>
    <col min="13" max="13" width="10" customWidth="1"/>
    <col min="14" max="14" width="14.33203125" style="127" hidden="1" customWidth="1"/>
    <col min="15" max="15" width="11" hidden="1" customWidth="1"/>
    <col min="16" max="16" width="16" hidden="1" customWidth="1"/>
    <col min="17" max="17" width="14.44140625" hidden="1" customWidth="1"/>
    <col min="18" max="18" width="13.44140625" hidden="1" customWidth="1"/>
    <col min="19" max="19" width="12.44140625" hidden="1" customWidth="1"/>
    <col min="20" max="20" width="23.109375" hidden="1" customWidth="1"/>
    <col min="21" max="21" width="9.109375" hidden="1" customWidth="1"/>
    <col min="22" max="22" width="3" hidden="1" customWidth="1"/>
    <col min="23" max="23" width="7.88671875" hidden="1" customWidth="1"/>
    <col min="24" max="24" width="11.33203125" hidden="1" customWidth="1"/>
    <col min="25" max="25" width="2.6640625" hidden="1" customWidth="1"/>
    <col min="26" max="26" width="11.33203125" hidden="1" customWidth="1"/>
  </cols>
  <sheetData>
    <row r="1" spans="2:26" ht="6" customHeight="1" x14ac:dyDescent="0.3"/>
    <row r="2" spans="2:26" ht="39" customHeight="1" thickBot="1" x14ac:dyDescent="0.45">
      <c r="B2" s="133" t="s">
        <v>9</v>
      </c>
      <c r="C2" s="133"/>
      <c r="D2" s="133"/>
      <c r="E2" s="133"/>
      <c r="F2" s="133"/>
      <c r="G2" s="133"/>
      <c r="H2" s="133"/>
      <c r="I2" s="133"/>
      <c r="J2" s="133"/>
      <c r="K2" s="133"/>
      <c r="L2" s="134"/>
    </row>
    <row r="3" spans="2:26" ht="9" customHeight="1" thickTop="1" x14ac:dyDescent="0.3"/>
    <row r="4" spans="2:26" x14ac:dyDescent="0.3">
      <c r="B4" s="3" t="str">
        <f>IF(ProjectName="","",ProjectName)</f>
        <v/>
      </c>
      <c r="K4" s="5" t="s">
        <v>10</v>
      </c>
      <c r="L4" s="4" t="str">
        <f>IF(EstimatorName="","",EstimatorName)</f>
        <v/>
      </c>
    </row>
    <row r="5" spans="2:26" ht="15" customHeight="1" x14ac:dyDescent="0.3">
      <c r="B5" s="7" t="str">
        <f>IF(ProjectAddress="","",ProjectAddress)</f>
        <v/>
      </c>
      <c r="K5" s="5" t="s">
        <v>11</v>
      </c>
      <c r="L5" s="4" t="str">
        <f>IF(EstimateNo="","",EstimateNo)</f>
        <v/>
      </c>
    </row>
    <row r="6" spans="2:26" x14ac:dyDescent="0.3">
      <c r="H6" s="53"/>
      <c r="I6" s="53"/>
    </row>
    <row r="7" spans="2:26" ht="18" x14ac:dyDescent="0.35">
      <c r="B7" s="20" t="s">
        <v>102</v>
      </c>
      <c r="C7" s="159" t="s">
        <v>34</v>
      </c>
      <c r="D7" s="37"/>
      <c r="E7" s="37" t="s">
        <v>35</v>
      </c>
      <c r="F7" s="40"/>
      <c r="G7" s="54"/>
      <c r="H7" s="54" t="s">
        <v>7</v>
      </c>
      <c r="I7" s="54"/>
      <c r="J7" s="67" t="s">
        <v>8</v>
      </c>
      <c r="K7" s="19"/>
      <c r="L7" s="74" t="s">
        <v>0</v>
      </c>
      <c r="S7" s="169"/>
      <c r="T7" s="128" t="s">
        <v>74</v>
      </c>
      <c r="U7" s="128" t="s">
        <v>75</v>
      </c>
      <c r="W7" s="128" t="s">
        <v>76</v>
      </c>
      <c r="X7" s="128" t="s">
        <v>77</v>
      </c>
      <c r="Z7" s="128" t="s">
        <v>28</v>
      </c>
    </row>
    <row r="8" spans="2:26" x14ac:dyDescent="0.3">
      <c r="B8" s="22" t="s">
        <v>103</v>
      </c>
      <c r="C8" s="45" t="e">
        <f>SUMIFS(SM_Ftime,SM_BoughtOut,"No")*24</f>
        <v>#NAME?</v>
      </c>
      <c r="D8" s="38" t="e">
        <f>IF(C8=0,"","hrs")</f>
        <v>#NAME?</v>
      </c>
      <c r="E8" s="48" t="e">
        <f>SUMIFS(SM_Etime,SM_BoughtOut,"No")*24</f>
        <v>#NAME?</v>
      </c>
      <c r="F8" s="38" t="e">
        <f>IF(E8=0,"","hrs")</f>
        <v>#NAME?</v>
      </c>
      <c r="G8" s="42" t="e">
        <f>IF(H8=0,"","$")</f>
        <v>#NAME?</v>
      </c>
      <c r="H8" s="51" t="e">
        <f t="shared" ref="H8:H18" si="0">(C8*SM_ShopLaborRate)+(E8*SM_FieldLaborRate)</f>
        <v>#NAME?</v>
      </c>
      <c r="I8" s="42" t="e">
        <f>IF(J8=0,"","$")</f>
        <v>#REF!</v>
      </c>
      <c r="J8" s="48" t="e">
        <f>#REF!+#REF!+#REF!+#REF!</f>
        <v>#REF!</v>
      </c>
      <c r="K8" s="42" t="e">
        <f t="shared" ref="K8:K21" si="1">IF(L8=0,"","$")</f>
        <v>#NAME?</v>
      </c>
      <c r="L8" s="75" t="e">
        <f>H8+J8</f>
        <v>#NAME?</v>
      </c>
      <c r="Q8" s="171" t="s">
        <v>20</v>
      </c>
      <c r="R8" s="171" t="s">
        <v>21</v>
      </c>
      <c r="S8" s="161"/>
      <c r="T8" s="129" t="s">
        <v>78</v>
      </c>
      <c r="U8" s="130">
        <v>496.39</v>
      </c>
      <c r="W8" s="130">
        <v>3700.54</v>
      </c>
      <c r="X8" s="130">
        <v>8229.9699999999993</v>
      </c>
      <c r="Z8" s="130">
        <v>12426.89</v>
      </c>
    </row>
    <row r="9" spans="2:26" x14ac:dyDescent="0.3">
      <c r="B9" s="22" t="s">
        <v>104</v>
      </c>
      <c r="C9" s="46"/>
      <c r="D9" s="39" t="str">
        <f>IF(C9=0,"","hrs")</f>
        <v/>
      </c>
      <c r="E9" s="49" t="e">
        <f>SUMIFS(SM_Etime,SM_BoughtOut,"Yes")*24</f>
        <v>#NAME?</v>
      </c>
      <c r="F9" s="39" t="e">
        <f>IF(E9=0,"","hrs")</f>
        <v>#NAME?</v>
      </c>
      <c r="G9" s="43" t="e">
        <f>IF(H9=0,"","$")</f>
        <v>#NAME?</v>
      </c>
      <c r="H9" s="52" t="e">
        <f t="shared" si="0"/>
        <v>#NAME?</v>
      </c>
      <c r="I9" s="43" t="e">
        <f>IF(J9=0,"","$")</f>
        <v>#REF!</v>
      </c>
      <c r="J9" s="49" t="e">
        <f>#REF!+#REF!+#REF!+#REF!</f>
        <v>#REF!</v>
      </c>
      <c r="K9" s="43" t="e">
        <f t="shared" si="1"/>
        <v>#NAME?</v>
      </c>
      <c r="L9" s="76" t="e">
        <f>SUM(Summary!$H9:$J9)</f>
        <v>#NAME?</v>
      </c>
      <c r="O9" s="160" t="s">
        <v>73</v>
      </c>
      <c r="Q9" s="176">
        <v>40.56666666666667</v>
      </c>
      <c r="R9" s="176">
        <v>11737.6</v>
      </c>
      <c r="S9" s="170"/>
      <c r="T9" s="129" t="s">
        <v>12</v>
      </c>
      <c r="U9" s="130">
        <v>46585.8</v>
      </c>
      <c r="W9" s="130">
        <v>58.27</v>
      </c>
      <c r="X9" s="130">
        <v>1223733.6100000001</v>
      </c>
      <c r="Z9" s="130">
        <v>1270377.67</v>
      </c>
    </row>
    <row r="10" spans="2:26" x14ac:dyDescent="0.3">
      <c r="B10" s="22" t="s">
        <v>2</v>
      </c>
      <c r="C10" s="46" t="e">
        <f>#REF!</f>
        <v>#REF!</v>
      </c>
      <c r="D10" s="39" t="e">
        <f t="shared" ref="D10:F18" si="2">IF(C10=0,"","hrs")</f>
        <v>#REF!</v>
      </c>
      <c r="E10" s="49">
        <f>Hangers[[#Totals],[Etime]]</f>
        <v>0</v>
      </c>
      <c r="F10" s="39" t="str">
        <f t="shared" si="2"/>
        <v/>
      </c>
      <c r="G10" s="43" t="e">
        <f t="shared" ref="G10:I18" si="3">IF(H10=0,"","$")</f>
        <v>#REF!</v>
      </c>
      <c r="H10" s="52" t="e">
        <f>(C10*SM_ShopLaborRate)+(E10*SM_FieldLaborRate)</f>
        <v>#REF!</v>
      </c>
      <c r="I10" s="43" t="str">
        <f t="shared" si="3"/>
        <v/>
      </c>
      <c r="J10" s="49">
        <f>Hangers[[#Totals],[Cost]]</f>
        <v>0</v>
      </c>
      <c r="K10" s="43" t="e">
        <f t="shared" si="1"/>
        <v>#REF!</v>
      </c>
      <c r="L10" s="76" t="e">
        <f>SUM(Summary!$H10:$J10)</f>
        <v>#REF!</v>
      </c>
      <c r="O10" s="160" t="s">
        <v>98</v>
      </c>
      <c r="Q10" s="177" t="e">
        <f>Labor_TotalShop</f>
        <v>#NAME?</v>
      </c>
      <c r="R10" s="177" t="e">
        <f>Labor_Total</f>
        <v>#NAME?</v>
      </c>
      <c r="S10" s="161"/>
      <c r="T10" s="129"/>
      <c r="U10" s="130">
        <v>47082.18</v>
      </c>
      <c r="W10" s="130">
        <v>3758.81</v>
      </c>
      <c r="X10" s="130">
        <v>1231963.57</v>
      </c>
      <c r="Z10" s="130">
        <v>1282804.56</v>
      </c>
    </row>
    <row r="11" spans="2:26" x14ac:dyDescent="0.3">
      <c r="B11" s="22" t="s">
        <v>3</v>
      </c>
      <c r="C11" s="45" t="e">
        <f>#REF!</f>
        <v>#REF!</v>
      </c>
      <c r="D11" s="38" t="e">
        <f t="shared" si="2"/>
        <v>#REF!</v>
      </c>
      <c r="E11" s="48">
        <f>Equipment[[#Totals],[Etime]]</f>
        <v>0</v>
      </c>
      <c r="F11" s="38" t="str">
        <f t="shared" si="2"/>
        <v/>
      </c>
      <c r="G11" s="42" t="e">
        <f t="shared" si="3"/>
        <v>#REF!</v>
      </c>
      <c r="H11" s="51" t="e">
        <f t="shared" si="0"/>
        <v>#REF!</v>
      </c>
      <c r="I11" s="42" t="str">
        <f t="shared" si="3"/>
        <v/>
      </c>
      <c r="J11" s="48">
        <f>Equipment[[#Totals],[Cost]]</f>
        <v>0</v>
      </c>
      <c r="K11" s="42" t="e">
        <f t="shared" si="1"/>
        <v>#REF!</v>
      </c>
      <c r="L11" s="75" t="e">
        <f>SUM(Summary!$H11:$J11)</f>
        <v>#REF!</v>
      </c>
      <c r="Q11" s="168" t="e">
        <f>Q10-Q9</f>
        <v>#NAME?</v>
      </c>
      <c r="R11" s="168" t="e">
        <f>R10-R9</f>
        <v>#NAME?</v>
      </c>
    </row>
    <row r="12" spans="2:26" x14ac:dyDescent="0.3">
      <c r="B12" s="22" t="s">
        <v>4</v>
      </c>
      <c r="C12" s="46" t="e">
        <f>#REF!</f>
        <v>#REF!</v>
      </c>
      <c r="D12" s="39" t="e">
        <f t="shared" si="2"/>
        <v>#REF!</v>
      </c>
      <c r="E12" s="49">
        <f>Accessories[[#Totals],[Column7]]</f>
        <v>0</v>
      </c>
      <c r="F12" s="39" t="str">
        <f t="shared" si="2"/>
        <v/>
      </c>
      <c r="G12" s="43" t="e">
        <f t="shared" si="3"/>
        <v>#REF!</v>
      </c>
      <c r="H12" s="52" t="e">
        <f t="shared" si="0"/>
        <v>#REF!</v>
      </c>
      <c r="I12" s="43" t="str">
        <f t="shared" si="3"/>
        <v/>
      </c>
      <c r="J12" s="49">
        <f>Accessories[[#Totals],[Column4]]</f>
        <v>0</v>
      </c>
      <c r="K12" s="43" t="e">
        <f t="shared" si="1"/>
        <v>#REF!</v>
      </c>
      <c r="L12" s="76" t="e">
        <f>SUM(Summary!$H12:$J12)</f>
        <v>#REF!</v>
      </c>
    </row>
    <row r="13" spans="2:26" x14ac:dyDescent="0.3">
      <c r="B13" s="22" t="s">
        <v>5</v>
      </c>
      <c r="C13" s="45"/>
      <c r="D13" s="38" t="str">
        <f t="shared" si="2"/>
        <v/>
      </c>
      <c r="E13" s="48" t="e">
        <f>#REF!</f>
        <v>#REF!</v>
      </c>
      <c r="F13" s="38" t="e">
        <f t="shared" si="2"/>
        <v>#REF!</v>
      </c>
      <c r="G13" s="42" t="e">
        <f t="shared" si="3"/>
        <v>#NAME?</v>
      </c>
      <c r="H13" s="51" t="e">
        <f t="shared" si="0"/>
        <v>#NAME?</v>
      </c>
      <c r="I13" s="42" t="e">
        <f t="shared" si="3"/>
        <v>#REF!</v>
      </c>
      <c r="J13" s="48" t="e">
        <f>#REF!</f>
        <v>#REF!</v>
      </c>
      <c r="K13" s="42" t="e">
        <f t="shared" si="1"/>
        <v>#NAME?</v>
      </c>
      <c r="L13" s="75" t="e">
        <f>SUM(Summary!$H13:$J13)</f>
        <v>#NAME?</v>
      </c>
      <c r="T13" s="128" t="s">
        <v>79</v>
      </c>
      <c r="U13" s="128" t="s">
        <v>75</v>
      </c>
      <c r="W13" s="128" t="s">
        <v>76</v>
      </c>
      <c r="X13" s="128" t="s">
        <v>77</v>
      </c>
      <c r="Z13" s="128" t="s">
        <v>28</v>
      </c>
    </row>
    <row r="14" spans="2:26" x14ac:dyDescent="0.3">
      <c r="B14" s="22" t="s">
        <v>108</v>
      </c>
      <c r="C14" s="46" t="e">
        <f>#REF!</f>
        <v>#REF!</v>
      </c>
      <c r="D14" s="39" t="e">
        <f t="shared" si="2"/>
        <v>#REF!</v>
      </c>
      <c r="E14" s="49">
        <f>Pipe[[#Totals],[Etime]]</f>
        <v>0</v>
      </c>
      <c r="F14" s="39" t="str">
        <f t="shared" si="2"/>
        <v/>
      </c>
      <c r="G14" s="43" t="e">
        <f t="shared" si="3"/>
        <v>#REF!</v>
      </c>
      <c r="H14" s="52" t="e">
        <f t="shared" si="0"/>
        <v>#REF!</v>
      </c>
      <c r="I14" s="43" t="str">
        <f t="shared" si="3"/>
        <v/>
      </c>
      <c r="J14" s="49">
        <f>Pipe[[#Totals],[Cost]]</f>
        <v>0</v>
      </c>
      <c r="K14" s="43" t="e">
        <f t="shared" si="1"/>
        <v>#REF!</v>
      </c>
      <c r="L14" s="76" t="e">
        <f>SUM(Summary!$H14:$J14)</f>
        <v>#REF!</v>
      </c>
      <c r="T14" s="129" t="s">
        <v>80</v>
      </c>
      <c r="U14" s="130">
        <v>69.36</v>
      </c>
      <c r="W14" s="130">
        <v>358.02</v>
      </c>
      <c r="X14" s="130">
        <v>697.9</v>
      </c>
      <c r="Z14" s="130">
        <v>1125.28</v>
      </c>
    </row>
    <row r="15" spans="2:26" x14ac:dyDescent="0.3">
      <c r="B15" s="22" t="s">
        <v>106</v>
      </c>
      <c r="C15" s="45" t="e">
        <f>#REF!</f>
        <v>#REF!</v>
      </c>
      <c r="D15" s="38" t="e">
        <f t="shared" si="2"/>
        <v>#REF!</v>
      </c>
      <c r="E15" s="48">
        <f>Valves[[#Totals],[Etime]]</f>
        <v>0</v>
      </c>
      <c r="F15" s="38" t="str">
        <f t="shared" si="2"/>
        <v/>
      </c>
      <c r="G15" s="42" t="e">
        <f t="shared" si="3"/>
        <v>#REF!</v>
      </c>
      <c r="H15" s="51" t="e">
        <f t="shared" si="0"/>
        <v>#REF!</v>
      </c>
      <c r="I15" s="42" t="str">
        <f t="shared" si="3"/>
        <v/>
      </c>
      <c r="J15" s="48">
        <f>Valves[[#Totals],[Cost]]</f>
        <v>0</v>
      </c>
      <c r="K15" s="42" t="e">
        <f t="shared" si="1"/>
        <v>#REF!</v>
      </c>
      <c r="L15" s="75" t="e">
        <f>SUM(Summary!$H15:$J15)</f>
        <v>#REF!</v>
      </c>
      <c r="N15" s="137"/>
      <c r="O15" s="166" t="s">
        <v>67</v>
      </c>
      <c r="P15" s="166" t="s">
        <v>96</v>
      </c>
      <c r="Q15" s="172" t="s">
        <v>97</v>
      </c>
      <c r="R15" s="166" t="s">
        <v>99</v>
      </c>
      <c r="T15" s="129" t="s">
        <v>81</v>
      </c>
      <c r="U15" s="130">
        <v>256.89999999999998</v>
      </c>
      <c r="W15" s="130">
        <v>1803.84</v>
      </c>
      <c r="X15" s="130">
        <v>3314.22</v>
      </c>
      <c r="Z15" s="130">
        <v>5374.96</v>
      </c>
    </row>
    <row r="16" spans="2:26" x14ac:dyDescent="0.3">
      <c r="B16" s="22" t="s">
        <v>89</v>
      </c>
      <c r="C16" s="46" t="e">
        <f>#REF!</f>
        <v>#REF!</v>
      </c>
      <c r="D16" s="38" t="e">
        <f t="shared" si="2"/>
        <v>#REF!</v>
      </c>
      <c r="E16" s="49">
        <f>Sleeves[[#Totals],[Etime]]</f>
        <v>0</v>
      </c>
      <c r="F16" s="38" t="str">
        <f t="shared" si="2"/>
        <v/>
      </c>
      <c r="G16" s="42" t="e">
        <f t="shared" si="3"/>
        <v>#REF!</v>
      </c>
      <c r="H16" s="51" t="e">
        <f t="shared" si="0"/>
        <v>#REF!</v>
      </c>
      <c r="I16" s="42" t="str">
        <f t="shared" si="3"/>
        <v/>
      </c>
      <c r="J16" s="49">
        <f>Sleeves[[#Totals],[Cost]]</f>
        <v>0</v>
      </c>
      <c r="K16" s="42" t="e">
        <f t="shared" si="1"/>
        <v>#REF!</v>
      </c>
      <c r="L16" s="75" t="e">
        <f>SUM(Summary!$H16:$J16)</f>
        <v>#REF!</v>
      </c>
      <c r="N16" s="160" t="s">
        <v>73</v>
      </c>
      <c r="O16" s="165">
        <f>SUM(U14:U24)</f>
        <v>47082.18</v>
      </c>
      <c r="P16" s="165">
        <f>SUM(W14:W24)+SUM(X14:X24)</f>
        <v>1235722.3899999999</v>
      </c>
      <c r="Q16" s="174">
        <f>SUM(Q9:R9)</f>
        <v>11778.166666666668</v>
      </c>
      <c r="R16" s="161">
        <f>SUM(Z14:Z24)</f>
        <v>1282804.56</v>
      </c>
      <c r="T16" s="129" t="s">
        <v>82</v>
      </c>
      <c r="U16" s="130">
        <v>32.229999999999997</v>
      </c>
      <c r="W16" s="130">
        <v>129.96</v>
      </c>
      <c r="X16" s="130">
        <v>148.05000000000001</v>
      </c>
      <c r="Z16" s="130">
        <v>310.23</v>
      </c>
    </row>
    <row r="17" spans="2:26" x14ac:dyDescent="0.3">
      <c r="B17" s="22"/>
      <c r="C17" s="63"/>
      <c r="D17" s="38" t="str">
        <f t="shared" si="2"/>
        <v/>
      </c>
      <c r="E17" s="64"/>
      <c r="F17" s="38" t="str">
        <f t="shared" si="2"/>
        <v/>
      </c>
      <c r="G17" s="42" t="e">
        <f t="shared" si="3"/>
        <v>#NAME?</v>
      </c>
      <c r="H17" s="51" t="e">
        <f t="shared" si="0"/>
        <v>#NAME?</v>
      </c>
      <c r="I17" s="42" t="str">
        <f t="shared" si="3"/>
        <v/>
      </c>
      <c r="J17" s="64"/>
      <c r="K17" s="42" t="e">
        <f t="shared" si="1"/>
        <v>#NAME?</v>
      </c>
      <c r="L17" s="75" t="e">
        <f>SUM(Summary!$H17:$J17)</f>
        <v>#NAME?</v>
      </c>
      <c r="N17" s="160" t="s">
        <v>98</v>
      </c>
      <c r="O17" s="163" t="e">
        <f>J19</f>
        <v>#REF!</v>
      </c>
      <c r="P17" s="163" t="e">
        <f>H19</f>
        <v>#NAME?</v>
      </c>
      <c r="Q17" s="174" t="e">
        <f>Labor_TotalShop+Labor_Total</f>
        <v>#NAME?</v>
      </c>
      <c r="R17" s="162" t="e">
        <f>L19</f>
        <v>#NAME?</v>
      </c>
      <c r="T17" s="129" t="s">
        <v>13</v>
      </c>
      <c r="U17" s="130">
        <v>127.99</v>
      </c>
      <c r="W17" s="130">
        <v>1235.67</v>
      </c>
      <c r="X17" s="130">
        <v>3847.24</v>
      </c>
      <c r="Z17" s="130">
        <v>5210.8999999999996</v>
      </c>
    </row>
    <row r="18" spans="2:26" x14ac:dyDescent="0.3">
      <c r="B18" s="22"/>
      <c r="C18" s="46"/>
      <c r="D18" s="38" t="str">
        <f t="shared" si="2"/>
        <v/>
      </c>
      <c r="E18" s="49"/>
      <c r="F18" s="38" t="str">
        <f t="shared" si="2"/>
        <v/>
      </c>
      <c r="G18" s="42" t="e">
        <f t="shared" si="3"/>
        <v>#NAME?</v>
      </c>
      <c r="H18" s="51" t="e">
        <f t="shared" si="0"/>
        <v>#NAME?</v>
      </c>
      <c r="I18" s="42" t="str">
        <f t="shared" si="3"/>
        <v/>
      </c>
      <c r="J18" s="49"/>
      <c r="K18" s="42" t="e">
        <f t="shared" si="1"/>
        <v>#NAME?</v>
      </c>
      <c r="L18" s="75" t="e">
        <f>SUM(Summary!$H18:$J18)</f>
        <v>#NAME?</v>
      </c>
      <c r="N18" s="160" t="s">
        <v>95</v>
      </c>
      <c r="O18" s="164" t="e">
        <f>O17-O16</f>
        <v>#REF!</v>
      </c>
      <c r="P18" s="164" t="e">
        <f>P17-P16</f>
        <v>#NAME?</v>
      </c>
      <c r="Q18" s="173" t="e">
        <f>Q17-Q16</f>
        <v>#NAME?</v>
      </c>
      <c r="R18" s="175" t="e">
        <f>R17-R16</f>
        <v>#NAME?</v>
      </c>
      <c r="T18" s="129" t="s">
        <v>83</v>
      </c>
      <c r="U18" s="130">
        <v>9.9</v>
      </c>
      <c r="W18" s="130">
        <v>173.06</v>
      </c>
      <c r="X18" s="130">
        <v>222.56</v>
      </c>
      <c r="Z18" s="130">
        <v>405.52</v>
      </c>
    </row>
    <row r="19" spans="2:26" x14ac:dyDescent="0.3">
      <c r="B19" s="23" t="s">
        <v>6</v>
      </c>
      <c r="C19" s="47" t="e">
        <f>SUBTOTAL(109,C8:C18)</f>
        <v>#NAME?</v>
      </c>
      <c r="D19" s="41" t="e">
        <f>IF(C19=0,"","hrs")</f>
        <v>#NAME?</v>
      </c>
      <c r="E19" s="50" t="e">
        <f>SUBTOTAL(109,E8:E18)</f>
        <v>#NAME?</v>
      </c>
      <c r="F19" s="41" t="e">
        <f>IF(E19=0,"","hrs")</f>
        <v>#NAME?</v>
      </c>
      <c r="G19" s="44" t="e">
        <f>IF(H19=0,"","$")</f>
        <v>#NAME?</v>
      </c>
      <c r="H19" s="50" t="e">
        <f>SUM(H8:H18)</f>
        <v>#NAME?</v>
      </c>
      <c r="I19" s="44" t="e">
        <f>IF(J19=0,"","$")</f>
        <v>#REF!</v>
      </c>
      <c r="J19" s="50" t="e">
        <f>SUM(J8:J18)</f>
        <v>#REF!</v>
      </c>
      <c r="K19" s="69" t="e">
        <f t="shared" si="1"/>
        <v>#NAME?</v>
      </c>
      <c r="L19" s="77" t="e">
        <f>SUM(L8:L18)</f>
        <v>#NAME?</v>
      </c>
      <c r="T19" s="129" t="s">
        <v>84</v>
      </c>
      <c r="U19" s="130">
        <v>4.8</v>
      </c>
      <c r="W19" s="130">
        <v>0</v>
      </c>
      <c r="X19" s="130">
        <v>2370.14</v>
      </c>
      <c r="Z19" s="130">
        <v>2374.9499999999998</v>
      </c>
    </row>
    <row r="20" spans="2:26" x14ac:dyDescent="0.3">
      <c r="I20" s="72" t="s">
        <v>63</v>
      </c>
      <c r="J20" s="150">
        <f>SalesTaxRate</f>
        <v>7.4999999999999997E-2</v>
      </c>
      <c r="K20" s="70" t="e">
        <f t="shared" si="1"/>
        <v>#NAME?</v>
      </c>
      <c r="L20" s="78" t="e">
        <f>L19*J20</f>
        <v>#NAME?</v>
      </c>
      <c r="T20" s="129" t="s">
        <v>1</v>
      </c>
      <c r="U20" s="130">
        <v>2</v>
      </c>
      <c r="W20" s="130">
        <v>0</v>
      </c>
      <c r="X20" s="130">
        <v>2835</v>
      </c>
      <c r="Z20" s="130">
        <v>2837</v>
      </c>
    </row>
    <row r="21" spans="2:26" x14ac:dyDescent="0.3">
      <c r="J21" s="72" t="s">
        <v>28</v>
      </c>
      <c r="K21" s="135" t="e">
        <f t="shared" si="1"/>
        <v>#NAME?</v>
      </c>
      <c r="L21" s="136" t="e">
        <f>SUM(L19:L20)</f>
        <v>#NAME?</v>
      </c>
      <c r="T21" s="129" t="s">
        <v>85</v>
      </c>
      <c r="U21" s="130">
        <v>957.27</v>
      </c>
      <c r="W21" s="130">
        <v>0</v>
      </c>
      <c r="X21" s="130">
        <v>626099.65</v>
      </c>
      <c r="Z21" s="130">
        <v>627056.92000000004</v>
      </c>
    </row>
    <row r="22" spans="2:26" x14ac:dyDescent="0.3">
      <c r="T22" s="129" t="s">
        <v>86</v>
      </c>
      <c r="U22" s="130">
        <v>1.96</v>
      </c>
      <c r="W22" s="130">
        <v>0</v>
      </c>
      <c r="X22" s="130">
        <v>1951.26</v>
      </c>
      <c r="Z22" s="130">
        <v>1953.21</v>
      </c>
    </row>
    <row r="23" spans="2:26" ht="18" x14ac:dyDescent="0.35">
      <c r="B23" s="20" t="s">
        <v>15</v>
      </c>
      <c r="C23" s="66" t="s">
        <v>65</v>
      </c>
      <c r="D23" s="19"/>
      <c r="E23" s="19"/>
      <c r="F23" s="19"/>
      <c r="G23" s="19"/>
      <c r="H23" s="19"/>
      <c r="I23" s="19"/>
      <c r="J23" s="67"/>
      <c r="K23" s="19"/>
      <c r="L23" s="74" t="s">
        <v>0</v>
      </c>
      <c r="T23" s="129" t="s">
        <v>87</v>
      </c>
      <c r="U23" s="130">
        <v>1.56</v>
      </c>
      <c r="W23" s="130">
        <v>0</v>
      </c>
      <c r="X23" s="130">
        <v>829.71</v>
      </c>
      <c r="Z23" s="130">
        <v>831.27</v>
      </c>
    </row>
    <row r="24" spans="2:26" x14ac:dyDescent="0.3">
      <c r="B24" s="65"/>
      <c r="C24" s="205"/>
      <c r="D24" s="206"/>
      <c r="E24" s="206"/>
      <c r="F24" s="206"/>
      <c r="G24" s="206"/>
      <c r="H24" s="206"/>
      <c r="I24" s="206"/>
      <c r="J24" s="206"/>
      <c r="K24" s="42" t="str">
        <f t="shared" ref="K24:K33" si="4">IF(L24=0,"","$")</f>
        <v/>
      </c>
      <c r="L24" s="144"/>
      <c r="T24" s="129" t="s">
        <v>88</v>
      </c>
      <c r="U24" s="130">
        <v>45618.21</v>
      </c>
      <c r="W24" s="130">
        <v>58.27</v>
      </c>
      <c r="X24" s="130">
        <v>589647.84</v>
      </c>
      <c r="Z24" s="130">
        <v>635324.31999999995</v>
      </c>
    </row>
    <row r="25" spans="2:26" x14ac:dyDescent="0.3">
      <c r="B25" s="65"/>
      <c r="C25" s="203"/>
      <c r="D25" s="204"/>
      <c r="E25" s="204"/>
      <c r="F25" s="204"/>
      <c r="G25" s="204"/>
      <c r="H25" s="204"/>
      <c r="I25" s="204"/>
      <c r="J25" s="204"/>
      <c r="K25" s="43" t="str">
        <f t="shared" si="4"/>
        <v/>
      </c>
      <c r="L25" s="145"/>
      <c r="U25" s="34"/>
      <c r="V25" s="34"/>
      <c r="X25" s="34"/>
    </row>
    <row r="26" spans="2:26" x14ac:dyDescent="0.3">
      <c r="B26" s="65"/>
      <c r="C26" s="205"/>
      <c r="D26" s="206"/>
      <c r="E26" s="206"/>
      <c r="F26" s="206"/>
      <c r="G26" s="206"/>
      <c r="H26" s="206"/>
      <c r="I26" s="206"/>
      <c r="J26" s="206"/>
      <c r="K26" s="42" t="str">
        <f t="shared" si="4"/>
        <v/>
      </c>
      <c r="L26" s="144"/>
      <c r="N26" s="160"/>
    </row>
    <row r="27" spans="2:26" x14ac:dyDescent="0.3">
      <c r="B27" s="65"/>
      <c r="C27" s="203"/>
      <c r="D27" s="204"/>
      <c r="E27" s="204"/>
      <c r="F27" s="204"/>
      <c r="G27" s="204"/>
      <c r="H27" s="204"/>
      <c r="I27" s="204"/>
      <c r="J27" s="204"/>
      <c r="K27" s="43" t="str">
        <f t="shared" si="4"/>
        <v/>
      </c>
      <c r="L27" s="145"/>
      <c r="N27" s="160"/>
    </row>
    <row r="28" spans="2:26" x14ac:dyDescent="0.3">
      <c r="B28" s="65"/>
      <c r="C28" s="205"/>
      <c r="D28" s="206"/>
      <c r="E28" s="206"/>
      <c r="F28" s="206"/>
      <c r="G28" s="206"/>
      <c r="H28" s="206"/>
      <c r="I28" s="206"/>
      <c r="J28" s="206"/>
      <c r="K28" s="42" t="str">
        <f t="shared" si="4"/>
        <v/>
      </c>
      <c r="L28" s="144"/>
      <c r="N28" s="160"/>
      <c r="T28" s="137"/>
    </row>
    <row r="29" spans="2:26" x14ac:dyDescent="0.3">
      <c r="B29" s="65"/>
      <c r="C29" s="203"/>
      <c r="D29" s="204"/>
      <c r="E29" s="204"/>
      <c r="F29" s="204"/>
      <c r="G29" s="204"/>
      <c r="H29" s="204"/>
      <c r="I29" s="204"/>
      <c r="J29" s="204"/>
      <c r="K29" s="43" t="str">
        <f t="shared" si="4"/>
        <v/>
      </c>
      <c r="L29" s="145"/>
      <c r="Y29" s="167"/>
    </row>
    <row r="30" spans="2:26" x14ac:dyDescent="0.3">
      <c r="B30" s="23" t="s">
        <v>6</v>
      </c>
      <c r="C30" s="80"/>
      <c r="D30" s="81"/>
      <c r="E30" s="81"/>
      <c r="F30" s="81"/>
      <c r="G30" s="81"/>
      <c r="H30" s="82"/>
      <c r="I30" s="82"/>
      <c r="J30" s="82"/>
      <c r="K30" s="83" t="str">
        <f t="shared" si="4"/>
        <v/>
      </c>
      <c r="L30" s="77">
        <f>SUM(L24:L29)</f>
        <v>0</v>
      </c>
      <c r="Y30" s="167"/>
    </row>
    <row r="31" spans="2:26" x14ac:dyDescent="0.3">
      <c r="I31" s="72" t="s">
        <v>63</v>
      </c>
      <c r="J31" s="150">
        <f>SalesTaxRate</f>
        <v>7.4999999999999997E-2</v>
      </c>
      <c r="K31" s="70" t="str">
        <f t="shared" si="4"/>
        <v/>
      </c>
      <c r="L31" s="78">
        <f>L30*J31</f>
        <v>0</v>
      </c>
      <c r="N31" s="160"/>
    </row>
    <row r="32" spans="2:26" x14ac:dyDescent="0.3">
      <c r="I32" s="73" t="s">
        <v>64</v>
      </c>
      <c r="J32" s="186">
        <f>SubcontractMarkup</f>
        <v>0.1</v>
      </c>
      <c r="K32" s="84" t="str">
        <f t="shared" si="4"/>
        <v/>
      </c>
      <c r="L32" s="146">
        <f>L30*J32</f>
        <v>0</v>
      </c>
      <c r="N32" s="160"/>
    </row>
    <row r="33" spans="2:14" x14ac:dyDescent="0.3">
      <c r="I33" s="68"/>
      <c r="J33" s="68" t="s">
        <v>28</v>
      </c>
      <c r="K33" s="71" t="str">
        <f t="shared" si="4"/>
        <v/>
      </c>
      <c r="L33" s="79">
        <f>SUM(L30:L31)</f>
        <v>0</v>
      </c>
      <c r="N33" s="160"/>
    </row>
    <row r="34" spans="2:14" x14ac:dyDescent="0.3">
      <c r="J34" s="68"/>
    </row>
    <row r="35" spans="2:14" ht="18" x14ac:dyDescent="0.35">
      <c r="B35" s="20" t="s">
        <v>14</v>
      </c>
      <c r="C35" s="21"/>
      <c r="D35" s="19"/>
      <c r="E35" s="19"/>
      <c r="F35" s="19"/>
      <c r="G35" s="19"/>
      <c r="H35" s="19"/>
      <c r="I35" s="19"/>
      <c r="J35" s="19"/>
      <c r="K35" s="19"/>
      <c r="L35" s="74" t="s">
        <v>0</v>
      </c>
    </row>
    <row r="36" spans="2:14" x14ac:dyDescent="0.3">
      <c r="B36" s="22" t="s">
        <v>16</v>
      </c>
      <c r="C36" s="156"/>
      <c r="D36" s="157"/>
      <c r="E36" s="157"/>
      <c r="F36" s="157"/>
      <c r="G36" s="157"/>
      <c r="H36" s="157"/>
      <c r="I36" s="157"/>
      <c r="J36" s="157"/>
      <c r="K36" s="42" t="str">
        <f t="shared" ref="K36:K42" si="5">IF(L36=0,"","$")</f>
        <v/>
      </c>
      <c r="L36" s="75">
        <f>RentalsTable[[#Totals],[Cost]]</f>
        <v>0</v>
      </c>
    </row>
    <row r="37" spans="2:14" x14ac:dyDescent="0.3">
      <c r="B37" s="22" t="s">
        <v>17</v>
      </c>
      <c r="C37" s="154"/>
      <c r="D37" s="155"/>
      <c r="E37" s="155"/>
      <c r="F37" s="155"/>
      <c r="G37" s="155"/>
      <c r="H37" s="155"/>
      <c r="I37" s="155"/>
      <c r="J37" s="155"/>
      <c r="K37" s="43" t="e">
        <f t="shared" si="5"/>
        <v>#NAME?</v>
      </c>
      <c r="L37" s="76" t="e">
        <f>ManagmentTable[[#Totals],[Cost]]</f>
        <v>#NAME?</v>
      </c>
    </row>
    <row r="38" spans="2:14" x14ac:dyDescent="0.3">
      <c r="B38" s="22" t="s">
        <v>58</v>
      </c>
      <c r="C38" s="156"/>
      <c r="D38" s="157"/>
      <c r="E38" s="157"/>
      <c r="F38" s="157"/>
      <c r="G38" s="157"/>
      <c r="H38" s="157"/>
      <c r="I38" s="157"/>
      <c r="J38" s="157"/>
      <c r="K38" s="42" t="e">
        <f t="shared" si="5"/>
        <v>#NAME?</v>
      </c>
      <c r="L38" s="75" t="e">
        <f>FieldSupportTable[[#Totals],[Cost]]</f>
        <v>#NAME?</v>
      </c>
    </row>
    <row r="39" spans="2:14" x14ac:dyDescent="0.3">
      <c r="B39" s="22" t="s">
        <v>18</v>
      </c>
      <c r="C39" s="154"/>
      <c r="D39" s="155"/>
      <c r="E39" s="155"/>
      <c r="F39" s="155"/>
      <c r="G39" s="155"/>
      <c r="H39" s="155"/>
      <c r="I39" s="155"/>
      <c r="J39" s="155"/>
      <c r="K39" s="43" t="str">
        <f t="shared" si="5"/>
        <v/>
      </c>
      <c r="L39" s="76">
        <f>MiscTable[[#Totals],[Cost]]</f>
        <v>0</v>
      </c>
    </row>
    <row r="40" spans="2:14" x14ac:dyDescent="0.3">
      <c r="B40" s="22"/>
      <c r="C40" s="156"/>
      <c r="D40" s="157"/>
      <c r="E40" s="157"/>
      <c r="F40" s="157"/>
      <c r="G40" s="157"/>
      <c r="H40" s="157"/>
      <c r="I40" s="157"/>
      <c r="J40" s="157"/>
      <c r="K40" s="42" t="str">
        <f t="shared" si="5"/>
        <v/>
      </c>
      <c r="L40" s="75">
        <f>MiscTable[[#Totals],[Cost]]</f>
        <v>0</v>
      </c>
    </row>
    <row r="41" spans="2:14" x14ac:dyDescent="0.3">
      <c r="B41" s="22"/>
      <c r="C41" s="154"/>
      <c r="D41" s="155"/>
      <c r="E41" s="155"/>
      <c r="F41" s="155"/>
      <c r="G41" s="155"/>
      <c r="H41" s="155"/>
      <c r="I41" s="155"/>
      <c r="J41" s="155"/>
      <c r="K41" s="43" t="str">
        <f t="shared" si="5"/>
        <v/>
      </c>
      <c r="L41" s="76">
        <f>SUM(Summary!$H41:$J41)</f>
        <v>0</v>
      </c>
    </row>
    <row r="42" spans="2:14" x14ac:dyDescent="0.3">
      <c r="B42" s="23" t="s">
        <v>6</v>
      </c>
      <c r="C42" s="27"/>
      <c r="D42" s="57"/>
      <c r="E42" s="57"/>
      <c r="F42" s="57"/>
      <c r="G42" s="57"/>
      <c r="H42" s="58"/>
      <c r="I42" s="58"/>
      <c r="J42" s="58"/>
      <c r="K42" s="44" t="e">
        <f t="shared" si="5"/>
        <v>#NAME?</v>
      </c>
      <c r="L42" s="143" t="e">
        <f>SUM(L36:L41)</f>
        <v>#NAME?</v>
      </c>
    </row>
    <row r="44" spans="2:14" x14ac:dyDescent="0.3">
      <c r="J44" s="126" t="s">
        <v>71</v>
      </c>
      <c r="K44" s="187">
        <f>ProfitMargin</f>
        <v>0.1</v>
      </c>
      <c r="L44" s="152" t="e">
        <f>(L21+L33+L42)*K44</f>
        <v>#NAME?</v>
      </c>
    </row>
    <row r="45" spans="2:14" x14ac:dyDescent="0.3">
      <c r="J45" s="126"/>
      <c r="K45" s="140"/>
      <c r="L45" s="151"/>
    </row>
    <row r="46" spans="2:14" x14ac:dyDescent="0.3">
      <c r="B46" s="61" t="s">
        <v>62</v>
      </c>
      <c r="C46" s="62"/>
      <c r="D46" s="59"/>
      <c r="E46" s="59"/>
      <c r="F46" s="59"/>
      <c r="G46" s="59"/>
      <c r="H46" s="59"/>
      <c r="I46" s="59"/>
      <c r="J46" s="59"/>
      <c r="K46" s="60" t="e">
        <f>IF(L46=0,"","$")</f>
        <v>#NAME?</v>
      </c>
      <c r="L46" s="153" t="e">
        <f>L21+L33+L42+L44</f>
        <v>#NAME?</v>
      </c>
    </row>
  </sheetData>
  <sheetProtection selectLockedCells="1"/>
  <mergeCells count="6">
    <mergeCell ref="C29:J29"/>
    <mergeCell ref="C24:J24"/>
    <mergeCell ref="C25:J25"/>
    <mergeCell ref="C26:J26"/>
    <mergeCell ref="C27:J27"/>
    <mergeCell ref="C28:J28"/>
  </mergeCells>
  <dataValidations count="1">
    <dataValidation type="list" allowBlank="1" showInputMessage="1" showErrorMessage="1" sqref="B24:B29">
      <formula1>Subcontracts</formula1>
    </dataValidation>
  </dataValidations>
  <pageMargins left="0.7" right="0.7" top="0.75" bottom="0.75" header="0.3" footer="0.3"/>
  <pageSetup scale="80" orientation="portrait" r:id="rId1"/>
  <ignoredErrors>
    <ignoredError sqref="D19 I19 K19 E18:E19 H19 J19 H8:H9 E8:E9 J18 D10 D15 H10:H15 J8:J9 E10:E16 H16:H18 J10:J1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J33"/>
  <sheetViews>
    <sheetView showGridLines="0" workbookViewId="0">
      <selection activeCell="D14" sqref="D14"/>
    </sheetView>
  </sheetViews>
  <sheetFormatPr defaultRowHeight="14.4" x14ac:dyDescent="0.3"/>
  <cols>
    <col min="1" max="1" width="9.109375" customWidth="1"/>
    <col min="2" max="2" width="40.6640625" customWidth="1"/>
    <col min="3" max="3" width="9.6640625" style="13" customWidth="1"/>
    <col min="4" max="4" width="8.6640625" style="16" customWidth="1"/>
    <col min="5" max="5" width="8.6640625" style="13" customWidth="1"/>
    <col min="6" max="6" width="17" customWidth="1"/>
    <col min="7" max="7" width="5.6640625" customWidth="1"/>
    <col min="8" max="8" width="10.6640625" customWidth="1"/>
    <col min="9" max="9" width="6.6640625" style="93" customWidth="1"/>
    <col min="10" max="10" width="8.6640625" customWidth="1"/>
  </cols>
  <sheetData>
    <row r="1" spans="2:10" ht="6" customHeight="1" x14ac:dyDescent="0.3">
      <c r="J1" s="1"/>
    </row>
    <row r="2" spans="2:10" ht="39" customHeight="1" thickBot="1" x14ac:dyDescent="0.45">
      <c r="B2" s="2" t="s">
        <v>109</v>
      </c>
      <c r="C2" s="56"/>
      <c r="D2" s="36"/>
      <c r="E2" s="56"/>
      <c r="F2" s="2"/>
      <c r="G2" s="2"/>
      <c r="H2" s="2"/>
      <c r="I2" s="2"/>
      <c r="J2" s="15"/>
    </row>
    <row r="3" spans="2:10" ht="9" customHeight="1" thickTop="1" x14ac:dyDescent="0.3">
      <c r="I3"/>
      <c r="J3" s="1"/>
    </row>
    <row r="4" spans="2:10" x14ac:dyDescent="0.3">
      <c r="B4" s="3" t="str">
        <f>IF(ProjectName="","",ProjectName)</f>
        <v/>
      </c>
      <c r="H4" s="5" t="s">
        <v>10</v>
      </c>
      <c r="I4" s="92" t="str">
        <f>IF(EstimatorName="","",EstimatorName)</f>
        <v/>
      </c>
      <c r="J4" s="1"/>
    </row>
    <row r="5" spans="2:10" ht="15" customHeight="1" x14ac:dyDescent="0.3">
      <c r="B5" s="7" t="str">
        <f>IF(ProjectAddress="","",ProjectAddress)</f>
        <v/>
      </c>
      <c r="H5" s="5" t="s">
        <v>11</v>
      </c>
      <c r="I5" s="92" t="str">
        <f>IF(EstimateNo="","",EstimateNo)</f>
        <v/>
      </c>
      <c r="J5" s="1"/>
    </row>
    <row r="6" spans="2:10" ht="15" customHeight="1" x14ac:dyDescent="0.3">
      <c r="B6" s="7"/>
      <c r="H6" s="5"/>
      <c r="I6" s="92"/>
      <c r="J6" s="1"/>
    </row>
    <row r="7" spans="2:10" ht="23.4" x14ac:dyDescent="0.45">
      <c r="B7" s="6" t="s">
        <v>108</v>
      </c>
    </row>
    <row r="8" spans="2:10" ht="18" x14ac:dyDescent="0.35">
      <c r="B8" s="10" t="s">
        <v>31</v>
      </c>
      <c r="C8" s="114" t="s">
        <v>114</v>
      </c>
      <c r="D8" s="99" t="s">
        <v>37</v>
      </c>
      <c r="E8" s="99"/>
      <c r="F8" s="29" t="s">
        <v>138</v>
      </c>
      <c r="H8" s="102" t="s">
        <v>68</v>
      </c>
      <c r="I8" s="103"/>
    </row>
    <row r="9" spans="2:10" x14ac:dyDescent="0.3">
      <c r="B9" s="95" t="str">
        <f>IF(Lists!A2="","",Lists!A2)</f>
        <v/>
      </c>
      <c r="C9" s="199">
        <f>SUMIFS('P-EST-Pipe'!H:H,P_PipeName,Pipe[[#This Row],[Column1]])</f>
        <v>0</v>
      </c>
      <c r="D9" s="115">
        <f>SUMIFS('P-EST-Pipe'!J:J,P_PipeName,Pipe[[#This Row],[Column1]])</f>
        <v>0</v>
      </c>
      <c r="E9" s="85" t="str">
        <f t="shared" ref="E9:E32" si="0">IF(D9=0,"","hrs")</f>
        <v/>
      </c>
      <c r="F9" s="119">
        <f>SUMIFS('P-EST-Pipe'!K:K,P_PipeName,Pipe[[#This Row],[Column1]])</f>
        <v>0</v>
      </c>
      <c r="G9" s="110"/>
      <c r="H9" s="104" t="s">
        <v>21</v>
      </c>
      <c r="I9" s="184">
        <v>1</v>
      </c>
    </row>
    <row r="10" spans="2:10" x14ac:dyDescent="0.3">
      <c r="B10" s="95" t="str">
        <f>IF(Lists!A3="","",Lists!A3)</f>
        <v/>
      </c>
      <c r="C10" s="199">
        <f>SUMIFS('P-EST-Pipe'!H:H,P_PipeName,Pipe[[#This Row],[Column1]])</f>
        <v>0</v>
      </c>
      <c r="D10" s="115">
        <f>SUMIFS('P-EST-Pipe'!J:J,P_PipeName,Pipe[[#This Row],[Column1]])</f>
        <v>0</v>
      </c>
      <c r="E10" s="85" t="str">
        <f t="shared" si="0"/>
        <v/>
      </c>
      <c r="F10" s="119">
        <f>SUMIFS('P-EST-Pipe'!K:K,P_PipeName,Pipe[[#This Row],[Column1]])</f>
        <v>0</v>
      </c>
      <c r="G10" s="110"/>
      <c r="H10" s="105" t="s">
        <v>29</v>
      </c>
      <c r="I10" s="185">
        <v>1</v>
      </c>
    </row>
    <row r="11" spans="2:10" x14ac:dyDescent="0.3">
      <c r="B11" s="95" t="str">
        <f>IF(Lists!A4="","",Lists!A4)</f>
        <v/>
      </c>
      <c r="C11" s="199">
        <f>SUMIFS('P-EST-Pipe'!H:H,P_PipeName,Pipe[[#This Row],[Column1]])</f>
        <v>0</v>
      </c>
      <c r="D11" s="115">
        <f>SUMIFS('P-EST-Pipe'!J:J,P_PipeName,Pipe[[#This Row],[Column1]])</f>
        <v>0</v>
      </c>
      <c r="E11" s="85" t="str">
        <f t="shared" si="0"/>
        <v/>
      </c>
      <c r="F11" s="119">
        <f>SUMIFS('P-EST-Pipe'!K:K,P_PipeName,Pipe[[#This Row],[Column1]])</f>
        <v>0</v>
      </c>
      <c r="G11" s="110"/>
      <c r="H11" s="12"/>
      <c r="I11"/>
    </row>
    <row r="12" spans="2:10" x14ac:dyDescent="0.3">
      <c r="B12" s="95" t="str">
        <f>IF(Lists!A5="","",Lists!A5)</f>
        <v/>
      </c>
      <c r="C12" s="199">
        <f>SUMIFS('P-EST-Pipe'!H:H,P_PipeName,Pipe[[#This Row],[Column1]])</f>
        <v>0</v>
      </c>
      <c r="D12" s="115">
        <f>SUMIFS('P-EST-Pipe'!J:J,P_PipeName,Pipe[[#This Row],[Column1]])</f>
        <v>0</v>
      </c>
      <c r="E12" s="85" t="str">
        <f t="shared" si="0"/>
        <v/>
      </c>
      <c r="F12" s="119">
        <f>SUMIFS('P-EST-Pipe'!K:K,P_PipeName,Pipe[[#This Row],[Column1]])</f>
        <v>0</v>
      </c>
      <c r="G12" s="110"/>
      <c r="H12" s="12"/>
      <c r="I12"/>
      <c r="J12" s="93"/>
    </row>
    <row r="13" spans="2:10" x14ac:dyDescent="0.3">
      <c r="B13" s="95" t="str">
        <f>IF(Lists!A6="","",Lists!A6)</f>
        <v/>
      </c>
      <c r="C13" s="199">
        <f>SUMIFS('P-EST-Pipe'!H:H,P_PipeName,Pipe[[#This Row],[Column1]])</f>
        <v>0</v>
      </c>
      <c r="D13" s="115">
        <f>SUMIFS('P-EST-Pipe'!J:J,P_PipeName,Pipe[[#This Row],[Column1]])</f>
        <v>0</v>
      </c>
      <c r="E13" s="85" t="str">
        <f t="shared" si="0"/>
        <v/>
      </c>
      <c r="F13" s="119">
        <f>SUMIFS('P-EST-Pipe'!K:K,P_PipeName,Pipe[[#This Row],[Column1]])</f>
        <v>0</v>
      </c>
      <c r="G13" s="110"/>
      <c r="H13" s="12"/>
      <c r="I13"/>
      <c r="J13" s="93"/>
    </row>
    <row r="14" spans="2:10" x14ac:dyDescent="0.3">
      <c r="B14" s="95" t="str">
        <f>IF(Lists!A7="","",Lists!A7)</f>
        <v/>
      </c>
      <c r="C14" s="199">
        <f>SUMIFS('P-EST-Pipe'!H:H,P_PipeName,Pipe[[#This Row],[Column1]])</f>
        <v>0</v>
      </c>
      <c r="D14" s="115">
        <f>SUMIFS('P-EST-Pipe'!J:J,P_PipeName,Pipe[[#This Row],[Column1]])</f>
        <v>0</v>
      </c>
      <c r="E14" s="85" t="str">
        <f t="shared" si="0"/>
        <v/>
      </c>
      <c r="F14" s="119">
        <f>SUMIFS('P-EST-Pipe'!K:K,P_PipeName,Pipe[[#This Row],[Column1]])</f>
        <v>0</v>
      </c>
      <c r="G14" s="110"/>
      <c r="H14" s="12"/>
      <c r="I14"/>
      <c r="J14" s="93"/>
    </row>
    <row r="15" spans="2:10" x14ac:dyDescent="0.3">
      <c r="B15" s="95" t="str">
        <f>IF(Lists!A8="","",Lists!A8)</f>
        <v/>
      </c>
      <c r="C15" s="199">
        <f>SUMIFS('P-EST-Pipe'!H:H,P_PipeName,Pipe[[#This Row],[Column1]])</f>
        <v>0</v>
      </c>
      <c r="D15" s="115">
        <f>SUMIFS('P-EST-Pipe'!J:J,P_PipeName,Pipe[[#This Row],[Column1]])</f>
        <v>0</v>
      </c>
      <c r="E15" s="85" t="str">
        <f t="shared" si="0"/>
        <v/>
      </c>
      <c r="F15" s="119">
        <f>SUMIFS('P-EST-Pipe'!K:K,P_PipeName,Pipe[[#This Row],[Column1]])</f>
        <v>0</v>
      </c>
      <c r="G15" s="110"/>
      <c r="H15" s="12"/>
      <c r="I15"/>
      <c r="J15" s="93"/>
    </row>
    <row r="16" spans="2:10" x14ac:dyDescent="0.3">
      <c r="B16" s="95" t="str">
        <f>IF(Lists!A9="","",Lists!A9)</f>
        <v/>
      </c>
      <c r="C16" s="199">
        <f>SUMIFS('P-EST-Pipe'!H:H,P_PipeName,Pipe[[#This Row],[Column1]])</f>
        <v>0</v>
      </c>
      <c r="D16" s="115">
        <f>SUMIFS('P-EST-Pipe'!J:J,P_PipeName,Pipe[[#This Row],[Column1]])</f>
        <v>0</v>
      </c>
      <c r="E16" s="85" t="str">
        <f t="shared" si="0"/>
        <v/>
      </c>
      <c r="F16" s="119">
        <f>SUMIFS('P-EST-Pipe'!K:K,P_PipeName,Pipe[[#This Row],[Column1]])</f>
        <v>0</v>
      </c>
      <c r="G16" s="110"/>
      <c r="H16" s="12"/>
      <c r="I16"/>
      <c r="J16" s="93"/>
    </row>
    <row r="17" spans="2:10" x14ac:dyDescent="0.3">
      <c r="B17" s="95" t="str">
        <f>IF(Lists!A10="","",Lists!A10)</f>
        <v/>
      </c>
      <c r="C17" s="199">
        <f>SUMIFS('P-EST-Pipe'!H:H,P_PipeName,Pipe[[#This Row],[Column1]])</f>
        <v>0</v>
      </c>
      <c r="D17" s="115">
        <f>SUMIFS('P-EST-Pipe'!J:J,P_PipeName,Pipe[[#This Row],[Column1]])</f>
        <v>0</v>
      </c>
      <c r="E17" s="85" t="str">
        <f t="shared" si="0"/>
        <v/>
      </c>
      <c r="F17" s="119">
        <f>SUMIFS('P-EST-Pipe'!K:K,P_PipeName,Pipe[[#This Row],[Column1]])</f>
        <v>0</v>
      </c>
      <c r="G17" s="110"/>
      <c r="H17" s="12"/>
      <c r="I17"/>
      <c r="J17" s="93"/>
    </row>
    <row r="18" spans="2:10" x14ac:dyDescent="0.3">
      <c r="B18" s="95" t="str">
        <f>IF(Lists!A11="","",Lists!A11)</f>
        <v/>
      </c>
      <c r="C18" s="199">
        <f>SUMIFS('P-EST-Pipe'!H:H,P_PipeName,Pipe[[#This Row],[Column1]])</f>
        <v>0</v>
      </c>
      <c r="D18" s="115">
        <f>SUMIFS('P-EST-Pipe'!J:J,P_PipeName,Pipe[[#This Row],[Column1]])</f>
        <v>0</v>
      </c>
      <c r="E18" s="85" t="str">
        <f t="shared" si="0"/>
        <v/>
      </c>
      <c r="F18" s="119">
        <f>SUMIFS('P-EST-Pipe'!K:K,P_PipeName,Pipe[[#This Row],[Column1]])</f>
        <v>0</v>
      </c>
      <c r="G18" s="110"/>
      <c r="H18" s="12"/>
      <c r="I18"/>
      <c r="J18" s="93"/>
    </row>
    <row r="19" spans="2:10" x14ac:dyDescent="0.3">
      <c r="B19" s="95" t="str">
        <f>IF(Lists!A12="","",Lists!A12)</f>
        <v/>
      </c>
      <c r="C19" s="199">
        <f>SUMIFS('P-EST-Pipe'!H:H,P_PipeName,Pipe[[#This Row],[Column1]])</f>
        <v>0</v>
      </c>
      <c r="D19" s="115">
        <f>SUMIFS('P-EST-Pipe'!J:J,P_PipeName,Pipe[[#This Row],[Column1]])</f>
        <v>0</v>
      </c>
      <c r="E19" s="85" t="str">
        <f t="shared" si="0"/>
        <v/>
      </c>
      <c r="F19" s="119">
        <f>SUMIFS('P-EST-Pipe'!K:K,P_PipeName,Pipe[[#This Row],[Column1]])</f>
        <v>0</v>
      </c>
      <c r="G19" s="110"/>
      <c r="H19" s="12"/>
      <c r="I19"/>
      <c r="J19" s="93"/>
    </row>
    <row r="20" spans="2:10" x14ac:dyDescent="0.3">
      <c r="B20" s="95" t="str">
        <f>IF(Lists!A13="","",Lists!A13)</f>
        <v/>
      </c>
      <c r="C20" s="199">
        <f>SUMIFS('P-EST-Pipe'!H:H,P_PipeName,Pipe[[#This Row],[Column1]])</f>
        <v>0</v>
      </c>
      <c r="D20" s="115">
        <f>SUMIFS('P-EST-Pipe'!J:J,P_PipeName,Pipe[[#This Row],[Column1]])</f>
        <v>0</v>
      </c>
      <c r="E20" s="85" t="str">
        <f t="shared" si="0"/>
        <v/>
      </c>
      <c r="F20" s="119">
        <f>SUMIFS('P-EST-Pipe'!K:K,P_PipeName,Pipe[[#This Row],[Column1]])</f>
        <v>0</v>
      </c>
      <c r="G20" s="110"/>
      <c r="H20" s="12"/>
      <c r="I20"/>
      <c r="J20" s="93"/>
    </row>
    <row r="21" spans="2:10" x14ac:dyDescent="0.3">
      <c r="B21" s="95" t="str">
        <f>IF(Lists!A14="","",Lists!A14)</f>
        <v/>
      </c>
      <c r="C21" s="199">
        <f>SUMIFS('P-EST-Pipe'!H:H,P_PipeName,Pipe[[#This Row],[Column1]])</f>
        <v>0</v>
      </c>
      <c r="D21" s="115">
        <f>SUMIFS('P-EST-Pipe'!J:J,P_PipeName,Pipe[[#This Row],[Column1]])</f>
        <v>0</v>
      </c>
      <c r="E21" s="85" t="str">
        <f t="shared" si="0"/>
        <v/>
      </c>
      <c r="F21" s="119">
        <f>SUMIFS('P-EST-Pipe'!K:K,P_PipeName,Pipe[[#This Row],[Column1]])</f>
        <v>0</v>
      </c>
      <c r="G21" s="110"/>
      <c r="H21" s="12"/>
      <c r="I21"/>
      <c r="J21" s="93"/>
    </row>
    <row r="22" spans="2:10" x14ac:dyDescent="0.3">
      <c r="B22" s="95" t="str">
        <f>IF(Lists!A15="","",Lists!A15)</f>
        <v/>
      </c>
      <c r="C22" s="199">
        <f>SUMIFS('P-EST-Pipe'!H:H,P_PipeName,Pipe[[#This Row],[Column1]])</f>
        <v>0</v>
      </c>
      <c r="D22" s="115">
        <f>SUMIFS('P-EST-Pipe'!J:J,P_PipeName,Pipe[[#This Row],[Column1]])</f>
        <v>0</v>
      </c>
      <c r="E22" s="85" t="str">
        <f t="shared" si="0"/>
        <v/>
      </c>
      <c r="F22" s="119">
        <f>SUMIFS('P-EST-Pipe'!K:K,P_PipeName,Pipe[[#This Row],[Column1]])</f>
        <v>0</v>
      </c>
      <c r="G22" s="110"/>
      <c r="H22" s="12"/>
      <c r="I22"/>
      <c r="J22" s="93"/>
    </row>
    <row r="23" spans="2:10" x14ac:dyDescent="0.3">
      <c r="B23" s="95" t="str">
        <f>IF(Lists!A16="","",Lists!A16)</f>
        <v/>
      </c>
      <c r="C23" s="199">
        <f>SUMIFS('P-EST-Pipe'!H:H,P_PipeName,Pipe[[#This Row],[Column1]])</f>
        <v>0</v>
      </c>
      <c r="D23" s="115">
        <f>SUMIFS('P-EST-Pipe'!J:J,P_PipeName,Pipe[[#This Row],[Column1]])</f>
        <v>0</v>
      </c>
      <c r="E23" s="85" t="str">
        <f t="shared" si="0"/>
        <v/>
      </c>
      <c r="F23" s="119">
        <f>SUMIFS('P-EST-Pipe'!K:K,P_PipeName,Pipe[[#This Row],[Column1]])</f>
        <v>0</v>
      </c>
      <c r="G23" s="110"/>
      <c r="H23" s="12"/>
      <c r="I23"/>
      <c r="J23" s="93"/>
    </row>
    <row r="24" spans="2:10" x14ac:dyDescent="0.3">
      <c r="B24" s="95" t="str">
        <f>IF(Lists!A17="","",Lists!A17)</f>
        <v/>
      </c>
      <c r="C24" s="199">
        <f>SUMIFS('P-EST-Pipe'!H:H,P_PipeName,Pipe[[#This Row],[Column1]])</f>
        <v>0</v>
      </c>
      <c r="D24" s="115">
        <f>SUMIFS('P-EST-Pipe'!J:J,P_PipeName,Pipe[[#This Row],[Column1]])</f>
        <v>0</v>
      </c>
      <c r="E24" s="85" t="str">
        <f t="shared" si="0"/>
        <v/>
      </c>
      <c r="F24" s="119">
        <f>SUMIFS('P-EST-Pipe'!K:K,P_PipeName,Pipe[[#This Row],[Column1]])</f>
        <v>0</v>
      </c>
      <c r="G24" s="110"/>
      <c r="H24" s="12"/>
      <c r="I24"/>
      <c r="J24" s="93"/>
    </row>
    <row r="25" spans="2:10" x14ac:dyDescent="0.3">
      <c r="B25" s="95" t="str">
        <f>IF(Lists!A18="","",Lists!A18)</f>
        <v/>
      </c>
      <c r="C25" s="199">
        <f>SUMIFS('P-EST-Pipe'!H:H,P_PipeName,Pipe[[#This Row],[Column1]])</f>
        <v>0</v>
      </c>
      <c r="D25" s="115">
        <f>SUMIFS('P-EST-Pipe'!J:J,P_PipeName,Pipe[[#This Row],[Column1]])</f>
        <v>0</v>
      </c>
      <c r="E25" s="85" t="str">
        <f t="shared" si="0"/>
        <v/>
      </c>
      <c r="F25" s="119">
        <f>SUMIFS('P-EST-Pipe'!K:K,P_PipeName,Pipe[[#This Row],[Column1]])</f>
        <v>0</v>
      </c>
      <c r="G25" s="110"/>
      <c r="H25" s="12"/>
      <c r="I25"/>
      <c r="J25" s="93"/>
    </row>
    <row r="26" spans="2:10" x14ac:dyDescent="0.3">
      <c r="B26" s="95" t="str">
        <f>IF(Lists!A19="","",Lists!A19)</f>
        <v/>
      </c>
      <c r="C26" s="199">
        <f>SUMIFS('P-EST-Pipe'!H:H,P_PipeName,Pipe[[#This Row],[Column1]])</f>
        <v>0</v>
      </c>
      <c r="D26" s="115">
        <f>SUMIFS('P-EST-Pipe'!J:J,P_PipeName,Pipe[[#This Row],[Column1]])</f>
        <v>0</v>
      </c>
      <c r="E26" s="85" t="str">
        <f t="shared" si="0"/>
        <v/>
      </c>
      <c r="F26" s="119">
        <f>SUMIFS('P-EST-Pipe'!K:K,P_PipeName,Pipe[[#This Row],[Column1]])</f>
        <v>0</v>
      </c>
      <c r="G26" s="110"/>
      <c r="H26" s="12"/>
      <c r="I26"/>
      <c r="J26" s="93"/>
    </row>
    <row r="27" spans="2:10" x14ac:dyDescent="0.3">
      <c r="B27" s="95" t="str">
        <f>IF(Lists!A20="","",Lists!A20)</f>
        <v/>
      </c>
      <c r="C27" s="199">
        <f>SUMIFS('P-EST-Pipe'!H:H,P_PipeName,Pipe[[#This Row],[Column1]])</f>
        <v>0</v>
      </c>
      <c r="D27" s="115">
        <f>SUMIFS('P-EST-Pipe'!J:J,P_PipeName,Pipe[[#This Row],[Column1]])</f>
        <v>0</v>
      </c>
      <c r="E27" s="85" t="str">
        <f t="shared" si="0"/>
        <v/>
      </c>
      <c r="F27" s="119">
        <f>SUMIFS('P-EST-Pipe'!K:K,P_PipeName,Pipe[[#This Row],[Column1]])</f>
        <v>0</v>
      </c>
      <c r="G27" s="110"/>
      <c r="H27" s="12"/>
      <c r="I27"/>
      <c r="J27" s="93"/>
    </row>
    <row r="28" spans="2:10" x14ac:dyDescent="0.3">
      <c r="B28" s="95" t="str">
        <f>IF(Lists!A21="","",Lists!A21)</f>
        <v/>
      </c>
      <c r="C28" s="199">
        <f>SUMIFS('P-EST-Pipe'!H:H,P_PipeName,Pipe[[#This Row],[Column1]])</f>
        <v>0</v>
      </c>
      <c r="D28" s="115">
        <f>SUMIFS('P-EST-Pipe'!J:J,P_PipeName,Pipe[[#This Row],[Column1]])</f>
        <v>0</v>
      </c>
      <c r="E28" s="85" t="str">
        <f t="shared" si="0"/>
        <v/>
      </c>
      <c r="F28" s="119">
        <f>SUMIFS('P-EST-Pipe'!K:K,P_PipeName,Pipe[[#This Row],[Column1]])</f>
        <v>0</v>
      </c>
      <c r="G28" s="110"/>
      <c r="H28" s="12"/>
      <c r="I28"/>
      <c r="J28" s="93"/>
    </row>
    <row r="29" spans="2:10" x14ac:dyDescent="0.3">
      <c r="B29" s="95" t="str">
        <f>IF(Lists!A22="","",Lists!A22)</f>
        <v/>
      </c>
      <c r="C29" s="199">
        <f>SUMIFS('P-EST-Pipe'!H:H,P_PipeName,Pipe[[#This Row],[Column1]])</f>
        <v>0</v>
      </c>
      <c r="D29" s="115">
        <f>SUMIFS('P-EST-Pipe'!J:J,P_PipeName,Pipe[[#This Row],[Column1]])</f>
        <v>0</v>
      </c>
      <c r="E29" s="85" t="str">
        <f t="shared" si="0"/>
        <v/>
      </c>
      <c r="F29" s="119">
        <f>SUMIFS('P-EST-Pipe'!K:K,P_PipeName,Pipe[[#This Row],[Column1]])</f>
        <v>0</v>
      </c>
      <c r="G29" s="110"/>
      <c r="H29" s="12"/>
      <c r="I29"/>
      <c r="J29" s="93"/>
    </row>
    <row r="30" spans="2:10" x14ac:dyDescent="0.3">
      <c r="B30" s="95" t="str">
        <f>IF(Lists!A23="","",Lists!A23)</f>
        <v/>
      </c>
      <c r="C30" s="199">
        <f>SUMIFS('P-EST-Pipe'!H:H,P_PipeName,Pipe[[#This Row],[Column1]])</f>
        <v>0</v>
      </c>
      <c r="D30" s="115">
        <f>SUMIFS('P-EST-Pipe'!J:J,P_PipeName,Pipe[[#This Row],[Column1]])</f>
        <v>0</v>
      </c>
      <c r="E30" s="85" t="str">
        <f t="shared" si="0"/>
        <v/>
      </c>
      <c r="F30" s="119">
        <f>SUMIFS('P-EST-Pipe'!K:K,P_PipeName,Pipe[[#This Row],[Column1]])</f>
        <v>0</v>
      </c>
      <c r="G30" s="110"/>
      <c r="H30" s="12"/>
      <c r="I30"/>
      <c r="J30" s="93"/>
    </row>
    <row r="31" spans="2:10" x14ac:dyDescent="0.3">
      <c r="B31" s="95" t="str">
        <f>IF(Lists!A24="","",Lists!A24)</f>
        <v/>
      </c>
      <c r="C31" s="199">
        <f>SUMIFS('P-EST-Pipe'!H:H,P_PipeName,Pipe[[#This Row],[Column1]])</f>
        <v>0</v>
      </c>
      <c r="D31" s="115">
        <f>SUMIFS('P-EST-Pipe'!J:J,P_PipeName,Pipe[[#This Row],[Column1]])</f>
        <v>0</v>
      </c>
      <c r="E31" s="85" t="str">
        <f t="shared" si="0"/>
        <v/>
      </c>
      <c r="F31" s="119">
        <f>SUMIFS('P-EST-Pipe'!K:K,P_PipeName,Pipe[[#This Row],[Column1]])</f>
        <v>0</v>
      </c>
      <c r="G31" s="110"/>
      <c r="H31" s="12"/>
      <c r="I31"/>
      <c r="J31" s="93"/>
    </row>
    <row r="32" spans="2:10" x14ac:dyDescent="0.3">
      <c r="B32" s="95" t="str">
        <f>IF(Lists!A25="","",Lists!A25)</f>
        <v/>
      </c>
      <c r="C32" s="199">
        <f>SUMIFS('P-EST-Pipe'!H:H,P_PipeName,Pipe[[#This Row],[Column1]])</f>
        <v>0</v>
      </c>
      <c r="D32" s="115">
        <f>SUMIFS('P-EST-Pipe'!J:J,P_PipeName,Pipe[[#This Row],[Column1]])</f>
        <v>0</v>
      </c>
      <c r="E32" s="85" t="str">
        <f t="shared" si="0"/>
        <v/>
      </c>
      <c r="F32" s="119">
        <f>SUMIFS('P-EST-Pipe'!K:K,P_PipeName,Pipe[[#This Row],[Column1]])</f>
        <v>0</v>
      </c>
      <c r="G32" s="110"/>
      <c r="H32" s="17"/>
      <c r="I32"/>
      <c r="J32" s="93"/>
    </row>
    <row r="33" spans="2:10" x14ac:dyDescent="0.3">
      <c r="B33" s="137" t="str">
        <f>IF(SUM(I9:I10)&gt;2,"Total w/Multiplier","Total")</f>
        <v>Total</v>
      </c>
      <c r="C33" s="200">
        <f>SUBTOTAL(109,Pipe[Column2])</f>
        <v>0</v>
      </c>
      <c r="D33" s="117">
        <f>SUBTOTAL(109,Pipe[Etime])*I9</f>
        <v>0</v>
      </c>
      <c r="E33" s="100" t="str">
        <f>IF(D33=0,"","hrs")</f>
        <v/>
      </c>
      <c r="F33" s="32">
        <f>SUBTOTAL(109,Pipe[Cost])*I10</f>
        <v>0</v>
      </c>
      <c r="G33" s="101"/>
      <c r="J33" s="93"/>
    </row>
  </sheetData>
  <sheetProtection selectLockedCells="1"/>
  <conditionalFormatting sqref="B33">
    <cfRule type="expression" dxfId="6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J33"/>
  <sheetViews>
    <sheetView showGridLines="0" topLeftCell="A6" workbookViewId="0">
      <selection activeCell="B25" sqref="B25"/>
    </sheetView>
  </sheetViews>
  <sheetFormatPr defaultRowHeight="14.4" x14ac:dyDescent="0.3"/>
  <cols>
    <col min="1" max="1" width="9.109375" customWidth="1"/>
    <col min="2" max="2" width="40.6640625" customWidth="1"/>
    <col min="3" max="3" width="9.6640625" style="13" customWidth="1"/>
    <col min="4" max="4" width="8.6640625" style="16" customWidth="1"/>
    <col min="5" max="5" width="8.6640625" style="13" customWidth="1"/>
    <col min="6" max="6" width="17" customWidth="1"/>
    <col min="7" max="7" width="5.6640625" customWidth="1"/>
    <col min="8" max="8" width="10.6640625" customWidth="1"/>
    <col min="9" max="9" width="6.6640625" style="93" customWidth="1"/>
    <col min="10" max="10" width="8.6640625" customWidth="1"/>
  </cols>
  <sheetData>
    <row r="1" spans="2:10" ht="6" customHeight="1" x14ac:dyDescent="0.3">
      <c r="J1" s="1"/>
    </row>
    <row r="2" spans="2:10" ht="39" customHeight="1" thickBot="1" x14ac:dyDescent="0.45">
      <c r="B2" s="2" t="s">
        <v>140</v>
      </c>
      <c r="C2" s="56"/>
      <c r="D2" s="36"/>
      <c r="E2" s="56"/>
      <c r="F2" s="2"/>
      <c r="G2" s="2"/>
      <c r="H2" s="2"/>
      <c r="I2" s="2"/>
      <c r="J2" s="15"/>
    </row>
    <row r="3" spans="2:10" ht="9" customHeight="1" thickTop="1" x14ac:dyDescent="0.3">
      <c r="I3"/>
      <c r="J3" s="1"/>
    </row>
    <row r="4" spans="2:10" x14ac:dyDescent="0.3">
      <c r="B4" s="3" t="str">
        <f>IF(ProjectName="","",ProjectName)</f>
        <v/>
      </c>
      <c r="H4" s="5" t="s">
        <v>10</v>
      </c>
      <c r="I4" s="92" t="str">
        <f>IF(EstimatorName="","",EstimatorName)</f>
        <v/>
      </c>
      <c r="J4" s="1"/>
    </row>
    <row r="5" spans="2:10" ht="15" customHeight="1" x14ac:dyDescent="0.3">
      <c r="B5" s="7" t="str">
        <f>IF(ProjectAddress="","",ProjectAddress)</f>
        <v/>
      </c>
      <c r="H5" s="5" t="s">
        <v>11</v>
      </c>
      <c r="I5" s="92" t="str">
        <f>IF(EstimateNo="","",EstimateNo)</f>
        <v/>
      </c>
      <c r="J5" s="1"/>
    </row>
    <row r="6" spans="2:10" ht="15" customHeight="1" x14ac:dyDescent="0.3">
      <c r="B6" s="7"/>
      <c r="H6" s="5"/>
      <c r="I6" s="92"/>
      <c r="J6" s="1"/>
    </row>
    <row r="7" spans="2:10" ht="23.4" x14ac:dyDescent="0.45">
      <c r="B7" s="6" t="s">
        <v>139</v>
      </c>
    </row>
    <row r="8" spans="2:10" ht="18" x14ac:dyDescent="0.35">
      <c r="B8" s="10" t="s">
        <v>31</v>
      </c>
      <c r="C8" s="114" t="s">
        <v>66</v>
      </c>
      <c r="D8" s="99" t="s">
        <v>37</v>
      </c>
      <c r="E8" s="99"/>
      <c r="F8" s="29" t="s">
        <v>138</v>
      </c>
      <c r="H8" s="102" t="s">
        <v>68</v>
      </c>
      <c r="I8" s="103"/>
    </row>
    <row r="9" spans="2:10" x14ac:dyDescent="0.3">
      <c r="B9" s="95" t="str">
        <f>IF(Lists!B2="","",Lists!B2)</f>
        <v/>
      </c>
      <c r="C9" s="109">
        <f>SUMIFS('P-EST-Fittings'!H:H,P_FittingName,Fittings[[#This Row],[Column1]])</f>
        <v>0</v>
      </c>
      <c r="D9" s="115">
        <f>SUMIFS('P-EST-Fittings'!J:J,P_FittingName,Fittings[[#This Row],[Column1]])</f>
        <v>0</v>
      </c>
      <c r="E9" s="85" t="str">
        <f t="shared" ref="E9:E32" si="0">IF(D9=0,"","hrs")</f>
        <v/>
      </c>
      <c r="F9" s="119">
        <f>SUMIFS('P-EST-Fittings'!K:K,P_FittingName,Fittings[[#This Row],[Column1]])</f>
        <v>0</v>
      </c>
      <c r="G9" s="110"/>
      <c r="H9" s="104" t="s">
        <v>21</v>
      </c>
      <c r="I9" s="184">
        <v>1</v>
      </c>
    </row>
    <row r="10" spans="2:10" x14ac:dyDescent="0.3">
      <c r="B10" s="95" t="str">
        <f>IF(Lists!B3="","",Lists!B3)</f>
        <v/>
      </c>
      <c r="C10" s="109">
        <f>SUMIFS('P-EST-Fittings'!H:H,P_FittingName,Fittings[[#This Row],[Column1]])</f>
        <v>0</v>
      </c>
      <c r="D10" s="115">
        <f>SUMIFS('P-EST-Fittings'!J:J,P_FittingName,Fittings[[#This Row],[Column1]])</f>
        <v>0</v>
      </c>
      <c r="E10" s="85" t="str">
        <f t="shared" si="0"/>
        <v/>
      </c>
      <c r="F10" s="119">
        <f>SUMIFS('P-EST-Fittings'!K:K,P_FittingName,Fittings[[#This Row],[Column1]])</f>
        <v>0</v>
      </c>
      <c r="G10" s="110"/>
      <c r="H10" s="105" t="s">
        <v>29</v>
      </c>
      <c r="I10" s="185">
        <v>1</v>
      </c>
    </row>
    <row r="11" spans="2:10" x14ac:dyDescent="0.3">
      <c r="B11" s="95" t="str">
        <f>IF(Lists!B4="","",Lists!B4)</f>
        <v/>
      </c>
      <c r="C11" s="109">
        <f>SUMIFS('P-EST-Fittings'!H:H,P_FittingName,Fittings[[#This Row],[Column1]])</f>
        <v>0</v>
      </c>
      <c r="D11" s="115">
        <f>SUMIFS('P-EST-Fittings'!J:J,P_FittingName,Fittings[[#This Row],[Column1]])</f>
        <v>0</v>
      </c>
      <c r="E11" s="85" t="str">
        <f t="shared" si="0"/>
        <v/>
      </c>
      <c r="F11" s="119">
        <f>SUMIFS('P-EST-Fittings'!K:K,P_FittingName,Fittings[[#This Row],[Column1]])</f>
        <v>0</v>
      </c>
      <c r="G11" s="110"/>
      <c r="H11" s="12"/>
      <c r="I11"/>
    </row>
    <row r="12" spans="2:10" x14ac:dyDescent="0.3">
      <c r="B12" s="95" t="str">
        <f>IF(Lists!B5="","",Lists!B5)</f>
        <v/>
      </c>
      <c r="C12" s="109">
        <f>SUMIFS('P-EST-Fittings'!H:H,P_FittingName,Fittings[[#This Row],[Column1]])</f>
        <v>0</v>
      </c>
      <c r="D12" s="115">
        <f>SUMIFS('P-EST-Fittings'!J:J,P_FittingName,Fittings[[#This Row],[Column1]])</f>
        <v>0</v>
      </c>
      <c r="E12" s="85" t="str">
        <f t="shared" si="0"/>
        <v/>
      </c>
      <c r="F12" s="119">
        <f>SUMIFS('P-EST-Fittings'!K:K,P_FittingName,Fittings[[#This Row],[Column1]])</f>
        <v>0</v>
      </c>
      <c r="G12" s="110"/>
      <c r="H12" s="12"/>
      <c r="I12"/>
      <c r="J12" s="93"/>
    </row>
    <row r="13" spans="2:10" x14ac:dyDescent="0.3">
      <c r="B13" s="95" t="str">
        <f>IF(Lists!B6="","",Lists!B6)</f>
        <v/>
      </c>
      <c r="C13" s="109">
        <f>SUMIFS('P-EST-Fittings'!H:H,P_FittingName,Fittings[[#This Row],[Column1]])</f>
        <v>0</v>
      </c>
      <c r="D13" s="115">
        <f>SUMIFS('P-EST-Fittings'!J:J,P_FittingName,Fittings[[#This Row],[Column1]])</f>
        <v>0</v>
      </c>
      <c r="E13" s="85" t="str">
        <f t="shared" si="0"/>
        <v/>
      </c>
      <c r="F13" s="119">
        <f>SUMIFS('P-EST-Fittings'!K:K,P_FittingName,Fittings[[#This Row],[Column1]])</f>
        <v>0</v>
      </c>
      <c r="G13" s="110"/>
      <c r="H13" s="12"/>
      <c r="I13"/>
      <c r="J13" s="93"/>
    </row>
    <row r="14" spans="2:10" x14ac:dyDescent="0.3">
      <c r="B14" s="95" t="str">
        <f>IF(Lists!B7="","",Lists!B7)</f>
        <v/>
      </c>
      <c r="C14" s="109">
        <f>SUMIFS('P-EST-Fittings'!H:H,P_FittingName,Fittings[[#This Row],[Column1]])</f>
        <v>0</v>
      </c>
      <c r="D14" s="115">
        <f>SUMIFS('P-EST-Fittings'!J:J,P_FittingName,Fittings[[#This Row],[Column1]])</f>
        <v>0</v>
      </c>
      <c r="E14" s="85" t="str">
        <f t="shared" si="0"/>
        <v/>
      </c>
      <c r="F14" s="119">
        <f>SUMIFS('P-EST-Fittings'!K:K,P_FittingName,Fittings[[#This Row],[Column1]])</f>
        <v>0</v>
      </c>
      <c r="G14" s="110"/>
      <c r="H14" s="12"/>
      <c r="I14"/>
      <c r="J14" s="93"/>
    </row>
    <row r="15" spans="2:10" x14ac:dyDescent="0.3">
      <c r="B15" s="95" t="str">
        <f>IF(Lists!B8="","",Lists!B8)</f>
        <v/>
      </c>
      <c r="C15" s="109">
        <f>SUMIFS('P-EST-Fittings'!H:H,P_FittingName,Fittings[[#This Row],[Column1]])</f>
        <v>0</v>
      </c>
      <c r="D15" s="115">
        <f>SUMIFS('P-EST-Fittings'!J:J,P_FittingName,Fittings[[#This Row],[Column1]])</f>
        <v>0</v>
      </c>
      <c r="E15" s="85" t="str">
        <f t="shared" si="0"/>
        <v/>
      </c>
      <c r="F15" s="119">
        <f>SUMIFS('P-EST-Fittings'!K:K,P_FittingName,Fittings[[#This Row],[Column1]])</f>
        <v>0</v>
      </c>
      <c r="G15" s="110"/>
      <c r="H15" s="12"/>
      <c r="I15"/>
      <c r="J15" s="93"/>
    </row>
    <row r="16" spans="2:10" x14ac:dyDescent="0.3">
      <c r="B16" s="95" t="str">
        <f>IF(Lists!B9="","",Lists!B9)</f>
        <v/>
      </c>
      <c r="C16" s="109">
        <f>SUMIFS('P-EST-Fittings'!H:H,P_FittingName,Fittings[[#This Row],[Column1]])</f>
        <v>0</v>
      </c>
      <c r="D16" s="115">
        <f>SUMIFS('P-EST-Fittings'!J:J,P_FittingName,Fittings[[#This Row],[Column1]])</f>
        <v>0</v>
      </c>
      <c r="E16" s="85" t="str">
        <f t="shared" si="0"/>
        <v/>
      </c>
      <c r="F16" s="119">
        <f>SUMIFS('P-EST-Fittings'!K:K,P_FittingName,Fittings[[#This Row],[Column1]])</f>
        <v>0</v>
      </c>
      <c r="G16" s="110"/>
      <c r="H16" s="12"/>
      <c r="I16"/>
      <c r="J16" s="93"/>
    </row>
    <row r="17" spans="2:10" x14ac:dyDescent="0.3">
      <c r="B17" s="95" t="str">
        <f>IF(Lists!B10="","",Lists!B10)</f>
        <v/>
      </c>
      <c r="C17" s="109">
        <f>SUMIFS('P-EST-Fittings'!H:H,P_FittingName,Fittings[[#This Row],[Column1]])</f>
        <v>0</v>
      </c>
      <c r="D17" s="115">
        <f>SUMIFS('P-EST-Fittings'!J:J,P_FittingName,Fittings[[#This Row],[Column1]])</f>
        <v>0</v>
      </c>
      <c r="E17" s="85" t="str">
        <f t="shared" si="0"/>
        <v/>
      </c>
      <c r="F17" s="119">
        <f>SUMIFS('P-EST-Fittings'!K:K,P_FittingName,Fittings[[#This Row],[Column1]])</f>
        <v>0</v>
      </c>
      <c r="G17" s="110"/>
      <c r="H17" s="12"/>
      <c r="I17"/>
      <c r="J17" s="93"/>
    </row>
    <row r="18" spans="2:10" x14ac:dyDescent="0.3">
      <c r="B18" s="95" t="str">
        <f>IF(Lists!B11="","",Lists!B11)</f>
        <v/>
      </c>
      <c r="C18" s="109">
        <f>SUMIFS('P-EST-Fittings'!H:H,P_FittingName,Fittings[[#This Row],[Column1]])</f>
        <v>0</v>
      </c>
      <c r="D18" s="115">
        <f>SUMIFS('P-EST-Fittings'!J:J,P_FittingName,Fittings[[#This Row],[Column1]])</f>
        <v>0</v>
      </c>
      <c r="E18" s="85" t="str">
        <f t="shared" si="0"/>
        <v/>
      </c>
      <c r="F18" s="119">
        <f>SUMIFS('P-EST-Fittings'!K:K,P_FittingName,Fittings[[#This Row],[Column1]])</f>
        <v>0</v>
      </c>
      <c r="G18" s="110"/>
      <c r="H18" s="12"/>
      <c r="I18"/>
      <c r="J18" s="93"/>
    </row>
    <row r="19" spans="2:10" x14ac:dyDescent="0.3">
      <c r="B19" s="95" t="str">
        <f>IF(Lists!B12="","",Lists!B12)</f>
        <v/>
      </c>
      <c r="C19" s="109">
        <f>SUMIFS('P-EST-Fittings'!H:H,P_FittingName,Fittings[[#This Row],[Column1]])</f>
        <v>0</v>
      </c>
      <c r="D19" s="115">
        <f>SUMIFS('P-EST-Fittings'!J:J,P_FittingName,Fittings[[#This Row],[Column1]])</f>
        <v>0</v>
      </c>
      <c r="E19" s="85" t="str">
        <f t="shared" si="0"/>
        <v/>
      </c>
      <c r="F19" s="119">
        <f>SUMIFS('P-EST-Fittings'!K:K,P_FittingName,Fittings[[#This Row],[Column1]])</f>
        <v>0</v>
      </c>
      <c r="G19" s="110"/>
      <c r="H19" s="12"/>
      <c r="I19"/>
      <c r="J19" s="93"/>
    </row>
    <row r="20" spans="2:10" x14ac:dyDescent="0.3">
      <c r="B20" s="95" t="str">
        <f>IF(Lists!B13="","",Lists!B13)</f>
        <v/>
      </c>
      <c r="C20" s="109">
        <f>SUMIFS('P-EST-Fittings'!H:H,P_FittingName,Fittings[[#This Row],[Column1]])</f>
        <v>0</v>
      </c>
      <c r="D20" s="115">
        <f>SUMIFS('P-EST-Fittings'!J:J,P_FittingName,Fittings[[#This Row],[Column1]])</f>
        <v>0</v>
      </c>
      <c r="E20" s="85" t="str">
        <f t="shared" si="0"/>
        <v/>
      </c>
      <c r="F20" s="119">
        <f>SUMIFS('P-EST-Fittings'!K:K,P_FittingName,Fittings[[#This Row],[Column1]])</f>
        <v>0</v>
      </c>
      <c r="G20" s="110"/>
      <c r="H20" s="12"/>
      <c r="I20"/>
      <c r="J20" s="93"/>
    </row>
    <row r="21" spans="2:10" x14ac:dyDescent="0.3">
      <c r="B21" s="95" t="str">
        <f>IF(Lists!B14="","",Lists!B14)</f>
        <v/>
      </c>
      <c r="C21" s="109">
        <f>SUMIFS('P-EST-Fittings'!H:H,P_FittingName,Fittings[[#This Row],[Column1]])</f>
        <v>0</v>
      </c>
      <c r="D21" s="115">
        <f>SUMIFS('P-EST-Fittings'!J:J,P_FittingName,Fittings[[#This Row],[Column1]])</f>
        <v>0</v>
      </c>
      <c r="E21" s="85" t="str">
        <f t="shared" si="0"/>
        <v/>
      </c>
      <c r="F21" s="119">
        <f>SUMIFS('P-EST-Fittings'!K:K,P_FittingName,Fittings[[#This Row],[Column1]])</f>
        <v>0</v>
      </c>
      <c r="G21" s="110"/>
      <c r="H21" s="12"/>
      <c r="I21"/>
      <c r="J21" s="93"/>
    </row>
    <row r="22" spans="2:10" x14ac:dyDescent="0.3">
      <c r="B22" s="95" t="str">
        <f>IF(Lists!B15="","",Lists!B15)</f>
        <v/>
      </c>
      <c r="C22" s="109">
        <f>SUMIFS('P-EST-Fittings'!H:H,P_FittingName,Fittings[[#This Row],[Column1]])</f>
        <v>0</v>
      </c>
      <c r="D22" s="115">
        <f>SUMIFS('P-EST-Fittings'!J:J,P_FittingName,Fittings[[#This Row],[Column1]])</f>
        <v>0</v>
      </c>
      <c r="E22" s="85" t="str">
        <f t="shared" si="0"/>
        <v/>
      </c>
      <c r="F22" s="119">
        <f>SUMIFS('P-EST-Fittings'!K:K,P_FittingName,Fittings[[#This Row],[Column1]])</f>
        <v>0</v>
      </c>
      <c r="G22" s="110"/>
      <c r="H22" s="12"/>
      <c r="I22"/>
      <c r="J22" s="93"/>
    </row>
    <row r="23" spans="2:10" x14ac:dyDescent="0.3">
      <c r="B23" s="95" t="str">
        <f>IF(Lists!B16="","",Lists!B16)</f>
        <v/>
      </c>
      <c r="C23" s="109">
        <f>SUMIFS('P-EST-Fittings'!H:H,P_FittingName,Fittings[[#This Row],[Column1]])</f>
        <v>0</v>
      </c>
      <c r="D23" s="115">
        <f>SUMIFS('P-EST-Fittings'!J:J,P_FittingName,Fittings[[#This Row],[Column1]])</f>
        <v>0</v>
      </c>
      <c r="E23" s="85" t="str">
        <f t="shared" si="0"/>
        <v/>
      </c>
      <c r="F23" s="119">
        <f>SUMIFS('P-EST-Fittings'!K:K,P_FittingName,Fittings[[#This Row],[Column1]])</f>
        <v>0</v>
      </c>
      <c r="G23" s="110"/>
      <c r="H23" s="12"/>
      <c r="I23"/>
      <c r="J23" s="93"/>
    </row>
    <row r="24" spans="2:10" x14ac:dyDescent="0.3">
      <c r="B24" s="95" t="str">
        <f>IF(Lists!B17="","",Lists!B17)</f>
        <v/>
      </c>
      <c r="C24" s="109">
        <f>SUMIFS('P-EST-Fittings'!H:H,P_FittingName,Fittings[[#This Row],[Column1]])</f>
        <v>0</v>
      </c>
      <c r="D24" s="115">
        <f>SUMIFS('P-EST-Fittings'!J:J,P_FittingName,Fittings[[#This Row],[Column1]])</f>
        <v>0</v>
      </c>
      <c r="E24" s="85" t="str">
        <f t="shared" si="0"/>
        <v/>
      </c>
      <c r="F24" s="119">
        <f>SUMIFS('P-EST-Fittings'!K:K,P_FittingName,Fittings[[#This Row],[Column1]])</f>
        <v>0</v>
      </c>
      <c r="G24" s="110"/>
      <c r="H24" s="12"/>
      <c r="I24"/>
      <c r="J24" s="93"/>
    </row>
    <row r="25" spans="2:10" x14ac:dyDescent="0.3">
      <c r="B25" s="95" t="str">
        <f>IF(Lists!B18="","",Lists!B18)</f>
        <v/>
      </c>
      <c r="C25" s="109">
        <f>SUMIFS('P-EST-Fittings'!H:H,P_FittingName,Fittings[[#This Row],[Column1]])</f>
        <v>0</v>
      </c>
      <c r="D25" s="115">
        <f>SUMIFS('P-EST-Fittings'!J:J,P_FittingName,Fittings[[#This Row],[Column1]])</f>
        <v>0</v>
      </c>
      <c r="E25" s="85" t="str">
        <f t="shared" si="0"/>
        <v/>
      </c>
      <c r="F25" s="119">
        <f>SUMIFS('P-EST-Fittings'!K:K,P_FittingName,Fittings[[#This Row],[Column1]])</f>
        <v>0</v>
      </c>
      <c r="G25" s="110"/>
      <c r="H25" s="12"/>
      <c r="I25"/>
      <c r="J25" s="93"/>
    </row>
    <row r="26" spans="2:10" x14ac:dyDescent="0.3">
      <c r="B26" s="95" t="str">
        <f>IF(Lists!B19="","",Lists!B19)</f>
        <v/>
      </c>
      <c r="C26" s="109">
        <f>SUMIFS('P-EST-Fittings'!H:H,P_FittingName,Fittings[[#This Row],[Column1]])</f>
        <v>0</v>
      </c>
      <c r="D26" s="115">
        <f>SUMIFS('P-EST-Fittings'!J:J,P_FittingName,Fittings[[#This Row],[Column1]])</f>
        <v>0</v>
      </c>
      <c r="E26" s="85" t="str">
        <f t="shared" si="0"/>
        <v/>
      </c>
      <c r="F26" s="119">
        <f>SUMIFS('P-EST-Fittings'!K:K,P_FittingName,Fittings[[#This Row],[Column1]])</f>
        <v>0</v>
      </c>
      <c r="G26" s="110"/>
      <c r="H26" s="12"/>
      <c r="I26"/>
      <c r="J26" s="93"/>
    </row>
    <row r="27" spans="2:10" x14ac:dyDescent="0.3">
      <c r="B27" s="95" t="str">
        <f>IF(Lists!B20="","",Lists!B20)</f>
        <v/>
      </c>
      <c r="C27" s="109">
        <f>SUMIFS('P-EST-Fittings'!H:H,P_FittingName,Fittings[[#This Row],[Column1]])</f>
        <v>0</v>
      </c>
      <c r="D27" s="115">
        <f>SUMIFS('P-EST-Fittings'!J:J,P_FittingName,Fittings[[#This Row],[Column1]])</f>
        <v>0</v>
      </c>
      <c r="E27" s="85" t="str">
        <f t="shared" si="0"/>
        <v/>
      </c>
      <c r="F27" s="119">
        <f>SUMIFS('P-EST-Fittings'!K:K,P_FittingName,Fittings[[#This Row],[Column1]])</f>
        <v>0</v>
      </c>
      <c r="G27" s="110"/>
      <c r="H27" s="12"/>
      <c r="I27"/>
      <c r="J27" s="93"/>
    </row>
    <row r="28" spans="2:10" x14ac:dyDescent="0.3">
      <c r="B28" s="95" t="str">
        <f>IF(Lists!B21="","",Lists!B21)</f>
        <v/>
      </c>
      <c r="C28" s="109">
        <f>SUMIFS('P-EST-Fittings'!H:H,P_FittingName,Fittings[[#This Row],[Column1]])</f>
        <v>0</v>
      </c>
      <c r="D28" s="115">
        <f>SUMIFS('P-EST-Fittings'!J:J,P_FittingName,Fittings[[#This Row],[Column1]])</f>
        <v>0</v>
      </c>
      <c r="E28" s="85" t="str">
        <f t="shared" si="0"/>
        <v/>
      </c>
      <c r="F28" s="119">
        <f>SUMIFS('P-EST-Fittings'!K:K,P_FittingName,Fittings[[#This Row],[Column1]])</f>
        <v>0</v>
      </c>
      <c r="G28" s="110"/>
      <c r="H28" s="12"/>
      <c r="I28"/>
      <c r="J28" s="93"/>
    </row>
    <row r="29" spans="2:10" x14ac:dyDescent="0.3">
      <c r="B29" s="95" t="str">
        <f>IF(Lists!B22="","",Lists!B22)</f>
        <v/>
      </c>
      <c r="C29" s="109">
        <f>SUMIFS('P-EST-Fittings'!H:H,P_FittingName,Fittings[[#This Row],[Column1]])</f>
        <v>0</v>
      </c>
      <c r="D29" s="115">
        <f>SUMIFS('P-EST-Fittings'!J:J,P_FittingName,Fittings[[#This Row],[Column1]])</f>
        <v>0</v>
      </c>
      <c r="E29" s="85" t="str">
        <f t="shared" si="0"/>
        <v/>
      </c>
      <c r="F29" s="119">
        <f>SUMIFS('P-EST-Fittings'!K:K,P_FittingName,Fittings[[#This Row],[Column1]])</f>
        <v>0</v>
      </c>
      <c r="G29" s="110"/>
      <c r="H29" s="12"/>
      <c r="I29"/>
      <c r="J29" s="93"/>
    </row>
    <row r="30" spans="2:10" x14ac:dyDescent="0.3">
      <c r="B30" s="95" t="str">
        <f>IF(Lists!B23="","",Lists!B23)</f>
        <v/>
      </c>
      <c r="C30" s="109">
        <f>SUMIFS('P-EST-Fittings'!H:H,P_FittingName,Fittings[[#This Row],[Column1]])</f>
        <v>0</v>
      </c>
      <c r="D30" s="115">
        <f>SUMIFS('P-EST-Fittings'!J:J,P_FittingName,Fittings[[#This Row],[Column1]])</f>
        <v>0</v>
      </c>
      <c r="E30" s="85" t="str">
        <f t="shared" si="0"/>
        <v/>
      </c>
      <c r="F30" s="119">
        <f>SUMIFS('P-EST-Fittings'!K:K,P_FittingName,Fittings[[#This Row],[Column1]])</f>
        <v>0</v>
      </c>
      <c r="G30" s="110"/>
      <c r="H30" s="12"/>
      <c r="I30"/>
      <c r="J30" s="93"/>
    </row>
    <row r="31" spans="2:10" x14ac:dyDescent="0.3">
      <c r="B31" s="95" t="str">
        <f>IF(Lists!B24="","",Lists!B24)</f>
        <v/>
      </c>
      <c r="C31" s="109">
        <f>SUMIFS('P-EST-Fittings'!H:H,P_FittingName,Fittings[[#This Row],[Column1]])</f>
        <v>0</v>
      </c>
      <c r="D31" s="115">
        <f>SUMIFS('P-EST-Fittings'!J:J,P_FittingName,Fittings[[#This Row],[Column1]])</f>
        <v>0</v>
      </c>
      <c r="E31" s="85" t="str">
        <f t="shared" si="0"/>
        <v/>
      </c>
      <c r="F31" s="119">
        <f>SUMIFS('P-EST-Fittings'!K:K,P_FittingName,Fittings[[#This Row],[Column1]])</f>
        <v>0</v>
      </c>
      <c r="G31" s="110"/>
      <c r="H31" s="12"/>
      <c r="I31"/>
      <c r="J31" s="93"/>
    </row>
    <row r="32" spans="2:10" x14ac:dyDescent="0.3">
      <c r="B32" s="95" t="str">
        <f>IF(Lists!B25="","",Lists!B25)</f>
        <v/>
      </c>
      <c r="C32" s="109">
        <f>SUMIFS('P-EST-Fittings'!H:H,P_FittingName,Fittings[[#This Row],[Column1]])</f>
        <v>0</v>
      </c>
      <c r="D32" s="115">
        <f>SUMIFS('P-EST-Fittings'!J:J,P_FittingName,Fittings[[#This Row],[Column1]])</f>
        <v>0</v>
      </c>
      <c r="E32" s="85" t="str">
        <f t="shared" si="0"/>
        <v/>
      </c>
      <c r="F32" s="119">
        <f>SUMIFS('P-EST-Fittings'!K:K,P_FittingName,Fittings[[#This Row],[Column1]])</f>
        <v>0</v>
      </c>
      <c r="G32" s="110"/>
      <c r="H32" s="17"/>
      <c r="I32"/>
      <c r="J32" s="93"/>
    </row>
    <row r="33" spans="2:10" x14ac:dyDescent="0.3">
      <c r="B33" s="137" t="str">
        <f>IF(SUM(I9:I10)&gt;2,"Total w/Multiplier","Total")</f>
        <v>Total</v>
      </c>
      <c r="C33" s="118">
        <f>SUBTOTAL(109,Fittings[Column2])</f>
        <v>0</v>
      </c>
      <c r="D33" s="117">
        <f>SUBTOTAL(109,Fittings[Etime])*I9</f>
        <v>0</v>
      </c>
      <c r="E33" s="100" t="str">
        <f>IF(D33=0,"","hrs")</f>
        <v/>
      </c>
      <c r="F33" s="32">
        <f>SUBTOTAL(109,Fittings[Cost])*I10</f>
        <v>0</v>
      </c>
      <c r="G33" s="101"/>
      <c r="J33" s="93"/>
    </row>
  </sheetData>
  <sheetProtection selectLockedCells="1"/>
  <conditionalFormatting sqref="B33">
    <cfRule type="expression" dxfId="5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C9" calculatedColumn="1"/>
  </ignoredError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J33"/>
  <sheetViews>
    <sheetView showGridLines="0" workbookViewId="0">
      <selection activeCell="F1" sqref="F1:F1048576"/>
    </sheetView>
  </sheetViews>
  <sheetFormatPr defaultRowHeight="14.4" x14ac:dyDescent="0.3"/>
  <cols>
    <col min="1" max="1" width="9.109375" customWidth="1"/>
    <col min="2" max="2" width="40.6640625" customWidth="1"/>
    <col min="3" max="3" width="9.6640625" style="13" customWidth="1"/>
    <col min="4" max="4" width="8.6640625" style="16" customWidth="1"/>
    <col min="5" max="5" width="8.6640625" style="13" customWidth="1"/>
    <col min="6" max="6" width="17" customWidth="1"/>
    <col min="7" max="7" width="5.6640625" customWidth="1"/>
    <col min="8" max="8" width="10.6640625" customWidth="1"/>
    <col min="9" max="9" width="6.6640625" style="93" customWidth="1"/>
    <col min="10" max="10" width="8.6640625" customWidth="1"/>
  </cols>
  <sheetData>
    <row r="1" spans="2:10" ht="6" customHeight="1" x14ac:dyDescent="0.3">
      <c r="J1" s="1"/>
    </row>
    <row r="2" spans="2:10" ht="39" customHeight="1" thickBot="1" x14ac:dyDescent="0.45">
      <c r="B2" s="2" t="s">
        <v>107</v>
      </c>
      <c r="C2" s="56"/>
      <c r="D2" s="36"/>
      <c r="E2" s="56"/>
      <c r="F2" s="2"/>
      <c r="G2" s="2"/>
      <c r="H2" s="2"/>
      <c r="I2" s="2"/>
      <c r="J2" s="15"/>
    </row>
    <row r="3" spans="2:10" ht="9" customHeight="1" thickTop="1" x14ac:dyDescent="0.3">
      <c r="I3"/>
      <c r="J3" s="1"/>
    </row>
    <row r="4" spans="2:10" x14ac:dyDescent="0.3">
      <c r="B4" s="3" t="str">
        <f>IF(ProjectName="","",ProjectName)</f>
        <v/>
      </c>
      <c r="H4" s="5" t="s">
        <v>10</v>
      </c>
      <c r="I4" s="92" t="str">
        <f>IF(EstimatorName="","",EstimatorName)</f>
        <v/>
      </c>
      <c r="J4" s="1"/>
    </row>
    <row r="5" spans="2:10" ht="15" customHeight="1" x14ac:dyDescent="0.3">
      <c r="B5" s="7" t="str">
        <f>IF(ProjectAddress="","",ProjectAddress)</f>
        <v/>
      </c>
      <c r="H5" s="5" t="s">
        <v>11</v>
      </c>
      <c r="I5" s="92" t="str">
        <f>IF(EstimateNo="","",EstimateNo)</f>
        <v/>
      </c>
      <c r="J5" s="1"/>
    </row>
    <row r="6" spans="2:10" ht="15" customHeight="1" x14ac:dyDescent="0.3">
      <c r="B6" s="7"/>
      <c r="H6" s="5"/>
      <c r="I6" s="92"/>
      <c r="J6" s="1"/>
    </row>
    <row r="7" spans="2:10" ht="23.4" x14ac:dyDescent="0.45">
      <c r="B7" s="6" t="s">
        <v>106</v>
      </c>
    </row>
    <row r="8" spans="2:10" ht="18" x14ac:dyDescent="0.35">
      <c r="B8" s="10" t="s">
        <v>31</v>
      </c>
      <c r="C8" s="114" t="s">
        <v>66</v>
      </c>
      <c r="D8" s="99" t="s">
        <v>37</v>
      </c>
      <c r="E8" s="99"/>
      <c r="F8" s="29" t="s">
        <v>138</v>
      </c>
      <c r="H8" s="102" t="s">
        <v>68</v>
      </c>
      <c r="I8" s="103"/>
    </row>
    <row r="9" spans="2:10" x14ac:dyDescent="0.3">
      <c r="B9" s="95" t="str">
        <f>IF(Lists!F2="","",Lists!F2)</f>
        <v/>
      </c>
      <c r="C9" s="109">
        <f>SUMIFS('P-EST-Valves'!H:H,P_ValveName,Valves[[#This Row],[Column1]])</f>
        <v>0</v>
      </c>
      <c r="D9" s="115">
        <f>SUMIFS('P-EST-Valves'!J:J,P_ValveName,Valves[[#This Row],[Column1]])</f>
        <v>0</v>
      </c>
      <c r="E9" s="85" t="str">
        <f t="shared" ref="E9:E32" si="0">IF(D9=0,"","hrs")</f>
        <v/>
      </c>
      <c r="F9" s="119">
        <f>SUMIFS('P-EST-Valves'!K:K,P_ValveName,Valves[[#This Row],[Column1]])</f>
        <v>0</v>
      </c>
      <c r="H9" s="104" t="s">
        <v>21</v>
      </c>
      <c r="I9" s="184">
        <v>1</v>
      </c>
    </row>
    <row r="10" spans="2:10" x14ac:dyDescent="0.3">
      <c r="B10" s="95" t="str">
        <f>IF(Lists!F3="","",Lists!F3)</f>
        <v/>
      </c>
      <c r="C10" s="109">
        <f>SUMIFS('P-EST-Valves'!H:H,P_ValveName,Valves[[#This Row],[Column1]])</f>
        <v>0</v>
      </c>
      <c r="D10" s="115">
        <f>SUMIFS('P-EST-Valves'!J:J,P_ValveName,Valves[[#This Row],[Column1]])</f>
        <v>0</v>
      </c>
      <c r="E10" s="85" t="str">
        <f t="shared" si="0"/>
        <v/>
      </c>
      <c r="F10" s="119">
        <f>SUMIFS('P-EST-Valves'!K:K,P_ValveName,Valves[[#This Row],[Column1]])</f>
        <v>0</v>
      </c>
      <c r="H10" s="105" t="s">
        <v>29</v>
      </c>
      <c r="I10" s="185">
        <v>1</v>
      </c>
    </row>
    <row r="11" spans="2:10" x14ac:dyDescent="0.3">
      <c r="B11" s="95" t="str">
        <f>IF(Lists!F4="","",Lists!F4)</f>
        <v/>
      </c>
      <c r="C11" s="109">
        <f>SUMIFS('P-EST-Valves'!H:H,P_ValveName,Valves[[#This Row],[Column1]])</f>
        <v>0</v>
      </c>
      <c r="D11" s="115">
        <f>SUMIFS('P-EST-Valves'!J:J,P_ValveName,Valves[[#This Row],[Column1]])</f>
        <v>0</v>
      </c>
      <c r="E11" s="85" t="str">
        <f t="shared" si="0"/>
        <v/>
      </c>
      <c r="F11" s="119">
        <f>SUMIFS('P-EST-Valves'!K:K,P_ValveName,Valves[[#This Row],[Column1]])</f>
        <v>0</v>
      </c>
      <c r="H11" s="12"/>
      <c r="I11"/>
    </row>
    <row r="12" spans="2:10" x14ac:dyDescent="0.3">
      <c r="B12" s="95" t="str">
        <f>IF(Lists!F5="","",Lists!F5)</f>
        <v/>
      </c>
      <c r="C12" s="109">
        <f>SUMIFS('P-EST-Valves'!H:H,P_ValveName,Valves[[#This Row],[Column1]])</f>
        <v>0</v>
      </c>
      <c r="D12" s="115">
        <f>SUMIFS('P-EST-Valves'!J:J,P_ValveName,Valves[[#This Row],[Column1]])</f>
        <v>0</v>
      </c>
      <c r="E12" s="85" t="str">
        <f t="shared" si="0"/>
        <v/>
      </c>
      <c r="F12" s="119">
        <f>SUMIFS('P-EST-Valves'!K:K,P_ValveName,Valves[[#This Row],[Column1]])</f>
        <v>0</v>
      </c>
      <c r="H12" s="12"/>
      <c r="I12"/>
      <c r="J12" s="93"/>
    </row>
    <row r="13" spans="2:10" x14ac:dyDescent="0.3">
      <c r="B13" s="95" t="str">
        <f>IF(Lists!F6="","",Lists!F6)</f>
        <v/>
      </c>
      <c r="C13" s="109">
        <f>SUMIFS('P-EST-Valves'!H:H,P_ValveName,Valves[[#This Row],[Column1]])</f>
        <v>0</v>
      </c>
      <c r="D13" s="115">
        <f>SUMIFS('P-EST-Valves'!J:J,P_ValveName,Valves[[#This Row],[Column1]])</f>
        <v>0</v>
      </c>
      <c r="E13" s="85" t="str">
        <f t="shared" si="0"/>
        <v/>
      </c>
      <c r="F13" s="119">
        <f>SUMIFS('P-EST-Valves'!K:K,P_ValveName,Valves[[#This Row],[Column1]])</f>
        <v>0</v>
      </c>
      <c r="H13" s="12"/>
      <c r="I13"/>
      <c r="J13" s="93"/>
    </row>
    <row r="14" spans="2:10" x14ac:dyDescent="0.3">
      <c r="B14" s="95" t="str">
        <f>IF(Lists!F7="","",Lists!F7)</f>
        <v/>
      </c>
      <c r="C14" s="109">
        <f>SUMIFS('P-EST-Valves'!H:H,P_ValveName,Valves[[#This Row],[Column1]])</f>
        <v>0</v>
      </c>
      <c r="D14" s="115">
        <f>SUMIFS('P-EST-Valves'!J:J,P_ValveName,Valves[[#This Row],[Column1]])</f>
        <v>0</v>
      </c>
      <c r="E14" s="85" t="str">
        <f t="shared" si="0"/>
        <v/>
      </c>
      <c r="F14" s="119">
        <f>SUMIFS('P-EST-Valves'!K:K,P_ValveName,Valves[[#This Row],[Column1]])</f>
        <v>0</v>
      </c>
      <c r="H14" s="12"/>
      <c r="I14"/>
      <c r="J14" s="93"/>
    </row>
    <row r="15" spans="2:10" x14ac:dyDescent="0.3">
      <c r="B15" s="95" t="str">
        <f>IF(Lists!F8="","",Lists!F8)</f>
        <v/>
      </c>
      <c r="C15" s="109">
        <f>SUMIFS('P-EST-Valves'!H:H,P_ValveName,Valves[[#This Row],[Column1]])</f>
        <v>0</v>
      </c>
      <c r="D15" s="115">
        <f>SUMIFS('P-EST-Valves'!J:J,P_ValveName,Valves[[#This Row],[Column1]])</f>
        <v>0</v>
      </c>
      <c r="E15" s="85" t="str">
        <f t="shared" si="0"/>
        <v/>
      </c>
      <c r="F15" s="119">
        <f>SUMIFS('P-EST-Valves'!K:K,P_ValveName,Valves[[#This Row],[Column1]])</f>
        <v>0</v>
      </c>
      <c r="H15" s="12"/>
      <c r="I15"/>
      <c r="J15" s="93"/>
    </row>
    <row r="16" spans="2:10" x14ac:dyDescent="0.3">
      <c r="B16" s="95" t="str">
        <f>IF(Lists!F9="","",Lists!F9)</f>
        <v/>
      </c>
      <c r="C16" s="109">
        <f>SUMIFS('P-EST-Valves'!H:H,P_ValveName,Valves[[#This Row],[Column1]])</f>
        <v>0</v>
      </c>
      <c r="D16" s="115">
        <f>SUMIFS('P-EST-Valves'!J:J,P_ValveName,Valves[[#This Row],[Column1]])</f>
        <v>0</v>
      </c>
      <c r="E16" s="85" t="str">
        <f t="shared" si="0"/>
        <v/>
      </c>
      <c r="F16" s="119">
        <f>SUMIFS('P-EST-Valves'!K:K,P_ValveName,Valves[[#This Row],[Column1]])</f>
        <v>0</v>
      </c>
      <c r="H16" s="12"/>
      <c r="I16"/>
      <c r="J16" s="93"/>
    </row>
    <row r="17" spans="2:10" x14ac:dyDescent="0.3">
      <c r="B17" s="95" t="str">
        <f>IF(Lists!F10="","",Lists!F10)</f>
        <v/>
      </c>
      <c r="C17" s="109">
        <f>SUMIFS('P-EST-Valves'!H:H,P_ValveName,Valves[[#This Row],[Column1]])</f>
        <v>0</v>
      </c>
      <c r="D17" s="115">
        <f>SUMIFS('P-EST-Valves'!J:J,P_ValveName,Valves[[#This Row],[Column1]])</f>
        <v>0</v>
      </c>
      <c r="E17" s="85" t="str">
        <f t="shared" si="0"/>
        <v/>
      </c>
      <c r="F17" s="119">
        <f>SUMIFS('P-EST-Valves'!K:K,P_ValveName,Valves[[#This Row],[Column1]])</f>
        <v>0</v>
      </c>
      <c r="H17" s="12"/>
      <c r="I17"/>
      <c r="J17" s="93"/>
    </row>
    <row r="18" spans="2:10" x14ac:dyDescent="0.3">
      <c r="B18" s="95" t="str">
        <f>IF(Lists!F11="","",Lists!F11)</f>
        <v/>
      </c>
      <c r="C18" s="109">
        <f>SUMIFS('P-EST-Valves'!H:H,P_ValveName,Valves[[#This Row],[Column1]])</f>
        <v>0</v>
      </c>
      <c r="D18" s="115">
        <f>SUMIFS('P-EST-Valves'!J:J,P_ValveName,Valves[[#This Row],[Column1]])</f>
        <v>0</v>
      </c>
      <c r="E18" s="85" t="str">
        <f t="shared" si="0"/>
        <v/>
      </c>
      <c r="F18" s="119">
        <f>SUMIFS('P-EST-Valves'!K:K,P_ValveName,Valves[[#This Row],[Column1]])</f>
        <v>0</v>
      </c>
      <c r="H18" s="12"/>
      <c r="I18"/>
      <c r="J18" s="93"/>
    </row>
    <row r="19" spans="2:10" x14ac:dyDescent="0.3">
      <c r="B19" s="95" t="str">
        <f>IF(Lists!F12="","",Lists!F12)</f>
        <v/>
      </c>
      <c r="C19" s="109">
        <f>SUMIFS('P-EST-Valves'!H:H,P_ValveName,Valves[[#This Row],[Column1]])</f>
        <v>0</v>
      </c>
      <c r="D19" s="115">
        <f>SUMIFS('P-EST-Valves'!J:J,P_ValveName,Valves[[#This Row],[Column1]])</f>
        <v>0</v>
      </c>
      <c r="E19" s="85" t="str">
        <f t="shared" si="0"/>
        <v/>
      </c>
      <c r="F19" s="119">
        <f>SUMIFS('P-EST-Valves'!K:K,P_ValveName,Valves[[#This Row],[Column1]])</f>
        <v>0</v>
      </c>
      <c r="H19" s="12"/>
      <c r="I19"/>
      <c r="J19" s="93"/>
    </row>
    <row r="20" spans="2:10" x14ac:dyDescent="0.3">
      <c r="B20" s="95" t="str">
        <f>IF(Lists!F13="","",Lists!F13)</f>
        <v/>
      </c>
      <c r="C20" s="109">
        <f>SUMIFS('P-EST-Valves'!H:H,P_ValveName,Valves[[#This Row],[Column1]])</f>
        <v>0</v>
      </c>
      <c r="D20" s="115">
        <f>SUMIFS('P-EST-Valves'!J:J,P_ValveName,Valves[[#This Row],[Column1]])</f>
        <v>0</v>
      </c>
      <c r="E20" s="85" t="str">
        <f t="shared" si="0"/>
        <v/>
      </c>
      <c r="F20" s="119">
        <f>SUMIFS('P-EST-Valves'!K:K,P_ValveName,Valves[[#This Row],[Column1]])</f>
        <v>0</v>
      </c>
      <c r="H20" s="12"/>
      <c r="I20"/>
      <c r="J20" s="93"/>
    </row>
    <row r="21" spans="2:10" x14ac:dyDescent="0.3">
      <c r="B21" s="95" t="str">
        <f>IF(Lists!F14="","",Lists!F14)</f>
        <v/>
      </c>
      <c r="C21" s="109">
        <f>SUMIFS('P-EST-Valves'!H:H,P_ValveName,Valves[[#This Row],[Column1]])</f>
        <v>0</v>
      </c>
      <c r="D21" s="115">
        <f>SUMIFS('P-EST-Valves'!J:J,P_ValveName,Valves[[#This Row],[Column1]])</f>
        <v>0</v>
      </c>
      <c r="E21" s="85" t="str">
        <f t="shared" si="0"/>
        <v/>
      </c>
      <c r="F21" s="119">
        <f>SUMIFS('P-EST-Valves'!K:K,P_ValveName,Valves[[#This Row],[Column1]])</f>
        <v>0</v>
      </c>
      <c r="H21" s="12"/>
      <c r="I21"/>
      <c r="J21" s="93"/>
    </row>
    <row r="22" spans="2:10" x14ac:dyDescent="0.3">
      <c r="B22" s="95" t="str">
        <f>IF(Lists!F15="","",Lists!F15)</f>
        <v/>
      </c>
      <c r="C22" s="109">
        <f>SUMIFS('P-EST-Valves'!H:H,P_ValveName,Valves[[#This Row],[Column1]])</f>
        <v>0</v>
      </c>
      <c r="D22" s="115">
        <f>SUMIFS('P-EST-Valves'!J:J,P_ValveName,Valves[[#This Row],[Column1]])</f>
        <v>0</v>
      </c>
      <c r="E22" s="85" t="str">
        <f t="shared" si="0"/>
        <v/>
      </c>
      <c r="F22" s="119">
        <f>SUMIFS('P-EST-Valves'!K:K,P_ValveName,Valves[[#This Row],[Column1]])</f>
        <v>0</v>
      </c>
      <c r="H22" s="12"/>
      <c r="I22"/>
      <c r="J22" s="93"/>
    </row>
    <row r="23" spans="2:10" x14ac:dyDescent="0.3">
      <c r="B23" s="95" t="str">
        <f>IF(Lists!F16="","",Lists!F16)</f>
        <v/>
      </c>
      <c r="C23" s="109">
        <f>SUMIFS('P-EST-Valves'!H:H,P_ValveName,Valves[[#This Row],[Column1]])</f>
        <v>0</v>
      </c>
      <c r="D23" s="115">
        <f>SUMIFS('P-EST-Valves'!J:J,P_ValveName,Valves[[#This Row],[Column1]])</f>
        <v>0</v>
      </c>
      <c r="E23" s="85" t="str">
        <f t="shared" si="0"/>
        <v/>
      </c>
      <c r="F23" s="119">
        <f>SUMIFS('P-EST-Valves'!K:K,P_ValveName,Valves[[#This Row],[Column1]])</f>
        <v>0</v>
      </c>
      <c r="H23" s="12"/>
      <c r="I23"/>
      <c r="J23" s="93"/>
    </row>
    <row r="24" spans="2:10" x14ac:dyDescent="0.3">
      <c r="B24" s="95" t="str">
        <f>IF(Lists!F17="","",Lists!F17)</f>
        <v/>
      </c>
      <c r="C24" s="109">
        <f>SUMIFS('P-EST-Valves'!H:H,P_ValveName,Valves[[#This Row],[Column1]])</f>
        <v>0</v>
      </c>
      <c r="D24" s="115">
        <f>SUMIFS('P-EST-Valves'!J:J,P_ValveName,Valves[[#This Row],[Column1]])</f>
        <v>0</v>
      </c>
      <c r="E24" s="85" t="str">
        <f t="shared" si="0"/>
        <v/>
      </c>
      <c r="F24" s="119">
        <f>SUMIFS('P-EST-Valves'!K:K,P_ValveName,Valves[[#This Row],[Column1]])</f>
        <v>0</v>
      </c>
      <c r="H24" s="12"/>
      <c r="I24"/>
      <c r="J24" s="93"/>
    </row>
    <row r="25" spans="2:10" x14ac:dyDescent="0.3">
      <c r="B25" s="95" t="str">
        <f>IF(Lists!F18="","",Lists!F18)</f>
        <v/>
      </c>
      <c r="C25" s="109">
        <f>SUMIFS('P-EST-Valves'!H:H,P_ValveName,Valves[[#This Row],[Column1]])</f>
        <v>0</v>
      </c>
      <c r="D25" s="115">
        <f>SUMIFS('P-EST-Valves'!J:J,P_ValveName,Valves[[#This Row],[Column1]])</f>
        <v>0</v>
      </c>
      <c r="E25" s="85" t="str">
        <f t="shared" si="0"/>
        <v/>
      </c>
      <c r="F25" s="119">
        <f>SUMIFS('P-EST-Valves'!K:K,P_ValveName,Valves[[#This Row],[Column1]])</f>
        <v>0</v>
      </c>
      <c r="H25" s="12"/>
      <c r="I25"/>
      <c r="J25" s="93"/>
    </row>
    <row r="26" spans="2:10" x14ac:dyDescent="0.3">
      <c r="B26" s="95" t="str">
        <f>IF(Lists!F19="","",Lists!F19)</f>
        <v/>
      </c>
      <c r="C26" s="109">
        <f>SUMIFS('P-EST-Valves'!H:H,P_ValveName,Valves[[#This Row],[Column1]])</f>
        <v>0</v>
      </c>
      <c r="D26" s="115">
        <f>SUMIFS('P-EST-Valves'!J:J,P_ValveName,Valves[[#This Row],[Column1]])</f>
        <v>0</v>
      </c>
      <c r="E26" s="85" t="str">
        <f t="shared" si="0"/>
        <v/>
      </c>
      <c r="F26" s="119">
        <f>SUMIFS('P-EST-Valves'!K:K,P_ValveName,Valves[[#This Row],[Column1]])</f>
        <v>0</v>
      </c>
      <c r="H26" s="12"/>
      <c r="I26"/>
      <c r="J26" s="93"/>
    </row>
    <row r="27" spans="2:10" x14ac:dyDescent="0.3">
      <c r="B27" s="95" t="str">
        <f>IF(Lists!F20="","",Lists!F20)</f>
        <v/>
      </c>
      <c r="C27" s="109">
        <f>SUMIFS('P-EST-Valves'!H:H,P_ValveName,Valves[[#This Row],[Column1]])</f>
        <v>0</v>
      </c>
      <c r="D27" s="115">
        <f>SUMIFS('P-EST-Valves'!J:J,P_ValveName,Valves[[#This Row],[Column1]])</f>
        <v>0</v>
      </c>
      <c r="E27" s="85" t="str">
        <f t="shared" si="0"/>
        <v/>
      </c>
      <c r="F27" s="119">
        <f>SUMIFS('P-EST-Valves'!K:K,P_ValveName,Valves[[#This Row],[Column1]])</f>
        <v>0</v>
      </c>
      <c r="H27" s="12"/>
      <c r="I27"/>
      <c r="J27" s="93"/>
    </row>
    <row r="28" spans="2:10" x14ac:dyDescent="0.3">
      <c r="B28" s="95" t="str">
        <f>IF(Lists!F21="","",Lists!F21)</f>
        <v/>
      </c>
      <c r="C28" s="109">
        <f>SUMIFS('P-EST-Valves'!H:H,P_ValveName,Valves[[#This Row],[Column1]])</f>
        <v>0</v>
      </c>
      <c r="D28" s="115">
        <f>SUMIFS('P-EST-Valves'!J:J,P_ValveName,Valves[[#This Row],[Column1]])</f>
        <v>0</v>
      </c>
      <c r="E28" s="85" t="str">
        <f t="shared" si="0"/>
        <v/>
      </c>
      <c r="F28" s="119">
        <f>SUMIFS('P-EST-Valves'!K:K,P_ValveName,Valves[[#This Row],[Column1]])</f>
        <v>0</v>
      </c>
      <c r="H28" s="12"/>
      <c r="I28"/>
      <c r="J28" s="93"/>
    </row>
    <row r="29" spans="2:10" x14ac:dyDescent="0.3">
      <c r="B29" s="95" t="str">
        <f>IF(Lists!F22="","",Lists!F22)</f>
        <v/>
      </c>
      <c r="C29" s="109">
        <f>SUMIFS('P-EST-Valves'!H:H,P_ValveName,Valves[[#This Row],[Column1]])</f>
        <v>0</v>
      </c>
      <c r="D29" s="115">
        <f>SUMIFS('P-EST-Valves'!J:J,P_ValveName,Valves[[#This Row],[Column1]])</f>
        <v>0</v>
      </c>
      <c r="E29" s="85" t="str">
        <f t="shared" si="0"/>
        <v/>
      </c>
      <c r="F29" s="119">
        <f>SUMIFS('P-EST-Valves'!K:K,P_ValveName,Valves[[#This Row],[Column1]])</f>
        <v>0</v>
      </c>
      <c r="H29" s="12"/>
      <c r="I29"/>
      <c r="J29" s="93"/>
    </row>
    <row r="30" spans="2:10" x14ac:dyDescent="0.3">
      <c r="B30" s="95" t="str">
        <f>IF(Lists!F23="","",Lists!F23)</f>
        <v/>
      </c>
      <c r="C30" s="109">
        <f>SUMIFS('P-EST-Valves'!H:H,P_ValveName,Valves[[#This Row],[Column1]])</f>
        <v>0</v>
      </c>
      <c r="D30" s="115">
        <f>SUMIFS('P-EST-Valves'!J:J,P_ValveName,Valves[[#This Row],[Column1]])</f>
        <v>0</v>
      </c>
      <c r="E30" s="85" t="str">
        <f t="shared" si="0"/>
        <v/>
      </c>
      <c r="F30" s="119">
        <f>SUMIFS('P-EST-Valves'!K:K,P_ValveName,Valves[[#This Row],[Column1]])</f>
        <v>0</v>
      </c>
      <c r="H30" s="12"/>
      <c r="I30"/>
      <c r="J30" s="93"/>
    </row>
    <row r="31" spans="2:10" x14ac:dyDescent="0.3">
      <c r="B31" s="95" t="str">
        <f>IF(Lists!F24="","",Lists!F24)</f>
        <v/>
      </c>
      <c r="C31" s="109">
        <f>SUMIFS('P-EST-Valves'!H:H,P_ValveName,Valves[[#This Row],[Column1]])</f>
        <v>0</v>
      </c>
      <c r="D31" s="115">
        <f>SUMIFS('P-EST-Valves'!J:J,P_ValveName,Valves[[#This Row],[Column1]])</f>
        <v>0</v>
      </c>
      <c r="E31" s="85" t="str">
        <f t="shared" si="0"/>
        <v/>
      </c>
      <c r="F31" s="119">
        <f>SUMIFS('P-EST-Valves'!K:K,P_ValveName,Valves[[#This Row],[Column1]])</f>
        <v>0</v>
      </c>
      <c r="H31" s="12"/>
      <c r="I31"/>
      <c r="J31" s="93"/>
    </row>
    <row r="32" spans="2:10" x14ac:dyDescent="0.3">
      <c r="B32" s="95" t="str">
        <f>IF(Lists!F25="","",Lists!F25)</f>
        <v/>
      </c>
      <c r="C32" s="109">
        <f>SUMIFS('P-EST-Valves'!H:H,P_ValveName,Valves[[#This Row],[Column1]])</f>
        <v>0</v>
      </c>
      <c r="D32" s="115">
        <f>SUMIFS('P-EST-Valves'!J:J,P_ValveName,Valves[[#This Row],[Column1]])</f>
        <v>0</v>
      </c>
      <c r="E32" s="85" t="str">
        <f t="shared" si="0"/>
        <v/>
      </c>
      <c r="F32" s="119">
        <f>SUMIFS('P-EST-Valves'!K:K,P_ValveName,Valves[[#This Row],[Column1]])</f>
        <v>0</v>
      </c>
      <c r="H32" s="17"/>
      <c r="I32"/>
      <c r="J32" s="93"/>
    </row>
    <row r="33" spans="2:10" x14ac:dyDescent="0.3">
      <c r="B33" s="137" t="str">
        <f>IF(SUM(I9:I10)&gt;2,"Total w/Multiplier","Total")</f>
        <v>Total</v>
      </c>
      <c r="C33" s="118">
        <f>SUBTOTAL(109,Valves[Column2])</f>
        <v>0</v>
      </c>
      <c r="D33" s="117">
        <f>SUBTOTAL(109,Valves[Etime])*I9</f>
        <v>0</v>
      </c>
      <c r="E33" s="100" t="str">
        <f>IF(D33=0,"","hrs")</f>
        <v/>
      </c>
      <c r="F33" s="32">
        <f>SUBTOTAL(109,Valves[Cost])*I10</f>
        <v>0</v>
      </c>
      <c r="J33" s="93"/>
    </row>
  </sheetData>
  <sheetProtection selectLockedCells="1"/>
  <conditionalFormatting sqref="B33">
    <cfRule type="expression" dxfId="4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J202"/>
  <sheetViews>
    <sheetView showGridLines="0" workbookViewId="0">
      <selection activeCell="F1" sqref="F1:F1048576"/>
    </sheetView>
  </sheetViews>
  <sheetFormatPr defaultRowHeight="14.4" x14ac:dyDescent="0.3"/>
  <cols>
    <col min="1" max="1" width="9.109375" customWidth="1"/>
    <col min="2" max="2" width="40.6640625" customWidth="1"/>
    <col min="3" max="3" width="9.6640625" style="13" customWidth="1"/>
    <col min="4" max="5" width="8.6640625" style="13" customWidth="1"/>
    <col min="6" max="6" width="15.6640625" customWidth="1"/>
    <col min="7" max="7" width="5.6640625" customWidth="1"/>
    <col min="8" max="8" width="10.6640625" style="30" customWidth="1"/>
    <col min="9" max="9" width="6.6640625" style="24" customWidth="1"/>
    <col min="10" max="10" width="8.6640625" style="18" customWidth="1"/>
    <col min="12" max="12" width="18.33203125" customWidth="1"/>
  </cols>
  <sheetData>
    <row r="1" spans="2:10" ht="6" customHeight="1" x14ac:dyDescent="0.3"/>
    <row r="2" spans="2:10" ht="39" customHeight="1" thickBot="1" x14ac:dyDescent="0.45">
      <c r="B2" s="2" t="s">
        <v>141</v>
      </c>
      <c r="C2" s="56"/>
      <c r="D2" s="56"/>
      <c r="E2" s="56"/>
      <c r="F2" s="2"/>
      <c r="G2" s="2"/>
      <c r="H2" s="25"/>
      <c r="I2" s="28"/>
      <c r="J2" s="28"/>
    </row>
    <row r="3" spans="2:10" ht="9" customHeight="1" thickTop="1" x14ac:dyDescent="0.3">
      <c r="H3" s="24"/>
      <c r="I3" s="18"/>
      <c r="J3"/>
    </row>
    <row r="4" spans="2:10" x14ac:dyDescent="0.3">
      <c r="B4" s="3" t="str">
        <f>IF(ProjectName="","",ProjectName)</f>
        <v/>
      </c>
      <c r="C4" s="111"/>
      <c r="D4" s="111"/>
      <c r="E4" s="111"/>
      <c r="H4" s="5" t="s">
        <v>10</v>
      </c>
      <c r="I4" s="92" t="str">
        <f>IF(EstimatorName="","",EstimatorName)</f>
        <v/>
      </c>
      <c r="J4"/>
    </row>
    <row r="5" spans="2:10" ht="15" customHeight="1" x14ac:dyDescent="0.3">
      <c r="B5" s="7" t="str">
        <f>IF(ProjectAddress="","",ProjectAddress)</f>
        <v/>
      </c>
      <c r="C5" s="112"/>
      <c r="D5" s="112"/>
      <c r="E5" s="112"/>
      <c r="H5" s="5" t="s">
        <v>11</v>
      </c>
      <c r="I5" s="92" t="str">
        <f>IF(EstimateNo="","",EstimateNo)</f>
        <v/>
      </c>
      <c r="J5"/>
    </row>
    <row r="7" spans="2:10" ht="23.4" x14ac:dyDescent="0.45">
      <c r="B7" s="6" t="s">
        <v>4</v>
      </c>
      <c r="C7" s="113"/>
      <c r="D7" s="113"/>
      <c r="E7" s="113"/>
      <c r="F7" s="18"/>
      <c r="H7"/>
      <c r="I7"/>
      <c r="J7"/>
    </row>
    <row r="8" spans="2:10" ht="18" x14ac:dyDescent="0.35">
      <c r="B8" s="10" t="s">
        <v>31</v>
      </c>
      <c r="C8" s="114" t="s">
        <v>66</v>
      </c>
      <c r="D8" s="99" t="s">
        <v>37</v>
      </c>
      <c r="E8" s="99"/>
      <c r="F8" s="120" t="s">
        <v>138</v>
      </c>
      <c r="H8" s="102" t="s">
        <v>68</v>
      </c>
      <c r="I8" s="103"/>
      <c r="J8"/>
    </row>
    <row r="9" spans="2:10" x14ac:dyDescent="0.3">
      <c r="B9" t="str">
        <f>IF(Lists!D2="","",Lists!D2)</f>
        <v/>
      </c>
      <c r="C9" s="118">
        <f>SUMIFS('P-EST-Accessories'!H:H,P_AccessoryName,Accessories!B9)</f>
        <v>0</v>
      </c>
      <c r="D9" s="115">
        <f>SUMIFS('P-EST-Accessories'!H:H,P_AccessoryName,Accessories!B9)</f>
        <v>0</v>
      </c>
      <c r="E9" s="85" t="str">
        <f t="shared" ref="E9:E35" si="0">IF(D9=0,"","hrs")</f>
        <v/>
      </c>
      <c r="F9" s="116">
        <f>SUMIFS('P-EST-Accessories'!H:H,P_AccessoryName,Accessories!B9)</f>
        <v>0</v>
      </c>
      <c r="H9" s="104" t="s">
        <v>21</v>
      </c>
      <c r="I9" s="184">
        <v>1</v>
      </c>
      <c r="J9"/>
    </row>
    <row r="10" spans="2:10" x14ac:dyDescent="0.3">
      <c r="B10" t="str">
        <f>IF(Lists!D3="","",Lists!D3)</f>
        <v/>
      </c>
      <c r="C10" s="118">
        <f>SUMIFS('P-EST-Accessories'!H:H,P_AccessoryName,Accessories!B10)</f>
        <v>0</v>
      </c>
      <c r="D10" s="115">
        <f>SUMIFS('P-EST-Accessories'!H:H,P_AccessoryName,Accessories!B10)</f>
        <v>0</v>
      </c>
      <c r="E10" s="85" t="str">
        <f t="shared" si="0"/>
        <v/>
      </c>
      <c r="F10" s="116">
        <f>SUMIFS('P-EST-Accessories'!H:H,P_AccessoryName,Accessories!B10)</f>
        <v>0</v>
      </c>
      <c r="H10" s="105" t="s">
        <v>29</v>
      </c>
      <c r="I10" s="185">
        <v>1</v>
      </c>
      <c r="J10"/>
    </row>
    <row r="11" spans="2:10" x14ac:dyDescent="0.3">
      <c r="B11" t="str">
        <f>IF(Lists!D4="","",Lists!D4)</f>
        <v/>
      </c>
      <c r="C11" s="118">
        <f>SUMIFS('P-EST-Accessories'!H:H,P_AccessoryName,Accessories!B11)</f>
        <v>0</v>
      </c>
      <c r="D11" s="115">
        <f>SUMIFS('P-EST-Accessories'!H:H,P_AccessoryName,Accessories!B11)</f>
        <v>0</v>
      </c>
      <c r="E11" s="85" t="str">
        <f t="shared" si="0"/>
        <v/>
      </c>
      <c r="F11" s="116">
        <f>SUMIFS('P-EST-Accessories'!H:H,P_AccessoryName,Accessories!B11)</f>
        <v>0</v>
      </c>
      <c r="H11"/>
      <c r="I11"/>
      <c r="J11"/>
    </row>
    <row r="12" spans="2:10" x14ac:dyDescent="0.3">
      <c r="B12" t="str">
        <f>IF(Lists!D5="","",Lists!D5)</f>
        <v/>
      </c>
      <c r="C12" s="118">
        <f>SUMIFS('P-EST-Accessories'!H:H,P_AccessoryName,Accessories!B12)</f>
        <v>0</v>
      </c>
      <c r="D12" s="115">
        <f>SUMIFS('P-EST-Accessories'!H:H,P_AccessoryName,Accessories!B12)</f>
        <v>0</v>
      </c>
      <c r="E12" s="85" t="str">
        <f t="shared" si="0"/>
        <v/>
      </c>
      <c r="F12" s="116">
        <f>SUMIFS('P-EST-Accessories'!H:H,P_AccessoryName,Accessories!B12)</f>
        <v>0</v>
      </c>
      <c r="H12"/>
      <c r="I12"/>
      <c r="J12"/>
    </row>
    <row r="13" spans="2:10" x14ac:dyDescent="0.3">
      <c r="B13" t="str">
        <f>IF(Lists!D6="","",Lists!D6)</f>
        <v/>
      </c>
      <c r="C13" s="118">
        <f>SUMIFS('P-EST-Accessories'!H:H,P_AccessoryName,Accessories!B13)</f>
        <v>0</v>
      </c>
      <c r="D13" s="115">
        <f>SUMIFS('P-EST-Accessories'!H:H,P_AccessoryName,Accessories!B13)</f>
        <v>0</v>
      </c>
      <c r="E13" s="85" t="str">
        <f t="shared" si="0"/>
        <v/>
      </c>
      <c r="F13" s="116">
        <f>SUMIFS('P-EST-Accessories'!H:H,P_AccessoryName,Accessories!B13)</f>
        <v>0</v>
      </c>
      <c r="H13"/>
      <c r="I13"/>
      <c r="J13"/>
    </row>
    <row r="14" spans="2:10" x14ac:dyDescent="0.3">
      <c r="B14" t="str">
        <f>IF(Lists!D7="","",Lists!D7)</f>
        <v/>
      </c>
      <c r="C14" s="118">
        <f>SUMIFS('P-EST-Accessories'!H:H,P_AccessoryName,Accessories!B14)</f>
        <v>0</v>
      </c>
      <c r="D14" s="115">
        <f>SUMIFS('P-EST-Accessories'!H:H,P_AccessoryName,Accessories!B14)</f>
        <v>0</v>
      </c>
      <c r="E14" s="85" t="str">
        <f t="shared" si="0"/>
        <v/>
      </c>
      <c r="F14" s="116">
        <f>SUMIFS('P-EST-Accessories'!H:H,P_AccessoryName,Accessories!B14)</f>
        <v>0</v>
      </c>
      <c r="H14"/>
      <c r="I14"/>
      <c r="J14"/>
    </row>
    <row r="15" spans="2:10" x14ac:dyDescent="0.3">
      <c r="B15" t="str">
        <f>IF(Lists!D8="","",Lists!D8)</f>
        <v/>
      </c>
      <c r="C15" s="118">
        <f>SUMIFS('P-EST-Accessories'!H:H,P_AccessoryName,Accessories!B15)</f>
        <v>0</v>
      </c>
      <c r="D15" s="115">
        <f>SUMIFS('P-EST-Accessories'!H:H,P_AccessoryName,Accessories!B15)</f>
        <v>0</v>
      </c>
      <c r="E15" s="85" t="str">
        <f t="shared" si="0"/>
        <v/>
      </c>
      <c r="F15" s="116">
        <f>SUMIFS('P-EST-Accessories'!H:H,P_AccessoryName,Accessories!B15)</f>
        <v>0</v>
      </c>
      <c r="H15"/>
      <c r="I15"/>
      <c r="J15"/>
    </row>
    <row r="16" spans="2:10" x14ac:dyDescent="0.3">
      <c r="B16" t="str">
        <f>IF(Lists!D9="","",Lists!D9)</f>
        <v/>
      </c>
      <c r="C16" s="118">
        <f>SUMIFS('P-EST-Accessories'!H:H,P_AccessoryName,Accessories!B16)</f>
        <v>0</v>
      </c>
      <c r="D16" s="115">
        <f>SUMIFS('P-EST-Accessories'!H:H,P_AccessoryName,Accessories!B16)</f>
        <v>0</v>
      </c>
      <c r="E16" s="85" t="str">
        <f t="shared" si="0"/>
        <v/>
      </c>
      <c r="F16" s="116">
        <f>SUMIFS('P-EST-Accessories'!H:H,P_AccessoryName,Accessories!B16)</f>
        <v>0</v>
      </c>
      <c r="H16"/>
      <c r="I16"/>
      <c r="J16"/>
    </row>
    <row r="17" spans="2:10" x14ac:dyDescent="0.3">
      <c r="B17" t="str">
        <f>IF(Lists!D10="","",Lists!D10)</f>
        <v/>
      </c>
      <c r="C17" s="118">
        <f>SUMIFS('P-EST-Accessories'!H:H,P_AccessoryName,Accessories!B17)</f>
        <v>0</v>
      </c>
      <c r="D17" s="115">
        <f>SUMIFS('P-EST-Accessories'!H:H,P_AccessoryName,Accessories!B17)</f>
        <v>0</v>
      </c>
      <c r="E17" s="85" t="str">
        <f t="shared" si="0"/>
        <v/>
      </c>
      <c r="F17" s="116">
        <f>SUMIFS('P-EST-Accessories'!H:H,P_AccessoryName,Accessories!B17)</f>
        <v>0</v>
      </c>
      <c r="H17"/>
      <c r="I17"/>
      <c r="J17"/>
    </row>
    <row r="18" spans="2:10" x14ac:dyDescent="0.3">
      <c r="B18" t="str">
        <f>IF(Lists!D11="","",Lists!D11)</f>
        <v/>
      </c>
      <c r="C18" s="118">
        <f>SUMIFS('P-EST-Accessories'!H:H,P_AccessoryName,Accessories!B18)</f>
        <v>0</v>
      </c>
      <c r="D18" s="115">
        <f>SUMIFS('P-EST-Accessories'!H:H,P_AccessoryName,Accessories!B18)</f>
        <v>0</v>
      </c>
      <c r="E18" s="85" t="str">
        <f t="shared" si="0"/>
        <v/>
      </c>
      <c r="F18" s="116">
        <f>SUMIFS('P-EST-Accessories'!H:H,P_AccessoryName,Accessories!B18)</f>
        <v>0</v>
      </c>
      <c r="H18"/>
      <c r="I18"/>
      <c r="J18"/>
    </row>
    <row r="19" spans="2:10" x14ac:dyDescent="0.3">
      <c r="B19" t="str">
        <f>IF(Lists!D12="","",Lists!D12)</f>
        <v/>
      </c>
      <c r="C19" s="118">
        <f>SUMIFS('P-EST-Accessories'!H:H,P_AccessoryName,Accessories!B19)</f>
        <v>0</v>
      </c>
      <c r="D19" s="115">
        <f>SUMIFS('P-EST-Accessories'!H:H,P_AccessoryName,Accessories!B19)</f>
        <v>0</v>
      </c>
      <c r="E19" s="85" t="str">
        <f t="shared" si="0"/>
        <v/>
      </c>
      <c r="F19" s="116">
        <f>SUMIFS('P-EST-Accessories'!H:H,P_AccessoryName,Accessories!B19)</f>
        <v>0</v>
      </c>
      <c r="H19"/>
      <c r="I19"/>
      <c r="J19"/>
    </row>
    <row r="20" spans="2:10" x14ac:dyDescent="0.3">
      <c r="B20" t="str">
        <f>IF(Lists!D13="","",Lists!D13)</f>
        <v/>
      </c>
      <c r="C20" s="118">
        <f>SUMIFS('P-EST-Accessories'!H:H,P_AccessoryName,Accessories!B20)</f>
        <v>0</v>
      </c>
      <c r="D20" s="115">
        <f>SUMIFS('P-EST-Accessories'!H:H,P_AccessoryName,Accessories!B20)</f>
        <v>0</v>
      </c>
      <c r="E20" s="85" t="str">
        <f t="shared" si="0"/>
        <v/>
      </c>
      <c r="F20" s="116">
        <f>SUMIFS('P-EST-Accessories'!H:H,P_AccessoryName,Accessories!B20)</f>
        <v>0</v>
      </c>
      <c r="H20"/>
      <c r="I20"/>
      <c r="J20"/>
    </row>
    <row r="21" spans="2:10" x14ac:dyDescent="0.3">
      <c r="B21" t="str">
        <f>IF(Lists!D14="","",Lists!D14)</f>
        <v/>
      </c>
      <c r="C21" s="118">
        <f>SUMIFS('P-EST-Accessories'!H:H,P_AccessoryName,Accessories!B21)</f>
        <v>0</v>
      </c>
      <c r="D21" s="115">
        <f>SUMIFS('P-EST-Accessories'!H:H,P_AccessoryName,Accessories!B21)</f>
        <v>0</v>
      </c>
      <c r="E21" s="85" t="str">
        <f t="shared" si="0"/>
        <v/>
      </c>
      <c r="F21" s="116">
        <f>SUMIFS('P-EST-Accessories'!H:H,P_AccessoryName,Accessories!B21)</f>
        <v>0</v>
      </c>
      <c r="H21"/>
      <c r="I21"/>
      <c r="J21"/>
    </row>
    <row r="22" spans="2:10" x14ac:dyDescent="0.3">
      <c r="B22" t="str">
        <f>IF(Lists!D15="","",Lists!D15)</f>
        <v/>
      </c>
      <c r="C22" s="118">
        <f>SUMIFS('P-EST-Accessories'!H:H,P_AccessoryName,Accessories!B22)</f>
        <v>0</v>
      </c>
      <c r="D22" s="115">
        <f>SUMIFS('P-EST-Accessories'!H:H,P_AccessoryName,Accessories!B22)</f>
        <v>0</v>
      </c>
      <c r="E22" s="85" t="str">
        <f t="shared" si="0"/>
        <v/>
      </c>
      <c r="F22" s="116">
        <f>SUMIFS('P-EST-Accessories'!H:H,P_AccessoryName,Accessories!B22)</f>
        <v>0</v>
      </c>
      <c r="H22"/>
      <c r="I22"/>
      <c r="J22"/>
    </row>
    <row r="23" spans="2:10" x14ac:dyDescent="0.3">
      <c r="B23" t="str">
        <f>IF(Lists!D16="","",Lists!D16)</f>
        <v/>
      </c>
      <c r="C23" s="118">
        <f>SUMIFS('P-EST-Accessories'!H:H,P_AccessoryName,Accessories!B23)</f>
        <v>0</v>
      </c>
      <c r="D23" s="115">
        <f>SUMIFS('P-EST-Accessories'!H:H,P_AccessoryName,Accessories!B23)</f>
        <v>0</v>
      </c>
      <c r="E23" s="85" t="str">
        <f t="shared" si="0"/>
        <v/>
      </c>
      <c r="F23" s="116">
        <f>SUMIFS('P-EST-Accessories'!H:H,P_AccessoryName,Accessories!B23)</f>
        <v>0</v>
      </c>
      <c r="H23"/>
      <c r="I23"/>
      <c r="J23"/>
    </row>
    <row r="24" spans="2:10" x14ac:dyDescent="0.3">
      <c r="B24" t="str">
        <f>IF(Lists!D17="","",Lists!D17)</f>
        <v/>
      </c>
      <c r="C24" s="118">
        <f>SUMIFS('P-EST-Accessories'!H:H,P_AccessoryName,Accessories!B24)</f>
        <v>0</v>
      </c>
      <c r="D24" s="115">
        <f>SUMIFS('P-EST-Accessories'!H:H,P_AccessoryName,Accessories!B24)</f>
        <v>0</v>
      </c>
      <c r="E24" s="85" t="str">
        <f t="shared" si="0"/>
        <v/>
      </c>
      <c r="F24" s="116">
        <f>SUMIFS('P-EST-Accessories'!H:H,P_AccessoryName,Accessories!B24)</f>
        <v>0</v>
      </c>
      <c r="H24"/>
      <c r="I24"/>
      <c r="J24"/>
    </row>
    <row r="25" spans="2:10" x14ac:dyDescent="0.3">
      <c r="B25" t="str">
        <f>IF(Lists!D18="","",Lists!D18)</f>
        <v/>
      </c>
      <c r="C25" s="118">
        <f>SUMIFS('P-EST-Accessories'!H:H,P_AccessoryName,Accessories!B25)</f>
        <v>0</v>
      </c>
      <c r="D25" s="115">
        <f>SUMIFS('P-EST-Accessories'!H:H,P_AccessoryName,Accessories!B25)</f>
        <v>0</v>
      </c>
      <c r="E25" s="85" t="str">
        <f t="shared" si="0"/>
        <v/>
      </c>
      <c r="F25" s="116">
        <f>SUMIFS('P-EST-Accessories'!H:H,P_AccessoryName,Accessories!B25)</f>
        <v>0</v>
      </c>
      <c r="H25"/>
      <c r="I25"/>
      <c r="J25"/>
    </row>
    <row r="26" spans="2:10" x14ac:dyDescent="0.3">
      <c r="B26" t="str">
        <f>IF(Lists!D19="","",Lists!D19)</f>
        <v/>
      </c>
      <c r="C26" s="118">
        <f>SUMIFS('P-EST-Accessories'!H:H,P_AccessoryName,Accessories!B26)</f>
        <v>0</v>
      </c>
      <c r="D26" s="115">
        <f>SUMIFS('P-EST-Accessories'!H:H,P_AccessoryName,Accessories!B26)</f>
        <v>0</v>
      </c>
      <c r="E26" s="85" t="str">
        <f t="shared" si="0"/>
        <v/>
      </c>
      <c r="F26" s="116">
        <f>SUMIFS('P-EST-Accessories'!H:H,P_AccessoryName,Accessories!B26)</f>
        <v>0</v>
      </c>
      <c r="H26"/>
      <c r="I26"/>
      <c r="J26"/>
    </row>
    <row r="27" spans="2:10" x14ac:dyDescent="0.3">
      <c r="B27" t="str">
        <f>IF(Lists!D20="","",Lists!D20)</f>
        <v/>
      </c>
      <c r="C27" s="118">
        <f>SUMIFS('P-EST-Accessories'!H:H,P_AccessoryName,Accessories!B27)</f>
        <v>0</v>
      </c>
      <c r="D27" s="115">
        <f>SUMIFS('P-EST-Accessories'!H:H,P_AccessoryName,Accessories!B27)</f>
        <v>0</v>
      </c>
      <c r="E27" s="85" t="str">
        <f t="shared" si="0"/>
        <v/>
      </c>
      <c r="F27" s="116">
        <f>SUMIFS('P-EST-Accessories'!H:H,P_AccessoryName,Accessories!B27)</f>
        <v>0</v>
      </c>
      <c r="H27"/>
      <c r="I27"/>
      <c r="J27"/>
    </row>
    <row r="28" spans="2:10" x14ac:dyDescent="0.3">
      <c r="B28" t="str">
        <f>IF(Lists!D21="","",Lists!D21)</f>
        <v/>
      </c>
      <c r="C28" s="118">
        <f>SUMIFS('P-EST-Accessories'!H:H,P_AccessoryName,Accessories!B28)</f>
        <v>0</v>
      </c>
      <c r="D28" s="115">
        <f>SUMIFS('P-EST-Accessories'!H:H,P_AccessoryName,Accessories!B28)</f>
        <v>0</v>
      </c>
      <c r="E28" s="85" t="str">
        <f t="shared" si="0"/>
        <v/>
      </c>
      <c r="F28" s="116">
        <f>SUMIFS('P-EST-Accessories'!H:H,P_AccessoryName,Accessories!B28)</f>
        <v>0</v>
      </c>
      <c r="H28"/>
      <c r="I28"/>
      <c r="J28"/>
    </row>
    <row r="29" spans="2:10" x14ac:dyDescent="0.3">
      <c r="B29" t="str">
        <f>IF(Lists!D22="","",Lists!D22)</f>
        <v/>
      </c>
      <c r="C29" s="118">
        <f>SUMIFS('P-EST-Accessories'!H:H,P_AccessoryName,Accessories!B29)</f>
        <v>0</v>
      </c>
      <c r="D29" s="115">
        <f>SUMIFS('P-EST-Accessories'!H:H,P_AccessoryName,Accessories!B29)</f>
        <v>0</v>
      </c>
      <c r="E29" s="85" t="str">
        <f t="shared" si="0"/>
        <v/>
      </c>
      <c r="F29" s="116">
        <f>SUMIFS('P-EST-Accessories'!H:H,P_AccessoryName,Accessories!B29)</f>
        <v>0</v>
      </c>
      <c r="H29"/>
      <c r="I29"/>
      <c r="J29"/>
    </row>
    <row r="30" spans="2:10" x14ac:dyDescent="0.3">
      <c r="B30" t="str">
        <f>IF(Lists!D23="","",Lists!D23)</f>
        <v/>
      </c>
      <c r="C30" s="118">
        <f>SUMIFS('P-EST-Accessories'!H:H,P_AccessoryName,Accessories!B30)</f>
        <v>0</v>
      </c>
      <c r="D30" s="115">
        <f>SUMIFS('P-EST-Accessories'!H:H,P_AccessoryName,Accessories!B30)</f>
        <v>0</v>
      </c>
      <c r="E30" s="85" t="str">
        <f t="shared" si="0"/>
        <v/>
      </c>
      <c r="F30" s="116">
        <f>SUMIFS('P-EST-Accessories'!H:H,P_AccessoryName,Accessories!B30)</f>
        <v>0</v>
      </c>
      <c r="H30"/>
      <c r="I30"/>
      <c r="J30"/>
    </row>
    <row r="31" spans="2:10" x14ac:dyDescent="0.3">
      <c r="B31" t="str">
        <f>IF(Lists!D24="","",Lists!D24)</f>
        <v/>
      </c>
      <c r="C31" s="118">
        <f>SUMIFS('P-EST-Accessories'!H:H,P_AccessoryName,Accessories!B31)</f>
        <v>0</v>
      </c>
      <c r="D31" s="115">
        <f>SUMIFS('P-EST-Accessories'!H:H,P_AccessoryName,Accessories!B31)</f>
        <v>0</v>
      </c>
      <c r="E31" s="85" t="str">
        <f t="shared" si="0"/>
        <v/>
      </c>
      <c r="F31" s="116">
        <f>SUMIFS('P-EST-Accessories'!H:H,P_AccessoryName,Accessories!B31)</f>
        <v>0</v>
      </c>
      <c r="H31"/>
      <c r="I31"/>
      <c r="J31"/>
    </row>
    <row r="32" spans="2:10" x14ac:dyDescent="0.3">
      <c r="B32" t="str">
        <f>IF(Lists!D25="","",Lists!D25)</f>
        <v/>
      </c>
      <c r="C32" s="118">
        <f>SUMIFS('P-EST-Accessories'!H:H,P_AccessoryName,Accessories!B32)</f>
        <v>0</v>
      </c>
      <c r="D32" s="115">
        <f>SUMIFS('P-EST-Accessories'!H:H,P_AccessoryName,Accessories!B32)</f>
        <v>0</v>
      </c>
      <c r="E32" s="85" t="str">
        <f t="shared" si="0"/>
        <v/>
      </c>
      <c r="F32" s="116">
        <f>SUMIFS('P-EST-Accessories'!H:H,P_AccessoryName,Accessories!B32)</f>
        <v>0</v>
      </c>
      <c r="H32"/>
      <c r="I32"/>
      <c r="J32"/>
    </row>
    <row r="33" spans="2:10" x14ac:dyDescent="0.3">
      <c r="B33" t="str">
        <f>IF(Lists!D26="","",Lists!D26)</f>
        <v/>
      </c>
      <c r="C33" s="118">
        <f>SUMIFS('P-EST-Accessories'!H:H,P_AccessoryName,Accessories!B33)</f>
        <v>0</v>
      </c>
      <c r="D33" s="115">
        <f>SUMIFS('P-EST-Accessories'!H:H,P_AccessoryName,Accessories!B33)</f>
        <v>0</v>
      </c>
      <c r="E33" s="85" t="str">
        <f t="shared" si="0"/>
        <v/>
      </c>
      <c r="F33" s="116">
        <f>SUMIFS('P-EST-Accessories'!H:H,P_AccessoryName,Accessories!B33)</f>
        <v>0</v>
      </c>
      <c r="H33"/>
      <c r="I33"/>
      <c r="J33"/>
    </row>
    <row r="34" spans="2:10" x14ac:dyDescent="0.3">
      <c r="B34" t="str">
        <f>IF(Lists!D27="","",Lists!D27)</f>
        <v/>
      </c>
      <c r="C34" s="118">
        <f>SUMIFS('P-EST-Accessories'!H:H,P_AccessoryName,Accessories!B34)</f>
        <v>0</v>
      </c>
      <c r="D34" s="115">
        <f>SUMIFS('P-EST-Accessories'!H:H,P_AccessoryName,Accessories!B34)</f>
        <v>0</v>
      </c>
      <c r="E34" s="85" t="str">
        <f t="shared" si="0"/>
        <v/>
      </c>
      <c r="F34" s="116">
        <f>SUMIFS('P-EST-Accessories'!H:H,P_AccessoryName,Accessories!B34)</f>
        <v>0</v>
      </c>
      <c r="H34"/>
      <c r="I34"/>
      <c r="J34"/>
    </row>
    <row r="35" spans="2:10" x14ac:dyDescent="0.3">
      <c r="B35" t="str">
        <f>IF(Lists!D28="","",Lists!D28)</f>
        <v/>
      </c>
      <c r="C35" s="118">
        <f>SUMIFS('P-EST-Accessories'!H:H,P_AccessoryName,Accessories!B35)</f>
        <v>0</v>
      </c>
      <c r="D35" s="115">
        <f>SUMIFS('P-EST-Accessories'!H:H,P_AccessoryName,Accessories!B35)</f>
        <v>0</v>
      </c>
      <c r="E35" s="85" t="str">
        <f t="shared" si="0"/>
        <v/>
      </c>
      <c r="F35" s="116">
        <f>SUMIFS('P-EST-Accessories'!H:H,P_AccessoryName,Accessories!B35)</f>
        <v>0</v>
      </c>
      <c r="H35"/>
      <c r="I35"/>
      <c r="J35"/>
    </row>
    <row r="36" spans="2:10" x14ac:dyDescent="0.3">
      <c r="B36" s="137" t="str">
        <f>IF(SUM(I9:I10)&gt;2,"Total w/Multiplier","Total")</f>
        <v>Total</v>
      </c>
      <c r="C36" s="178"/>
      <c r="D36" s="179">
        <f>SUBTOTAL(109,Accessories[Column7])*I9</f>
        <v>0</v>
      </c>
      <c r="E36" s="180" t="str">
        <f>IF(D36=0,"","hrs")</f>
        <v/>
      </c>
      <c r="F36" s="181">
        <f>SUBTOTAL(109,Accessories[Column4])*I10</f>
        <v>0</v>
      </c>
      <c r="H36"/>
      <c r="I36"/>
      <c r="J36"/>
    </row>
    <row r="37" spans="2:10" x14ac:dyDescent="0.3">
      <c r="F37" s="18"/>
      <c r="H37"/>
      <c r="I37"/>
      <c r="J37"/>
    </row>
    <row r="38" spans="2:10" x14ac:dyDescent="0.3">
      <c r="F38" s="18"/>
      <c r="H38"/>
      <c r="I38"/>
      <c r="J38"/>
    </row>
    <row r="39" spans="2:10" x14ac:dyDescent="0.3">
      <c r="F39" s="18"/>
      <c r="H39"/>
      <c r="I39"/>
      <c r="J39"/>
    </row>
    <row r="40" spans="2:10" x14ac:dyDescent="0.3">
      <c r="F40" s="18"/>
      <c r="H40"/>
      <c r="I40"/>
      <c r="J40"/>
    </row>
    <row r="41" spans="2:10" x14ac:dyDescent="0.3">
      <c r="F41" s="18"/>
      <c r="H41"/>
      <c r="I41"/>
      <c r="J41"/>
    </row>
    <row r="42" spans="2:10" x14ac:dyDescent="0.3">
      <c r="F42" s="18"/>
      <c r="H42"/>
      <c r="I42"/>
      <c r="J42"/>
    </row>
    <row r="43" spans="2:10" x14ac:dyDescent="0.3">
      <c r="F43" s="18"/>
      <c r="H43"/>
      <c r="I43"/>
      <c r="J43"/>
    </row>
    <row r="44" spans="2:10" x14ac:dyDescent="0.3">
      <c r="F44" s="18"/>
      <c r="H44"/>
      <c r="I44"/>
      <c r="J44"/>
    </row>
    <row r="45" spans="2:10" x14ac:dyDescent="0.3">
      <c r="F45" s="18"/>
      <c r="H45"/>
      <c r="I45"/>
      <c r="J45"/>
    </row>
    <row r="46" spans="2:10" x14ac:dyDescent="0.3">
      <c r="F46" s="18"/>
      <c r="H46"/>
      <c r="I46"/>
      <c r="J46"/>
    </row>
    <row r="47" spans="2:10" x14ac:dyDescent="0.3">
      <c r="F47" s="18"/>
      <c r="H47"/>
      <c r="I47"/>
      <c r="J47"/>
    </row>
    <row r="48" spans="2:10" x14ac:dyDescent="0.3">
      <c r="F48" s="18"/>
      <c r="H48"/>
      <c r="I48"/>
      <c r="J48"/>
    </row>
    <row r="49" spans="6:10" x14ac:dyDescent="0.3">
      <c r="F49" s="18"/>
      <c r="H49"/>
      <c r="I49"/>
      <c r="J49"/>
    </row>
    <row r="50" spans="6:10" x14ac:dyDescent="0.3">
      <c r="F50" s="18"/>
      <c r="H50"/>
      <c r="I50"/>
      <c r="J50"/>
    </row>
    <row r="51" spans="6:10" x14ac:dyDescent="0.3">
      <c r="F51" s="18"/>
      <c r="H51"/>
      <c r="I51"/>
      <c r="J51"/>
    </row>
    <row r="52" spans="6:10" x14ac:dyDescent="0.3">
      <c r="F52" s="18"/>
      <c r="H52"/>
      <c r="I52"/>
      <c r="J52"/>
    </row>
    <row r="53" spans="6:10" x14ac:dyDescent="0.3">
      <c r="F53" s="18"/>
      <c r="H53"/>
      <c r="I53"/>
      <c r="J53"/>
    </row>
    <row r="54" spans="6:10" x14ac:dyDescent="0.3">
      <c r="F54" s="18"/>
      <c r="H54"/>
      <c r="I54"/>
      <c r="J54"/>
    </row>
    <row r="55" spans="6:10" x14ac:dyDescent="0.3">
      <c r="F55" s="18"/>
      <c r="H55"/>
      <c r="I55"/>
      <c r="J55"/>
    </row>
    <row r="56" spans="6:10" x14ac:dyDescent="0.3">
      <c r="F56" s="24"/>
      <c r="G56" s="18"/>
      <c r="H56"/>
      <c r="I56"/>
      <c r="J56"/>
    </row>
    <row r="57" spans="6:10" x14ac:dyDescent="0.3">
      <c r="F57" s="24"/>
      <c r="G57" s="18"/>
      <c r="H57"/>
      <c r="I57"/>
      <c r="J57"/>
    </row>
    <row r="58" spans="6:10" x14ac:dyDescent="0.3">
      <c r="F58" s="24"/>
      <c r="G58" s="18"/>
      <c r="H58"/>
      <c r="I58"/>
      <c r="J58"/>
    </row>
    <row r="59" spans="6:10" x14ac:dyDescent="0.3">
      <c r="F59" s="24"/>
      <c r="G59" s="18"/>
      <c r="H59"/>
      <c r="I59"/>
      <c r="J59"/>
    </row>
    <row r="60" spans="6:10" x14ac:dyDescent="0.3">
      <c r="F60" s="24"/>
      <c r="G60" s="18"/>
      <c r="H60"/>
      <c r="I60"/>
      <c r="J60"/>
    </row>
    <row r="61" spans="6:10" x14ac:dyDescent="0.3">
      <c r="F61" s="24"/>
      <c r="G61" s="18"/>
      <c r="H61"/>
      <c r="I61"/>
      <c r="J61"/>
    </row>
    <row r="62" spans="6:10" x14ac:dyDescent="0.3">
      <c r="F62" s="24"/>
      <c r="G62" s="18"/>
      <c r="H62"/>
      <c r="I62"/>
      <c r="J62"/>
    </row>
    <row r="63" spans="6:10" x14ac:dyDescent="0.3">
      <c r="F63" s="24"/>
      <c r="G63" s="18"/>
      <c r="H63"/>
      <c r="I63"/>
      <c r="J63"/>
    </row>
    <row r="64" spans="6:10" x14ac:dyDescent="0.3">
      <c r="F64" s="24"/>
      <c r="G64" s="18"/>
      <c r="H64"/>
      <c r="I64"/>
      <c r="J64"/>
    </row>
    <row r="65" spans="6:10" x14ac:dyDescent="0.3">
      <c r="F65" s="24"/>
      <c r="G65" s="18"/>
      <c r="H65"/>
      <c r="I65"/>
      <c r="J65"/>
    </row>
    <row r="66" spans="6:10" x14ac:dyDescent="0.3">
      <c r="F66" s="24"/>
      <c r="G66" s="18"/>
      <c r="H66"/>
      <c r="I66"/>
      <c r="J66"/>
    </row>
    <row r="67" spans="6:10" x14ac:dyDescent="0.3">
      <c r="F67" s="24"/>
      <c r="G67" s="18"/>
      <c r="H67"/>
      <c r="I67"/>
      <c r="J67"/>
    </row>
    <row r="68" spans="6:10" x14ac:dyDescent="0.3">
      <c r="F68" s="24"/>
      <c r="G68" s="18"/>
      <c r="H68"/>
      <c r="I68"/>
      <c r="J68"/>
    </row>
    <row r="69" spans="6:10" x14ac:dyDescent="0.3">
      <c r="F69" s="24"/>
      <c r="G69" s="18"/>
      <c r="H69"/>
      <c r="I69"/>
      <c r="J69"/>
    </row>
    <row r="70" spans="6:10" x14ac:dyDescent="0.3">
      <c r="F70" s="24"/>
      <c r="G70" s="18"/>
      <c r="H70"/>
      <c r="I70"/>
      <c r="J70"/>
    </row>
    <row r="71" spans="6:10" x14ac:dyDescent="0.3">
      <c r="F71" s="24"/>
      <c r="G71" s="18"/>
      <c r="H71"/>
      <c r="I71"/>
      <c r="J71"/>
    </row>
    <row r="72" spans="6:10" x14ac:dyDescent="0.3">
      <c r="F72" s="24"/>
      <c r="G72" s="18"/>
      <c r="H72"/>
      <c r="I72"/>
      <c r="J72"/>
    </row>
    <row r="73" spans="6:10" x14ac:dyDescent="0.3">
      <c r="F73" s="24"/>
      <c r="G73" s="18"/>
      <c r="H73"/>
      <c r="I73"/>
      <c r="J73"/>
    </row>
    <row r="74" spans="6:10" x14ac:dyDescent="0.3">
      <c r="F74" s="24"/>
      <c r="G74" s="18"/>
      <c r="H74"/>
      <c r="I74"/>
      <c r="J74"/>
    </row>
    <row r="75" spans="6:10" x14ac:dyDescent="0.3">
      <c r="F75" s="24"/>
      <c r="G75" s="18"/>
      <c r="H75"/>
      <c r="I75"/>
      <c r="J75"/>
    </row>
    <row r="76" spans="6:10" x14ac:dyDescent="0.3">
      <c r="F76" s="24"/>
      <c r="G76" s="18"/>
      <c r="H76"/>
      <c r="I76"/>
      <c r="J76"/>
    </row>
    <row r="77" spans="6:10" x14ac:dyDescent="0.3">
      <c r="F77" s="24"/>
      <c r="G77" s="18"/>
      <c r="H77"/>
      <c r="I77"/>
      <c r="J77"/>
    </row>
    <row r="78" spans="6:10" x14ac:dyDescent="0.3">
      <c r="F78" s="24"/>
      <c r="G78" s="18"/>
      <c r="H78"/>
      <c r="I78"/>
      <c r="J78"/>
    </row>
    <row r="79" spans="6:10" x14ac:dyDescent="0.3">
      <c r="F79" s="24"/>
      <c r="G79" s="18"/>
      <c r="H79"/>
      <c r="I79"/>
      <c r="J79"/>
    </row>
    <row r="80" spans="6:10" x14ac:dyDescent="0.3">
      <c r="F80" s="24"/>
      <c r="G80" s="18"/>
      <c r="H80"/>
      <c r="I80"/>
      <c r="J80"/>
    </row>
    <row r="81" spans="6:10" x14ac:dyDescent="0.3">
      <c r="F81" s="24"/>
      <c r="G81" s="18"/>
      <c r="H81"/>
      <c r="I81"/>
      <c r="J81"/>
    </row>
    <row r="82" spans="6:10" x14ac:dyDescent="0.3">
      <c r="F82" s="24"/>
      <c r="G82" s="18"/>
      <c r="H82"/>
      <c r="I82"/>
      <c r="J82"/>
    </row>
    <row r="83" spans="6:10" x14ac:dyDescent="0.3">
      <c r="F83" s="24"/>
      <c r="G83" s="18"/>
      <c r="H83"/>
      <c r="I83"/>
      <c r="J83"/>
    </row>
    <row r="84" spans="6:10" x14ac:dyDescent="0.3">
      <c r="F84" s="24"/>
      <c r="G84" s="18"/>
      <c r="H84"/>
      <c r="I84"/>
      <c r="J84"/>
    </row>
    <row r="85" spans="6:10" x14ac:dyDescent="0.3">
      <c r="F85" s="24"/>
      <c r="G85" s="18"/>
      <c r="H85"/>
      <c r="I85"/>
      <c r="J85"/>
    </row>
    <row r="86" spans="6:10" x14ac:dyDescent="0.3">
      <c r="F86" s="24"/>
      <c r="G86" s="18"/>
      <c r="H86"/>
      <c r="I86"/>
      <c r="J86"/>
    </row>
    <row r="87" spans="6:10" x14ac:dyDescent="0.3">
      <c r="F87" s="24"/>
      <c r="G87" s="18"/>
      <c r="H87"/>
      <c r="I87"/>
      <c r="J87"/>
    </row>
    <row r="88" spans="6:10" x14ac:dyDescent="0.3">
      <c r="F88" s="24"/>
      <c r="G88" s="18"/>
      <c r="H88"/>
      <c r="I88"/>
      <c r="J88"/>
    </row>
    <row r="89" spans="6:10" x14ac:dyDescent="0.3">
      <c r="F89" s="24"/>
      <c r="G89" s="18"/>
      <c r="H89"/>
      <c r="I89"/>
      <c r="J89"/>
    </row>
    <row r="90" spans="6:10" x14ac:dyDescent="0.3">
      <c r="F90" s="24"/>
      <c r="G90" s="18"/>
      <c r="H90"/>
      <c r="I90"/>
      <c r="J90"/>
    </row>
    <row r="91" spans="6:10" x14ac:dyDescent="0.3">
      <c r="F91" s="24"/>
      <c r="G91" s="18"/>
      <c r="H91"/>
      <c r="I91"/>
      <c r="J91"/>
    </row>
    <row r="92" spans="6:10" x14ac:dyDescent="0.3">
      <c r="F92" s="24"/>
      <c r="G92" s="18"/>
      <c r="H92"/>
      <c r="I92"/>
      <c r="J92"/>
    </row>
    <row r="93" spans="6:10" x14ac:dyDescent="0.3">
      <c r="F93" s="24"/>
      <c r="G93" s="18"/>
      <c r="H93"/>
      <c r="I93"/>
      <c r="J93"/>
    </row>
    <row r="94" spans="6:10" x14ac:dyDescent="0.3">
      <c r="F94" s="24"/>
      <c r="G94" s="18"/>
      <c r="H94"/>
      <c r="I94"/>
      <c r="J94"/>
    </row>
    <row r="95" spans="6:10" x14ac:dyDescent="0.3">
      <c r="F95" s="24"/>
      <c r="G95" s="18"/>
      <c r="H95"/>
      <c r="I95"/>
      <c r="J95"/>
    </row>
    <row r="96" spans="6:10" x14ac:dyDescent="0.3">
      <c r="F96" s="24"/>
      <c r="G96" s="18"/>
      <c r="H96"/>
      <c r="I96"/>
      <c r="J96"/>
    </row>
    <row r="97" spans="6:10" x14ac:dyDescent="0.3">
      <c r="F97" s="24"/>
      <c r="G97" s="18"/>
      <c r="H97"/>
      <c r="I97"/>
      <c r="J97"/>
    </row>
    <row r="98" spans="6:10" x14ac:dyDescent="0.3">
      <c r="F98" s="24"/>
      <c r="G98" s="18"/>
      <c r="H98"/>
      <c r="I98"/>
      <c r="J98"/>
    </row>
    <row r="99" spans="6:10" x14ac:dyDescent="0.3">
      <c r="F99" s="24"/>
      <c r="G99" s="18"/>
      <c r="H99"/>
      <c r="I99"/>
      <c r="J99"/>
    </row>
    <row r="100" spans="6:10" x14ac:dyDescent="0.3">
      <c r="F100" s="24"/>
      <c r="G100" s="18"/>
      <c r="H100"/>
      <c r="I100"/>
      <c r="J100"/>
    </row>
    <row r="101" spans="6:10" x14ac:dyDescent="0.3">
      <c r="F101" s="24"/>
      <c r="G101" s="18"/>
      <c r="H101"/>
      <c r="I101"/>
      <c r="J101"/>
    </row>
    <row r="102" spans="6:10" x14ac:dyDescent="0.3">
      <c r="F102" s="24"/>
      <c r="G102" s="18"/>
      <c r="H102"/>
      <c r="I102"/>
      <c r="J102"/>
    </row>
    <row r="103" spans="6:10" x14ac:dyDescent="0.3">
      <c r="F103" s="24"/>
      <c r="G103" s="18"/>
      <c r="H103"/>
      <c r="I103"/>
      <c r="J103"/>
    </row>
    <row r="104" spans="6:10" x14ac:dyDescent="0.3">
      <c r="F104" s="24"/>
      <c r="G104" s="18"/>
      <c r="H104"/>
      <c r="I104"/>
      <c r="J104"/>
    </row>
    <row r="105" spans="6:10" x14ac:dyDescent="0.3">
      <c r="F105" s="24"/>
      <c r="G105" s="18"/>
      <c r="H105"/>
      <c r="I105"/>
      <c r="J105"/>
    </row>
    <row r="106" spans="6:10" x14ac:dyDescent="0.3">
      <c r="F106" s="24"/>
      <c r="G106" s="18"/>
      <c r="H106"/>
      <c r="I106"/>
      <c r="J106"/>
    </row>
    <row r="107" spans="6:10" x14ac:dyDescent="0.3">
      <c r="F107" s="24"/>
      <c r="G107" s="18"/>
      <c r="H107"/>
      <c r="I107"/>
      <c r="J107"/>
    </row>
    <row r="108" spans="6:10" x14ac:dyDescent="0.3">
      <c r="F108" s="24"/>
      <c r="G108" s="18"/>
      <c r="H108"/>
      <c r="I108"/>
      <c r="J108"/>
    </row>
    <row r="109" spans="6:10" x14ac:dyDescent="0.3">
      <c r="F109" s="24"/>
      <c r="G109" s="18"/>
      <c r="H109"/>
      <c r="I109"/>
      <c r="J109"/>
    </row>
    <row r="110" spans="6:10" x14ac:dyDescent="0.3">
      <c r="F110" s="24"/>
      <c r="G110" s="18"/>
      <c r="H110"/>
      <c r="I110"/>
      <c r="J110"/>
    </row>
    <row r="111" spans="6:10" x14ac:dyDescent="0.3">
      <c r="F111" s="24"/>
      <c r="G111" s="18"/>
      <c r="H111"/>
      <c r="I111"/>
      <c r="J111"/>
    </row>
    <row r="112" spans="6:10" x14ac:dyDescent="0.3">
      <c r="F112" s="24"/>
      <c r="G112" s="18"/>
      <c r="H112"/>
      <c r="I112"/>
      <c r="J112"/>
    </row>
    <row r="113" spans="6:10" x14ac:dyDescent="0.3">
      <c r="F113" s="24"/>
      <c r="G113" s="18"/>
      <c r="H113"/>
      <c r="I113"/>
      <c r="J113"/>
    </row>
    <row r="114" spans="6:10" x14ac:dyDescent="0.3">
      <c r="F114" s="24"/>
      <c r="G114" s="18"/>
      <c r="H114"/>
      <c r="I114"/>
      <c r="J114"/>
    </row>
    <row r="115" spans="6:10" x14ac:dyDescent="0.3">
      <c r="F115" s="24"/>
      <c r="G115" s="18"/>
      <c r="H115"/>
      <c r="I115"/>
      <c r="J115"/>
    </row>
    <row r="116" spans="6:10" x14ac:dyDescent="0.3">
      <c r="F116" s="24"/>
      <c r="G116" s="18"/>
      <c r="H116"/>
      <c r="I116"/>
      <c r="J116"/>
    </row>
    <row r="117" spans="6:10" x14ac:dyDescent="0.3">
      <c r="F117" s="24"/>
      <c r="G117" s="18"/>
      <c r="H117"/>
      <c r="I117"/>
      <c r="J117"/>
    </row>
    <row r="118" spans="6:10" x14ac:dyDescent="0.3">
      <c r="F118" s="24"/>
      <c r="G118" s="18"/>
      <c r="H118"/>
      <c r="I118"/>
      <c r="J118"/>
    </row>
    <row r="119" spans="6:10" x14ac:dyDescent="0.3">
      <c r="F119" s="24"/>
      <c r="G119" s="18"/>
      <c r="H119"/>
      <c r="I119"/>
      <c r="J119"/>
    </row>
    <row r="120" spans="6:10" x14ac:dyDescent="0.3">
      <c r="F120" s="24"/>
      <c r="G120" s="18"/>
      <c r="H120"/>
      <c r="I120"/>
      <c r="J120"/>
    </row>
    <row r="121" spans="6:10" x14ac:dyDescent="0.3">
      <c r="F121" s="24"/>
      <c r="G121" s="18"/>
      <c r="H121"/>
      <c r="I121"/>
      <c r="J121"/>
    </row>
    <row r="122" spans="6:10" x14ac:dyDescent="0.3">
      <c r="F122" s="24"/>
      <c r="G122" s="18"/>
      <c r="H122"/>
      <c r="I122"/>
      <c r="J122"/>
    </row>
    <row r="123" spans="6:10" x14ac:dyDescent="0.3">
      <c r="F123" s="24"/>
      <c r="G123" s="18"/>
      <c r="H123"/>
      <c r="I123"/>
      <c r="J123"/>
    </row>
    <row r="124" spans="6:10" x14ac:dyDescent="0.3">
      <c r="F124" s="24"/>
      <c r="G124" s="18"/>
      <c r="H124"/>
      <c r="I124"/>
      <c r="J124"/>
    </row>
    <row r="125" spans="6:10" x14ac:dyDescent="0.3">
      <c r="F125" s="24"/>
      <c r="G125" s="18"/>
      <c r="H125"/>
      <c r="I125"/>
      <c r="J125"/>
    </row>
    <row r="126" spans="6:10" x14ac:dyDescent="0.3">
      <c r="F126" s="24"/>
      <c r="G126" s="18"/>
      <c r="H126"/>
      <c r="I126"/>
      <c r="J126"/>
    </row>
    <row r="127" spans="6:10" x14ac:dyDescent="0.3">
      <c r="F127" s="24"/>
      <c r="G127" s="18"/>
      <c r="H127"/>
      <c r="I127"/>
      <c r="J127"/>
    </row>
    <row r="128" spans="6:10" x14ac:dyDescent="0.3">
      <c r="F128" s="24"/>
      <c r="G128" s="18"/>
      <c r="H128"/>
      <c r="I128"/>
      <c r="J128"/>
    </row>
    <row r="129" spans="6:10" x14ac:dyDescent="0.3">
      <c r="F129" s="24"/>
      <c r="G129" s="18"/>
      <c r="H129"/>
      <c r="I129"/>
      <c r="J129"/>
    </row>
    <row r="130" spans="6:10" x14ac:dyDescent="0.3">
      <c r="F130" s="24"/>
      <c r="G130" s="18"/>
      <c r="H130"/>
      <c r="I130"/>
      <c r="J130"/>
    </row>
    <row r="131" spans="6:10" x14ac:dyDescent="0.3">
      <c r="F131" s="24"/>
      <c r="G131" s="18"/>
      <c r="H131"/>
      <c r="I131"/>
      <c r="J131"/>
    </row>
    <row r="132" spans="6:10" x14ac:dyDescent="0.3">
      <c r="F132" s="24"/>
      <c r="G132" s="18"/>
      <c r="H132"/>
      <c r="I132"/>
      <c r="J132"/>
    </row>
    <row r="133" spans="6:10" x14ac:dyDescent="0.3">
      <c r="F133" s="24"/>
      <c r="G133" s="18"/>
      <c r="H133"/>
      <c r="I133"/>
      <c r="J133"/>
    </row>
    <row r="134" spans="6:10" x14ac:dyDescent="0.3">
      <c r="F134" s="24"/>
      <c r="G134" s="18"/>
      <c r="H134"/>
      <c r="I134"/>
      <c r="J134"/>
    </row>
    <row r="135" spans="6:10" x14ac:dyDescent="0.3">
      <c r="F135" s="24"/>
      <c r="G135" s="18"/>
      <c r="H135"/>
      <c r="I135"/>
      <c r="J135"/>
    </row>
    <row r="136" spans="6:10" x14ac:dyDescent="0.3">
      <c r="F136" s="24"/>
      <c r="G136" s="18"/>
      <c r="H136"/>
      <c r="I136"/>
      <c r="J136"/>
    </row>
    <row r="137" spans="6:10" x14ac:dyDescent="0.3">
      <c r="F137" s="24"/>
      <c r="G137" s="18"/>
      <c r="H137"/>
      <c r="I137"/>
      <c r="J137"/>
    </row>
    <row r="138" spans="6:10" x14ac:dyDescent="0.3">
      <c r="F138" s="24"/>
      <c r="G138" s="18"/>
      <c r="H138"/>
      <c r="I138"/>
      <c r="J138"/>
    </row>
    <row r="139" spans="6:10" x14ac:dyDescent="0.3">
      <c r="F139" s="24"/>
      <c r="G139" s="18"/>
      <c r="H139"/>
      <c r="I139"/>
      <c r="J139"/>
    </row>
    <row r="140" spans="6:10" x14ac:dyDescent="0.3">
      <c r="F140" s="24"/>
      <c r="G140" s="18"/>
      <c r="H140"/>
      <c r="I140"/>
      <c r="J140"/>
    </row>
    <row r="141" spans="6:10" x14ac:dyDescent="0.3">
      <c r="F141" s="24"/>
      <c r="G141" s="18"/>
      <c r="H141"/>
      <c r="I141"/>
      <c r="J141"/>
    </row>
    <row r="142" spans="6:10" x14ac:dyDescent="0.3">
      <c r="F142" s="24"/>
      <c r="G142" s="18"/>
      <c r="H142"/>
      <c r="I142"/>
      <c r="J142"/>
    </row>
    <row r="143" spans="6:10" x14ac:dyDescent="0.3">
      <c r="F143" s="24"/>
      <c r="G143" s="18"/>
      <c r="H143"/>
      <c r="I143"/>
      <c r="J143"/>
    </row>
    <row r="144" spans="6:10" x14ac:dyDescent="0.3">
      <c r="F144" s="24"/>
      <c r="G144" s="18"/>
      <c r="H144"/>
      <c r="I144"/>
      <c r="J144"/>
    </row>
    <row r="145" spans="6:10" x14ac:dyDescent="0.3">
      <c r="F145" s="24"/>
      <c r="G145" s="18"/>
      <c r="H145"/>
      <c r="I145"/>
      <c r="J145"/>
    </row>
    <row r="146" spans="6:10" x14ac:dyDescent="0.3">
      <c r="F146" s="24"/>
      <c r="G146" s="18"/>
      <c r="H146"/>
      <c r="I146"/>
      <c r="J146"/>
    </row>
    <row r="147" spans="6:10" x14ac:dyDescent="0.3">
      <c r="F147" s="24"/>
      <c r="G147" s="18"/>
      <c r="H147"/>
      <c r="I147"/>
      <c r="J147"/>
    </row>
    <row r="148" spans="6:10" x14ac:dyDescent="0.3">
      <c r="F148" s="24"/>
      <c r="G148" s="18"/>
      <c r="H148"/>
      <c r="I148"/>
      <c r="J148"/>
    </row>
    <row r="149" spans="6:10" x14ac:dyDescent="0.3">
      <c r="F149" s="24"/>
      <c r="G149" s="18"/>
      <c r="H149"/>
      <c r="I149"/>
      <c r="J149"/>
    </row>
    <row r="150" spans="6:10" x14ac:dyDescent="0.3">
      <c r="F150" s="24"/>
      <c r="G150" s="18"/>
      <c r="H150"/>
      <c r="I150"/>
      <c r="J150"/>
    </row>
    <row r="151" spans="6:10" x14ac:dyDescent="0.3">
      <c r="F151" s="24"/>
      <c r="G151" s="18"/>
      <c r="H151"/>
      <c r="I151"/>
      <c r="J151"/>
    </row>
    <row r="152" spans="6:10" x14ac:dyDescent="0.3">
      <c r="F152" s="24"/>
      <c r="G152" s="18"/>
      <c r="H152"/>
      <c r="I152"/>
      <c r="J152"/>
    </row>
    <row r="153" spans="6:10" x14ac:dyDescent="0.3">
      <c r="F153" s="24"/>
      <c r="G153" s="18"/>
      <c r="H153"/>
      <c r="I153"/>
      <c r="J153"/>
    </row>
    <row r="154" spans="6:10" x14ac:dyDescent="0.3">
      <c r="F154" s="24"/>
      <c r="G154" s="18"/>
      <c r="H154"/>
      <c r="I154"/>
      <c r="J154"/>
    </row>
    <row r="155" spans="6:10" x14ac:dyDescent="0.3">
      <c r="F155" s="24"/>
      <c r="G155" s="18"/>
      <c r="H155"/>
      <c r="I155"/>
      <c r="J155"/>
    </row>
    <row r="156" spans="6:10" x14ac:dyDescent="0.3">
      <c r="F156" s="24"/>
      <c r="G156" s="18"/>
      <c r="H156"/>
      <c r="I156"/>
      <c r="J156"/>
    </row>
    <row r="157" spans="6:10" x14ac:dyDescent="0.3">
      <c r="F157" s="24"/>
      <c r="G157" s="18"/>
      <c r="H157"/>
      <c r="I157"/>
      <c r="J157"/>
    </row>
    <row r="158" spans="6:10" x14ac:dyDescent="0.3">
      <c r="F158" s="24"/>
      <c r="G158" s="18"/>
      <c r="H158"/>
      <c r="I158"/>
      <c r="J158"/>
    </row>
    <row r="159" spans="6:10" x14ac:dyDescent="0.3">
      <c r="F159" s="24"/>
      <c r="G159" s="18"/>
      <c r="H159"/>
      <c r="I159"/>
      <c r="J159"/>
    </row>
    <row r="160" spans="6:10" x14ac:dyDescent="0.3">
      <c r="F160" s="24"/>
      <c r="G160" s="18"/>
      <c r="H160"/>
      <c r="I160"/>
      <c r="J160"/>
    </row>
    <row r="161" spans="6:10" x14ac:dyDescent="0.3">
      <c r="F161" s="24"/>
      <c r="G161" s="18"/>
      <c r="H161"/>
      <c r="I161"/>
      <c r="J161"/>
    </row>
    <row r="162" spans="6:10" x14ac:dyDescent="0.3">
      <c r="F162" s="24"/>
      <c r="G162" s="18"/>
      <c r="H162"/>
      <c r="I162"/>
      <c r="J162"/>
    </row>
    <row r="163" spans="6:10" x14ac:dyDescent="0.3">
      <c r="F163" s="24"/>
      <c r="G163" s="18"/>
      <c r="H163"/>
      <c r="I163"/>
      <c r="J163"/>
    </row>
    <row r="164" spans="6:10" x14ac:dyDescent="0.3">
      <c r="F164" s="24"/>
      <c r="G164" s="18"/>
      <c r="H164"/>
      <c r="I164"/>
      <c r="J164"/>
    </row>
    <row r="165" spans="6:10" x14ac:dyDescent="0.3">
      <c r="F165" s="24"/>
      <c r="G165" s="18"/>
      <c r="H165"/>
      <c r="I165"/>
      <c r="J165"/>
    </row>
    <row r="166" spans="6:10" x14ac:dyDescent="0.3">
      <c r="F166" s="24"/>
      <c r="G166" s="18"/>
      <c r="H166"/>
      <c r="I166"/>
      <c r="J166"/>
    </row>
    <row r="167" spans="6:10" x14ac:dyDescent="0.3">
      <c r="F167" s="24"/>
      <c r="G167" s="18"/>
      <c r="H167"/>
      <c r="I167"/>
      <c r="J167"/>
    </row>
    <row r="168" spans="6:10" x14ac:dyDescent="0.3">
      <c r="F168" s="24"/>
      <c r="G168" s="18"/>
      <c r="H168"/>
      <c r="I168"/>
      <c r="J168"/>
    </row>
    <row r="169" spans="6:10" x14ac:dyDescent="0.3">
      <c r="F169" s="24"/>
      <c r="G169" s="18"/>
      <c r="H169"/>
      <c r="I169"/>
      <c r="J169"/>
    </row>
    <row r="170" spans="6:10" x14ac:dyDescent="0.3">
      <c r="F170" s="24"/>
      <c r="G170" s="18"/>
      <c r="H170"/>
      <c r="I170"/>
      <c r="J170"/>
    </row>
    <row r="171" spans="6:10" x14ac:dyDescent="0.3">
      <c r="F171" s="24"/>
      <c r="G171" s="18"/>
      <c r="H171"/>
      <c r="I171"/>
      <c r="J171"/>
    </row>
    <row r="172" spans="6:10" x14ac:dyDescent="0.3">
      <c r="F172" s="24"/>
      <c r="G172" s="18"/>
      <c r="H172"/>
      <c r="I172"/>
      <c r="J172"/>
    </row>
    <row r="173" spans="6:10" x14ac:dyDescent="0.3">
      <c r="F173" s="24"/>
      <c r="G173" s="18"/>
      <c r="H173"/>
      <c r="I173"/>
      <c r="J173"/>
    </row>
    <row r="174" spans="6:10" x14ac:dyDescent="0.3">
      <c r="F174" s="24"/>
      <c r="G174" s="18"/>
      <c r="H174"/>
      <c r="I174"/>
      <c r="J174"/>
    </row>
    <row r="175" spans="6:10" x14ac:dyDescent="0.3">
      <c r="F175" s="24"/>
      <c r="G175" s="18"/>
      <c r="H175"/>
      <c r="I175"/>
      <c r="J175"/>
    </row>
    <row r="176" spans="6:10" x14ac:dyDescent="0.3">
      <c r="F176" s="24"/>
      <c r="G176" s="18"/>
      <c r="H176"/>
      <c r="I176"/>
      <c r="J176"/>
    </row>
    <row r="177" spans="6:10" x14ac:dyDescent="0.3">
      <c r="F177" s="24"/>
      <c r="G177" s="18"/>
      <c r="H177"/>
      <c r="I177"/>
      <c r="J177"/>
    </row>
    <row r="178" spans="6:10" x14ac:dyDescent="0.3">
      <c r="F178" s="24"/>
      <c r="G178" s="18"/>
      <c r="H178"/>
      <c r="I178"/>
      <c r="J178"/>
    </row>
    <row r="179" spans="6:10" x14ac:dyDescent="0.3">
      <c r="F179" s="24"/>
      <c r="G179" s="18"/>
      <c r="H179"/>
      <c r="I179"/>
      <c r="J179"/>
    </row>
    <row r="180" spans="6:10" x14ac:dyDescent="0.3">
      <c r="F180" s="24"/>
      <c r="G180" s="18"/>
      <c r="H180"/>
      <c r="I180"/>
      <c r="J180"/>
    </row>
    <row r="181" spans="6:10" x14ac:dyDescent="0.3">
      <c r="F181" s="24"/>
      <c r="G181" s="18"/>
      <c r="H181"/>
      <c r="I181"/>
      <c r="J181"/>
    </row>
    <row r="182" spans="6:10" x14ac:dyDescent="0.3">
      <c r="F182" s="24"/>
      <c r="G182" s="18"/>
      <c r="H182"/>
      <c r="I182"/>
      <c r="J182"/>
    </row>
    <row r="183" spans="6:10" x14ac:dyDescent="0.3">
      <c r="F183" s="24"/>
      <c r="G183" s="18"/>
      <c r="H183"/>
      <c r="I183"/>
      <c r="J183"/>
    </row>
    <row r="184" spans="6:10" x14ac:dyDescent="0.3">
      <c r="F184" s="24"/>
      <c r="G184" s="18"/>
      <c r="H184"/>
      <c r="I184"/>
      <c r="J184"/>
    </row>
    <row r="185" spans="6:10" x14ac:dyDescent="0.3">
      <c r="F185" s="24"/>
      <c r="G185" s="18"/>
      <c r="H185"/>
      <c r="I185"/>
      <c r="J185"/>
    </row>
    <row r="186" spans="6:10" x14ac:dyDescent="0.3">
      <c r="F186" s="24"/>
      <c r="G186" s="18"/>
      <c r="H186"/>
      <c r="I186"/>
      <c r="J186"/>
    </row>
    <row r="187" spans="6:10" x14ac:dyDescent="0.3">
      <c r="F187" s="24"/>
      <c r="G187" s="18"/>
      <c r="H187"/>
      <c r="I187"/>
      <c r="J187"/>
    </row>
    <row r="188" spans="6:10" x14ac:dyDescent="0.3">
      <c r="F188" s="24"/>
      <c r="G188" s="18"/>
      <c r="H188"/>
      <c r="I188"/>
      <c r="J188"/>
    </row>
    <row r="189" spans="6:10" x14ac:dyDescent="0.3">
      <c r="F189" s="24"/>
      <c r="G189" s="18"/>
      <c r="H189"/>
      <c r="I189"/>
      <c r="J189"/>
    </row>
    <row r="190" spans="6:10" x14ac:dyDescent="0.3">
      <c r="F190" s="24"/>
      <c r="G190" s="18"/>
      <c r="H190"/>
      <c r="I190"/>
      <c r="J190"/>
    </row>
    <row r="191" spans="6:10" x14ac:dyDescent="0.3">
      <c r="F191" s="24"/>
      <c r="G191" s="18"/>
      <c r="H191"/>
      <c r="I191"/>
      <c r="J191"/>
    </row>
    <row r="192" spans="6:10" x14ac:dyDescent="0.3">
      <c r="F192" s="24"/>
      <c r="G192" s="18"/>
      <c r="H192"/>
      <c r="I192"/>
      <c r="J192"/>
    </row>
    <row r="193" spans="6:10" x14ac:dyDescent="0.3">
      <c r="F193" s="24"/>
      <c r="G193" s="18"/>
      <c r="H193"/>
      <c r="I193"/>
      <c r="J193"/>
    </row>
    <row r="194" spans="6:10" x14ac:dyDescent="0.3">
      <c r="F194" s="24"/>
      <c r="G194" s="18"/>
      <c r="H194"/>
      <c r="I194"/>
      <c r="J194"/>
    </row>
    <row r="195" spans="6:10" x14ac:dyDescent="0.3">
      <c r="F195" s="24"/>
      <c r="G195" s="18"/>
      <c r="H195"/>
      <c r="I195"/>
      <c r="J195"/>
    </row>
    <row r="196" spans="6:10" x14ac:dyDescent="0.3">
      <c r="F196" s="24"/>
      <c r="G196" s="18"/>
      <c r="H196"/>
      <c r="I196"/>
      <c r="J196"/>
    </row>
    <row r="197" spans="6:10" x14ac:dyDescent="0.3">
      <c r="F197" s="24"/>
      <c r="G197" s="18"/>
      <c r="H197"/>
      <c r="I197"/>
      <c r="J197"/>
    </row>
    <row r="198" spans="6:10" x14ac:dyDescent="0.3">
      <c r="F198" s="24"/>
      <c r="G198" s="18"/>
      <c r="H198"/>
      <c r="I198"/>
      <c r="J198"/>
    </row>
    <row r="199" spans="6:10" x14ac:dyDescent="0.3">
      <c r="F199" s="24"/>
      <c r="G199" s="18"/>
      <c r="H199"/>
      <c r="I199"/>
      <c r="J199"/>
    </row>
    <row r="200" spans="6:10" x14ac:dyDescent="0.3">
      <c r="F200" s="24"/>
      <c r="G200" s="18"/>
      <c r="J200"/>
    </row>
    <row r="201" spans="6:10" x14ac:dyDescent="0.3">
      <c r="F201" s="24"/>
      <c r="G201" s="18"/>
      <c r="J201"/>
    </row>
    <row r="202" spans="6:10" x14ac:dyDescent="0.3">
      <c r="F202" s="24"/>
      <c r="G202" s="18"/>
      <c r="J202"/>
    </row>
  </sheetData>
  <sheetProtection selectLockedCells="1"/>
  <conditionalFormatting sqref="B36">
    <cfRule type="expression" dxfId="3" priority="1">
      <formula>$B$36="Total w/multiplier"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J33"/>
  <sheetViews>
    <sheetView showGridLines="0" workbookViewId="0">
      <selection activeCell="D10" sqref="D10"/>
    </sheetView>
  </sheetViews>
  <sheetFormatPr defaultRowHeight="14.4" x14ac:dyDescent="0.3"/>
  <cols>
    <col min="1" max="1" width="9.109375" customWidth="1"/>
    <col min="2" max="2" width="40.6640625" customWidth="1"/>
    <col min="3" max="3" width="9.6640625" style="13" customWidth="1"/>
    <col min="4" max="4" width="8.6640625" style="16" customWidth="1"/>
    <col min="5" max="5" width="8.6640625" style="13" customWidth="1"/>
    <col min="6" max="6" width="17" customWidth="1"/>
    <col min="7" max="7" width="5.6640625" customWidth="1"/>
    <col min="8" max="8" width="10.6640625" customWidth="1"/>
    <col min="9" max="9" width="6.6640625" style="93" customWidth="1"/>
    <col min="10" max="10" width="8.6640625" customWidth="1"/>
  </cols>
  <sheetData>
    <row r="1" spans="2:10" ht="6" customHeight="1" x14ac:dyDescent="0.3">
      <c r="J1" s="1"/>
    </row>
    <row r="2" spans="2:10" ht="39" customHeight="1" thickBot="1" x14ac:dyDescent="0.45">
      <c r="B2" s="2" t="s">
        <v>90</v>
      </c>
      <c r="C2" s="56"/>
      <c r="D2" s="36"/>
      <c r="E2" s="56"/>
      <c r="F2" s="2"/>
      <c r="G2" s="2"/>
      <c r="H2" s="2"/>
      <c r="I2" s="2"/>
      <c r="J2" s="15"/>
    </row>
    <row r="3" spans="2:10" ht="9" customHeight="1" thickTop="1" x14ac:dyDescent="0.3">
      <c r="I3"/>
      <c r="J3" s="1"/>
    </row>
    <row r="4" spans="2:10" x14ac:dyDescent="0.3">
      <c r="B4" s="3" t="str">
        <f>IF(ProjectName="","",ProjectName)</f>
        <v/>
      </c>
      <c r="H4" s="5" t="s">
        <v>10</v>
      </c>
      <c r="I4" s="92" t="str">
        <f>IF(EstimatorName="","",EstimatorName)</f>
        <v/>
      </c>
      <c r="J4" s="1"/>
    </row>
    <row r="5" spans="2:10" ht="15" customHeight="1" x14ac:dyDescent="0.3">
      <c r="B5" s="7" t="str">
        <f>IF(ProjectAddress="","",ProjectAddress)</f>
        <v/>
      </c>
      <c r="H5" s="5" t="s">
        <v>11</v>
      </c>
      <c r="I5" s="92" t="str">
        <f>IF(EstimateNo="","",EstimateNo)</f>
        <v/>
      </c>
      <c r="J5" s="1"/>
    </row>
    <row r="6" spans="2:10" ht="15" customHeight="1" x14ac:dyDescent="0.3">
      <c r="B6" s="7"/>
      <c r="H6" s="5"/>
      <c r="I6" s="92"/>
      <c r="J6" s="1"/>
    </row>
    <row r="7" spans="2:10" ht="23.4" x14ac:dyDescent="0.45">
      <c r="B7" s="6" t="s">
        <v>2</v>
      </c>
    </row>
    <row r="8" spans="2:10" ht="18" x14ac:dyDescent="0.35">
      <c r="B8" s="10" t="s">
        <v>31</v>
      </c>
      <c r="C8" s="114" t="s">
        <v>66</v>
      </c>
      <c r="D8" s="99" t="s">
        <v>21</v>
      </c>
      <c r="E8" s="99"/>
      <c r="F8" s="29" t="s">
        <v>138</v>
      </c>
      <c r="H8" s="102" t="s">
        <v>68</v>
      </c>
      <c r="I8" s="103"/>
    </row>
    <row r="9" spans="2:10" x14ac:dyDescent="0.3">
      <c r="B9" s="95" t="str">
        <f>IF(Lists!G2="","",Lists!G2)</f>
        <v/>
      </c>
      <c r="C9" s="109">
        <f>SUMIFS('P-EST-Hangers'!H:H,P_HangerName,Hangers[[#This Row],[Column1]])</f>
        <v>0</v>
      </c>
      <c r="D9" s="115">
        <f>SUMIFS('P-EST-Hangers'!J:J,P_HangerName,Hangers[[#This Row],[Column1]])</f>
        <v>0</v>
      </c>
      <c r="E9" s="85" t="str">
        <f t="shared" ref="E9:E32" si="0">IF(D9=0,"","hrs")</f>
        <v/>
      </c>
      <c r="F9" s="119">
        <f>SUMIFS('P-EST-Hangers'!K:K,P_HangerName,Hangers[[#This Row],[Column1]])</f>
        <v>0</v>
      </c>
      <c r="G9" s="110"/>
      <c r="H9" s="104" t="s">
        <v>21</v>
      </c>
      <c r="I9" s="184">
        <v>1</v>
      </c>
    </row>
    <row r="10" spans="2:10" x14ac:dyDescent="0.3">
      <c r="B10" s="95" t="str">
        <f>IF(Lists!G3="","",Lists!G3)</f>
        <v/>
      </c>
      <c r="C10" s="109">
        <f>SUMIFS('P-EST-Hangers'!H:H,P_HangerName,Hangers[[#This Row],[Column1]])</f>
        <v>0</v>
      </c>
      <c r="D10" s="115">
        <f>SUMIFS('P-EST-Hangers'!J:J,P_HangerName,Hangers[[#This Row],[Column1]])</f>
        <v>0</v>
      </c>
      <c r="E10" s="85" t="str">
        <f t="shared" si="0"/>
        <v/>
      </c>
      <c r="F10" s="119">
        <f>SUMIFS('P-EST-Hangers'!K:K,P_HangerName,Hangers[[#This Row],[Column1]])</f>
        <v>0</v>
      </c>
      <c r="G10" s="110"/>
      <c r="H10" s="105" t="s">
        <v>29</v>
      </c>
      <c r="I10" s="185">
        <v>1</v>
      </c>
    </row>
    <row r="11" spans="2:10" x14ac:dyDescent="0.3">
      <c r="B11" s="95" t="str">
        <f>IF(Lists!G4="","",Lists!G4)</f>
        <v/>
      </c>
      <c r="C11" s="109">
        <f>SUMIFS('P-EST-Hangers'!H:H,P_HangerName,Hangers[[#This Row],[Column1]])</f>
        <v>0</v>
      </c>
      <c r="D11" s="115">
        <f>SUMIFS('P-EST-Hangers'!J:J,P_HangerName,Hangers[[#This Row],[Column1]])</f>
        <v>0</v>
      </c>
      <c r="E11" s="85" t="str">
        <f t="shared" si="0"/>
        <v/>
      </c>
      <c r="F11" s="119">
        <f>SUMIFS('P-EST-Hangers'!K:K,P_HangerName,Hangers[[#This Row],[Column1]])</f>
        <v>0</v>
      </c>
      <c r="G11" s="110"/>
      <c r="H11" s="12"/>
      <c r="I11"/>
    </row>
    <row r="12" spans="2:10" x14ac:dyDescent="0.3">
      <c r="B12" s="95" t="str">
        <f>IF(Lists!G5="","",Lists!G5)</f>
        <v/>
      </c>
      <c r="C12" s="109">
        <f>SUMIFS('P-EST-Hangers'!H:H,P_HangerName,Hangers[[#This Row],[Column1]])</f>
        <v>0</v>
      </c>
      <c r="D12" s="115">
        <f>SUMIFS('P-EST-Hangers'!J:J,P_HangerName,Hangers[[#This Row],[Column1]])</f>
        <v>0</v>
      </c>
      <c r="E12" s="85" t="str">
        <f t="shared" si="0"/>
        <v/>
      </c>
      <c r="F12" s="119">
        <f>SUMIFS('P-EST-Hangers'!K:K,P_HangerName,Hangers[[#This Row],[Column1]])</f>
        <v>0</v>
      </c>
      <c r="G12" s="110"/>
      <c r="H12" s="12"/>
      <c r="I12"/>
      <c r="J12" s="93"/>
    </row>
    <row r="13" spans="2:10" x14ac:dyDescent="0.3">
      <c r="B13" s="95" t="str">
        <f>IF(Lists!G6="","",Lists!G6)</f>
        <v/>
      </c>
      <c r="C13" s="109">
        <f>SUMIFS('P-EST-Hangers'!H:H,P_HangerName,Hangers[[#This Row],[Column1]])</f>
        <v>0</v>
      </c>
      <c r="D13" s="115">
        <f>SUMIFS('P-EST-Hangers'!J:J,P_HangerName,Hangers[[#This Row],[Column1]])</f>
        <v>0</v>
      </c>
      <c r="E13" s="85" t="str">
        <f t="shared" si="0"/>
        <v/>
      </c>
      <c r="F13" s="119">
        <f>SUMIFS('P-EST-Hangers'!K:K,P_HangerName,Hangers[[#This Row],[Column1]])</f>
        <v>0</v>
      </c>
      <c r="G13" s="110"/>
      <c r="H13" s="12"/>
      <c r="I13"/>
      <c r="J13" s="93"/>
    </row>
    <row r="14" spans="2:10" x14ac:dyDescent="0.3">
      <c r="B14" s="95" t="str">
        <f>IF(Lists!G7="","",Lists!G7)</f>
        <v/>
      </c>
      <c r="C14" s="109">
        <f>SUMIFS('P-EST-Hangers'!H:H,P_HangerName,Hangers[[#This Row],[Column1]])</f>
        <v>0</v>
      </c>
      <c r="D14" s="115">
        <f>SUMIFS('P-EST-Hangers'!J:J,P_HangerName,Hangers[[#This Row],[Column1]])</f>
        <v>0</v>
      </c>
      <c r="E14" s="85" t="str">
        <f t="shared" si="0"/>
        <v/>
      </c>
      <c r="F14" s="119">
        <f>SUMIFS('P-EST-Hangers'!K:K,P_HangerName,Hangers[[#This Row],[Column1]])</f>
        <v>0</v>
      </c>
      <c r="G14" s="110"/>
      <c r="H14" s="12"/>
      <c r="I14"/>
      <c r="J14" s="93"/>
    </row>
    <row r="15" spans="2:10" x14ac:dyDescent="0.3">
      <c r="B15" s="95" t="str">
        <f>IF(Lists!G8="","",Lists!G8)</f>
        <v/>
      </c>
      <c r="C15" s="109">
        <f>SUMIFS('P-EST-Hangers'!H:H,P_HangerName,Hangers[[#This Row],[Column1]])</f>
        <v>0</v>
      </c>
      <c r="D15" s="115">
        <f>SUMIFS('P-EST-Hangers'!J:J,P_HangerName,Hangers[[#This Row],[Column1]])</f>
        <v>0</v>
      </c>
      <c r="E15" s="85" t="str">
        <f t="shared" si="0"/>
        <v/>
      </c>
      <c r="F15" s="119">
        <f>SUMIFS('P-EST-Hangers'!K:K,P_HangerName,Hangers[[#This Row],[Column1]])</f>
        <v>0</v>
      </c>
      <c r="G15" s="110"/>
      <c r="H15" s="12"/>
      <c r="I15"/>
      <c r="J15" s="93"/>
    </row>
    <row r="16" spans="2:10" x14ac:dyDescent="0.3">
      <c r="B16" s="95" t="str">
        <f>IF(Lists!G9="","",Lists!G9)</f>
        <v/>
      </c>
      <c r="C16" s="109">
        <f>SUMIFS('P-EST-Hangers'!H:H,P_HangerName,Hangers[[#This Row],[Column1]])</f>
        <v>0</v>
      </c>
      <c r="D16" s="115">
        <f>SUMIFS('P-EST-Hangers'!J:J,P_HangerName,Hangers[[#This Row],[Column1]])</f>
        <v>0</v>
      </c>
      <c r="E16" s="85" t="str">
        <f t="shared" si="0"/>
        <v/>
      </c>
      <c r="F16" s="119">
        <f>SUMIFS('P-EST-Hangers'!K:K,P_HangerName,Hangers[[#This Row],[Column1]])</f>
        <v>0</v>
      </c>
      <c r="G16" s="110"/>
      <c r="H16" s="12"/>
      <c r="I16"/>
      <c r="J16" s="93"/>
    </row>
    <row r="17" spans="2:10" x14ac:dyDescent="0.3">
      <c r="B17" s="95" t="str">
        <f>IF(Lists!G10="","",Lists!G10)</f>
        <v/>
      </c>
      <c r="C17" s="109">
        <f>SUMIFS('P-EST-Hangers'!H:H,P_HangerName,Hangers[[#This Row],[Column1]])</f>
        <v>0</v>
      </c>
      <c r="D17" s="115">
        <f>SUMIFS('P-EST-Hangers'!J:J,P_HangerName,Hangers[[#This Row],[Column1]])</f>
        <v>0</v>
      </c>
      <c r="E17" s="85" t="str">
        <f t="shared" si="0"/>
        <v/>
      </c>
      <c r="F17" s="119">
        <f>SUMIFS('P-EST-Hangers'!K:K,P_HangerName,Hangers[[#This Row],[Column1]])</f>
        <v>0</v>
      </c>
      <c r="G17" s="110"/>
      <c r="H17" s="12"/>
      <c r="I17"/>
      <c r="J17" s="93"/>
    </row>
    <row r="18" spans="2:10" x14ac:dyDescent="0.3">
      <c r="B18" s="95" t="str">
        <f>IF(Lists!G11="","",Lists!G11)</f>
        <v/>
      </c>
      <c r="C18" s="109">
        <f>SUMIFS('P-EST-Hangers'!H:H,P_HangerName,Hangers[[#This Row],[Column1]])</f>
        <v>0</v>
      </c>
      <c r="D18" s="115">
        <f>SUMIFS('P-EST-Hangers'!J:J,P_HangerName,Hangers[[#This Row],[Column1]])</f>
        <v>0</v>
      </c>
      <c r="E18" s="85" t="str">
        <f t="shared" si="0"/>
        <v/>
      </c>
      <c r="F18" s="119">
        <f>SUMIFS('P-EST-Hangers'!K:K,P_HangerName,Hangers[[#This Row],[Column1]])</f>
        <v>0</v>
      </c>
      <c r="G18" s="110"/>
      <c r="H18" s="12"/>
      <c r="I18"/>
      <c r="J18" s="93"/>
    </row>
    <row r="19" spans="2:10" x14ac:dyDescent="0.3">
      <c r="B19" s="95" t="str">
        <f>IF(Lists!G12="","",Lists!G12)</f>
        <v/>
      </c>
      <c r="C19" s="109">
        <f>SUMIFS('P-EST-Hangers'!H:H,P_HangerName,Hangers[[#This Row],[Column1]])</f>
        <v>0</v>
      </c>
      <c r="D19" s="115">
        <f>SUMIFS('P-EST-Hangers'!J:J,P_HangerName,Hangers[[#This Row],[Column1]])</f>
        <v>0</v>
      </c>
      <c r="E19" s="85" t="str">
        <f t="shared" si="0"/>
        <v/>
      </c>
      <c r="F19" s="119">
        <f>SUMIFS('P-EST-Hangers'!K:K,P_HangerName,Hangers[[#This Row],[Column1]])</f>
        <v>0</v>
      </c>
      <c r="G19" s="110"/>
      <c r="H19" s="12"/>
      <c r="I19"/>
      <c r="J19" s="93"/>
    </row>
    <row r="20" spans="2:10" x14ac:dyDescent="0.3">
      <c r="B20" s="95" t="str">
        <f>IF(Lists!G13="","",Lists!G13)</f>
        <v/>
      </c>
      <c r="C20" s="109">
        <f>SUMIFS('P-EST-Hangers'!H:H,P_HangerName,Hangers[[#This Row],[Column1]])</f>
        <v>0</v>
      </c>
      <c r="D20" s="115">
        <f>SUMIFS('P-EST-Hangers'!J:J,P_HangerName,Hangers[[#This Row],[Column1]])</f>
        <v>0</v>
      </c>
      <c r="E20" s="85" t="str">
        <f t="shared" si="0"/>
        <v/>
      </c>
      <c r="F20" s="119">
        <f>SUMIFS('P-EST-Hangers'!K:K,P_HangerName,Hangers[[#This Row],[Column1]])</f>
        <v>0</v>
      </c>
      <c r="G20" s="110"/>
      <c r="H20" s="12"/>
      <c r="I20"/>
      <c r="J20" s="93"/>
    </row>
    <row r="21" spans="2:10" x14ac:dyDescent="0.3">
      <c r="B21" s="95" t="str">
        <f>IF(Lists!G14="","",Lists!G14)</f>
        <v/>
      </c>
      <c r="C21" s="109">
        <f>SUMIFS('P-EST-Hangers'!H:H,P_HangerName,Hangers[[#This Row],[Column1]])</f>
        <v>0</v>
      </c>
      <c r="D21" s="115">
        <f>SUMIFS('P-EST-Hangers'!J:J,P_HangerName,Hangers[[#This Row],[Column1]])</f>
        <v>0</v>
      </c>
      <c r="E21" s="85" t="str">
        <f t="shared" si="0"/>
        <v/>
      </c>
      <c r="F21" s="119">
        <f>SUMIFS('P-EST-Hangers'!K:K,P_HangerName,Hangers[[#This Row],[Column1]])</f>
        <v>0</v>
      </c>
      <c r="G21" s="110"/>
      <c r="H21" s="12"/>
      <c r="I21"/>
      <c r="J21" s="93"/>
    </row>
    <row r="22" spans="2:10" x14ac:dyDescent="0.3">
      <c r="B22" s="95" t="str">
        <f>IF(Lists!G15="","",Lists!G15)</f>
        <v/>
      </c>
      <c r="C22" s="109">
        <f>SUMIFS('P-EST-Hangers'!H:H,P_HangerName,Hangers[[#This Row],[Column1]])</f>
        <v>0</v>
      </c>
      <c r="D22" s="115">
        <f>SUMIFS('P-EST-Hangers'!J:J,P_HangerName,Hangers[[#This Row],[Column1]])</f>
        <v>0</v>
      </c>
      <c r="E22" s="85" t="str">
        <f t="shared" si="0"/>
        <v/>
      </c>
      <c r="F22" s="119">
        <f>SUMIFS('P-EST-Hangers'!K:K,P_HangerName,Hangers[[#This Row],[Column1]])</f>
        <v>0</v>
      </c>
      <c r="G22" s="110"/>
      <c r="H22" s="12"/>
      <c r="I22"/>
      <c r="J22" s="93"/>
    </row>
    <row r="23" spans="2:10" x14ac:dyDescent="0.3">
      <c r="B23" s="95" t="str">
        <f>IF(Lists!G16="","",Lists!G16)</f>
        <v/>
      </c>
      <c r="C23" s="109">
        <f>SUMIFS('P-EST-Hangers'!H:H,P_HangerName,Hangers[[#This Row],[Column1]])</f>
        <v>0</v>
      </c>
      <c r="D23" s="115">
        <f>SUMIFS('P-EST-Hangers'!J:J,P_HangerName,Hangers[[#This Row],[Column1]])</f>
        <v>0</v>
      </c>
      <c r="E23" s="85" t="str">
        <f t="shared" si="0"/>
        <v/>
      </c>
      <c r="F23" s="119">
        <f>SUMIFS('P-EST-Hangers'!K:K,P_HangerName,Hangers[[#This Row],[Column1]])</f>
        <v>0</v>
      </c>
      <c r="G23" s="110"/>
      <c r="H23" s="12"/>
      <c r="I23"/>
      <c r="J23" s="93"/>
    </row>
    <row r="24" spans="2:10" x14ac:dyDescent="0.3">
      <c r="B24" s="95" t="str">
        <f>IF(Lists!G17="","",Lists!G17)</f>
        <v/>
      </c>
      <c r="C24" s="109">
        <f>SUMIFS('P-EST-Hangers'!H:H,P_HangerName,Hangers[[#This Row],[Column1]])</f>
        <v>0</v>
      </c>
      <c r="D24" s="115">
        <f>SUMIFS('P-EST-Hangers'!J:J,P_HangerName,Hangers[[#This Row],[Column1]])</f>
        <v>0</v>
      </c>
      <c r="E24" s="85" t="str">
        <f t="shared" si="0"/>
        <v/>
      </c>
      <c r="F24" s="119">
        <f>SUMIFS('P-EST-Hangers'!K:K,P_HangerName,Hangers[[#This Row],[Column1]])</f>
        <v>0</v>
      </c>
      <c r="G24" s="110"/>
      <c r="H24" s="12"/>
      <c r="I24"/>
      <c r="J24" s="93"/>
    </row>
    <row r="25" spans="2:10" x14ac:dyDescent="0.3">
      <c r="B25" s="95" t="str">
        <f>IF(Lists!G18="","",Lists!G18)</f>
        <v/>
      </c>
      <c r="C25" s="109">
        <f>SUMIFS('P-EST-Hangers'!H:H,P_HangerName,Hangers[[#This Row],[Column1]])</f>
        <v>0</v>
      </c>
      <c r="D25" s="115">
        <f>SUMIFS('P-EST-Hangers'!J:J,P_HangerName,Hangers[[#This Row],[Column1]])</f>
        <v>0</v>
      </c>
      <c r="E25" s="85" t="str">
        <f t="shared" si="0"/>
        <v/>
      </c>
      <c r="F25" s="119">
        <f>SUMIFS('P-EST-Hangers'!K:K,P_HangerName,Hangers[[#This Row],[Column1]])</f>
        <v>0</v>
      </c>
      <c r="G25" s="110"/>
      <c r="H25" s="12"/>
      <c r="I25"/>
      <c r="J25" s="93"/>
    </row>
    <row r="26" spans="2:10" x14ac:dyDescent="0.3">
      <c r="B26" s="95" t="str">
        <f>IF(Lists!G19="","",Lists!G19)</f>
        <v/>
      </c>
      <c r="C26" s="109">
        <f>SUMIFS('P-EST-Hangers'!H:H,P_HangerName,Hangers[[#This Row],[Column1]])</f>
        <v>0</v>
      </c>
      <c r="D26" s="115">
        <f>SUMIFS('P-EST-Hangers'!J:J,P_HangerName,Hangers[[#This Row],[Column1]])</f>
        <v>0</v>
      </c>
      <c r="E26" s="85" t="str">
        <f t="shared" si="0"/>
        <v/>
      </c>
      <c r="F26" s="119">
        <f>SUMIFS('P-EST-Hangers'!K:K,P_HangerName,Hangers[[#This Row],[Column1]])</f>
        <v>0</v>
      </c>
      <c r="G26" s="110"/>
      <c r="H26" s="12"/>
      <c r="I26"/>
      <c r="J26" s="93"/>
    </row>
    <row r="27" spans="2:10" x14ac:dyDescent="0.3">
      <c r="B27" s="95" t="str">
        <f>IF(Lists!G20="","",Lists!G20)</f>
        <v/>
      </c>
      <c r="C27" s="109">
        <f>SUMIFS('P-EST-Hangers'!H:H,P_HangerName,Hangers[[#This Row],[Column1]])</f>
        <v>0</v>
      </c>
      <c r="D27" s="115">
        <f>SUMIFS('P-EST-Hangers'!J:J,P_HangerName,Hangers[[#This Row],[Column1]])</f>
        <v>0</v>
      </c>
      <c r="E27" s="85" t="str">
        <f t="shared" si="0"/>
        <v/>
      </c>
      <c r="F27" s="119">
        <f>SUMIFS('P-EST-Hangers'!K:K,P_HangerName,Hangers[[#This Row],[Column1]])</f>
        <v>0</v>
      </c>
      <c r="G27" s="110"/>
      <c r="H27" s="12"/>
      <c r="I27"/>
      <c r="J27" s="93"/>
    </row>
    <row r="28" spans="2:10" x14ac:dyDescent="0.3">
      <c r="B28" s="95" t="str">
        <f>IF(Lists!G21="","",Lists!G21)</f>
        <v/>
      </c>
      <c r="C28" s="109">
        <f>SUMIFS('P-EST-Hangers'!H:H,P_HangerName,Hangers[[#This Row],[Column1]])</f>
        <v>0</v>
      </c>
      <c r="D28" s="115">
        <f>SUMIFS('P-EST-Hangers'!J:J,P_HangerName,Hangers[[#This Row],[Column1]])</f>
        <v>0</v>
      </c>
      <c r="E28" s="85" t="str">
        <f t="shared" si="0"/>
        <v/>
      </c>
      <c r="F28" s="119">
        <f>SUMIFS('P-EST-Hangers'!K:K,P_HangerName,Hangers[[#This Row],[Column1]])</f>
        <v>0</v>
      </c>
      <c r="G28" s="110"/>
      <c r="H28" s="12"/>
      <c r="I28"/>
      <c r="J28" s="93"/>
    </row>
    <row r="29" spans="2:10" x14ac:dyDescent="0.3">
      <c r="B29" s="95" t="str">
        <f>IF(Lists!G22="","",Lists!G22)</f>
        <v/>
      </c>
      <c r="C29" s="109">
        <f>SUMIFS('P-EST-Hangers'!H:H,P_HangerName,Hangers[[#This Row],[Column1]])</f>
        <v>0</v>
      </c>
      <c r="D29" s="115">
        <f>SUMIFS('P-EST-Hangers'!J:J,P_HangerName,Hangers[[#This Row],[Column1]])</f>
        <v>0</v>
      </c>
      <c r="E29" s="85" t="str">
        <f t="shared" si="0"/>
        <v/>
      </c>
      <c r="F29" s="119">
        <f>SUMIFS('P-EST-Hangers'!K:K,P_HangerName,Hangers[[#This Row],[Column1]])</f>
        <v>0</v>
      </c>
      <c r="G29" s="110"/>
      <c r="H29" s="12"/>
      <c r="I29"/>
      <c r="J29" s="93"/>
    </row>
    <row r="30" spans="2:10" x14ac:dyDescent="0.3">
      <c r="B30" s="95" t="str">
        <f>IF(Lists!G23="","",Lists!G23)</f>
        <v/>
      </c>
      <c r="C30" s="109">
        <f>SUMIFS('P-EST-Hangers'!H:H,P_HangerName,Hangers[[#This Row],[Column1]])</f>
        <v>0</v>
      </c>
      <c r="D30" s="115">
        <f>SUMIFS('P-EST-Hangers'!J:J,P_HangerName,Hangers[[#This Row],[Column1]])</f>
        <v>0</v>
      </c>
      <c r="E30" s="85" t="str">
        <f t="shared" si="0"/>
        <v/>
      </c>
      <c r="F30" s="119">
        <f>SUMIFS('P-EST-Hangers'!K:K,P_HangerName,Hangers[[#This Row],[Column1]])</f>
        <v>0</v>
      </c>
      <c r="G30" s="110"/>
      <c r="H30" s="12"/>
      <c r="I30"/>
      <c r="J30" s="93"/>
    </row>
    <row r="31" spans="2:10" x14ac:dyDescent="0.3">
      <c r="B31" s="95" t="str">
        <f>IF(Lists!G24="","",Lists!G24)</f>
        <v/>
      </c>
      <c r="C31" s="109">
        <f>SUMIFS('P-EST-Hangers'!H:H,P_HangerName,Hangers[[#This Row],[Column1]])</f>
        <v>0</v>
      </c>
      <c r="D31" s="115">
        <f>SUMIFS('P-EST-Hangers'!J:J,P_HangerName,Hangers[[#This Row],[Column1]])</f>
        <v>0</v>
      </c>
      <c r="E31" s="85" t="str">
        <f t="shared" si="0"/>
        <v/>
      </c>
      <c r="F31" s="119">
        <f>SUMIFS('P-EST-Hangers'!K:K,P_HangerName,Hangers[[#This Row],[Column1]])</f>
        <v>0</v>
      </c>
      <c r="G31" s="110"/>
      <c r="H31" s="12"/>
      <c r="I31"/>
      <c r="J31" s="93"/>
    </row>
    <row r="32" spans="2:10" x14ac:dyDescent="0.3">
      <c r="B32" s="95" t="str">
        <f>IF(Lists!G25="","",Lists!G25)</f>
        <v/>
      </c>
      <c r="C32" s="109">
        <f>SUMIFS('P-EST-Hangers'!H:H,P_HangerName,Hangers[[#This Row],[Column1]])</f>
        <v>0</v>
      </c>
      <c r="D32" s="115">
        <f>SUMIFS('P-EST-Hangers'!J:J,P_HangerName,Hangers[[#This Row],[Column1]])</f>
        <v>0</v>
      </c>
      <c r="E32" s="85" t="str">
        <f t="shared" si="0"/>
        <v/>
      </c>
      <c r="F32" s="119">
        <f>SUMIFS('P-EST-Hangers'!K:K,P_HangerName,Hangers[[#This Row],[Column1]])</f>
        <v>0</v>
      </c>
      <c r="G32" s="110"/>
      <c r="H32" s="17"/>
      <c r="I32"/>
      <c r="J32" s="93"/>
    </row>
    <row r="33" spans="2:10" x14ac:dyDescent="0.3">
      <c r="B33" s="137" t="str">
        <f>IF(SUM(I9:I10)&gt;2,"Total w/Multiplier","Total")</f>
        <v>Total</v>
      </c>
      <c r="C33" s="118">
        <f>SUBTOTAL(109,Hangers[Column2])</f>
        <v>0</v>
      </c>
      <c r="D33" s="117">
        <f>SUBTOTAL(109,Hangers[Etime])*I9</f>
        <v>0</v>
      </c>
      <c r="E33" s="100" t="str">
        <f>IF(D33=0,"","hrs")</f>
        <v/>
      </c>
      <c r="F33" s="32">
        <f>SUBTOTAL(109,Hangers[Cost])*I10</f>
        <v>0</v>
      </c>
      <c r="G33" s="101"/>
      <c r="J33" s="93"/>
    </row>
  </sheetData>
  <sheetProtection selectLockedCells="1"/>
  <conditionalFormatting sqref="B33">
    <cfRule type="expression" dxfId="2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E9 E10:E32 C9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J33"/>
  <sheetViews>
    <sheetView showGridLines="0" workbookViewId="0">
      <selection activeCell="H13" sqref="H13"/>
    </sheetView>
  </sheetViews>
  <sheetFormatPr defaultRowHeight="14.4" x14ac:dyDescent="0.3"/>
  <cols>
    <col min="1" max="1" width="9.109375" customWidth="1"/>
    <col min="2" max="2" width="40.6640625" customWidth="1"/>
    <col min="3" max="3" width="9.6640625" style="13" customWidth="1"/>
    <col min="4" max="4" width="8.6640625" style="16" customWidth="1"/>
    <col min="5" max="5" width="8.6640625" style="13" customWidth="1"/>
    <col min="6" max="6" width="17" customWidth="1"/>
    <col min="7" max="7" width="5.6640625" customWidth="1"/>
    <col min="8" max="8" width="10.6640625" customWidth="1"/>
    <col min="9" max="9" width="6.6640625" style="93" customWidth="1"/>
    <col min="10" max="10" width="8.6640625" customWidth="1"/>
  </cols>
  <sheetData>
    <row r="1" spans="2:10" ht="6" customHeight="1" x14ac:dyDescent="0.3">
      <c r="J1" s="1"/>
    </row>
    <row r="2" spans="2:10" ht="39" customHeight="1" thickBot="1" x14ac:dyDescent="0.45">
      <c r="B2" s="2" t="s">
        <v>91</v>
      </c>
      <c r="C2" s="56"/>
      <c r="D2" s="36"/>
      <c r="E2" s="56"/>
      <c r="F2" s="2"/>
      <c r="G2" s="2"/>
      <c r="H2" s="2"/>
      <c r="I2" s="2"/>
      <c r="J2" s="15"/>
    </row>
    <row r="3" spans="2:10" ht="9" customHeight="1" thickTop="1" x14ac:dyDescent="0.3">
      <c r="I3"/>
      <c r="J3" s="1"/>
    </row>
    <row r="4" spans="2:10" x14ac:dyDescent="0.3">
      <c r="B4" s="3" t="str">
        <f>IF(ProjectName="","",ProjectName)</f>
        <v/>
      </c>
      <c r="H4" s="5" t="s">
        <v>10</v>
      </c>
      <c r="I4" s="92" t="str">
        <f>IF(EstimatorName="","",EstimatorName)</f>
        <v/>
      </c>
      <c r="J4" s="1"/>
    </row>
    <row r="5" spans="2:10" ht="15" customHeight="1" x14ac:dyDescent="0.3">
      <c r="B5" s="7" t="str">
        <f>IF(ProjectAddress="","",ProjectAddress)</f>
        <v/>
      </c>
      <c r="H5" s="5" t="s">
        <v>11</v>
      </c>
      <c r="I5" s="92" t="str">
        <f>IF(EstimateNo="","",EstimateNo)</f>
        <v/>
      </c>
      <c r="J5" s="1"/>
    </row>
    <row r="6" spans="2:10" ht="15" customHeight="1" x14ac:dyDescent="0.3">
      <c r="B6" s="7"/>
      <c r="H6" s="5"/>
      <c r="I6" s="92"/>
      <c r="J6" s="1"/>
    </row>
    <row r="7" spans="2:10" ht="23.4" x14ac:dyDescent="0.45">
      <c r="B7" s="6" t="s">
        <v>89</v>
      </c>
    </row>
    <row r="8" spans="2:10" ht="18" x14ac:dyDescent="0.35">
      <c r="B8" s="10" t="s">
        <v>31</v>
      </c>
      <c r="C8" s="114" t="s">
        <v>66</v>
      </c>
      <c r="D8" s="99" t="s">
        <v>37</v>
      </c>
      <c r="E8" s="99"/>
      <c r="F8" s="29" t="s">
        <v>138</v>
      </c>
      <c r="H8" s="102" t="s">
        <v>68</v>
      </c>
      <c r="I8" s="103"/>
    </row>
    <row r="9" spans="2:10" x14ac:dyDescent="0.3">
      <c r="B9" s="95" t="str">
        <f>IF(Lists!H2="","",Lists!H2)</f>
        <v/>
      </c>
      <c r="C9" s="109">
        <f>SUMIFS('P-EST-Sleeves'!G:G,P_SleeveName,Sleeves[[#This Row],[Column1]])</f>
        <v>0</v>
      </c>
      <c r="D9" s="115">
        <f>SUMIFS('P-EST-Sleeves'!I:I,P_SleeveName,Sleeves[[#This Row],[Column1]])</f>
        <v>0</v>
      </c>
      <c r="E9" s="85" t="str">
        <f t="shared" ref="E9:E32" si="0">IF(D9=0,"","hrs")</f>
        <v/>
      </c>
      <c r="F9" s="119">
        <f>SUMIFS('P-EST-Sleeves'!J:J,P_SleeveName,Sleeves[[#This Row],[Column1]])</f>
        <v>0</v>
      </c>
      <c r="G9" s="110"/>
      <c r="H9" s="104" t="s">
        <v>21</v>
      </c>
      <c r="I9" s="184">
        <v>1</v>
      </c>
    </row>
    <row r="10" spans="2:10" x14ac:dyDescent="0.3">
      <c r="B10" s="95" t="str">
        <f>IF(Lists!H3="","",Lists!H3)</f>
        <v/>
      </c>
      <c r="C10" s="109">
        <f>SUMIFS('P-EST-Sleeves'!G:G,P_SleeveName,Sleeves[[#This Row],[Column1]])</f>
        <v>0</v>
      </c>
      <c r="D10" s="115">
        <f>SUMIFS('P-EST-Sleeves'!I:I,P_SleeveName,Sleeves[[#This Row],[Column1]])</f>
        <v>0</v>
      </c>
      <c r="E10" s="85" t="str">
        <f t="shared" si="0"/>
        <v/>
      </c>
      <c r="F10" s="119">
        <f>SUMIFS('P-EST-Sleeves'!J:J,P_SleeveName,Sleeves[[#This Row],[Column1]])</f>
        <v>0</v>
      </c>
      <c r="G10" s="110"/>
      <c r="H10" s="105" t="s">
        <v>29</v>
      </c>
      <c r="I10" s="185">
        <v>1</v>
      </c>
    </row>
    <row r="11" spans="2:10" x14ac:dyDescent="0.3">
      <c r="B11" s="95" t="str">
        <f>IF(Lists!H4="","",Lists!H4)</f>
        <v/>
      </c>
      <c r="C11" s="109">
        <f>SUMIFS('P-EST-Sleeves'!G:G,P_SleeveName,Sleeves[[#This Row],[Column1]])</f>
        <v>0</v>
      </c>
      <c r="D11" s="115">
        <f>SUMIFS('P-EST-Sleeves'!I:I,P_SleeveName,Sleeves[[#This Row],[Column1]])</f>
        <v>0</v>
      </c>
      <c r="E11" s="85" t="str">
        <f t="shared" si="0"/>
        <v/>
      </c>
      <c r="F11" s="119">
        <f>SUMIFS('P-EST-Sleeves'!J:J,P_SleeveName,Sleeves[[#This Row],[Column1]])</f>
        <v>0</v>
      </c>
      <c r="G11" s="110"/>
      <c r="H11" s="12"/>
      <c r="I11"/>
    </row>
    <row r="12" spans="2:10" x14ac:dyDescent="0.3">
      <c r="B12" s="95" t="str">
        <f>IF(Lists!H5="","",Lists!H5)</f>
        <v/>
      </c>
      <c r="C12" s="109">
        <f>SUMIFS('P-EST-Sleeves'!G:G,P_SleeveName,Sleeves[[#This Row],[Column1]])</f>
        <v>0</v>
      </c>
      <c r="D12" s="115">
        <f>SUMIFS('P-EST-Sleeves'!I:I,P_SleeveName,Sleeves[[#This Row],[Column1]])</f>
        <v>0</v>
      </c>
      <c r="E12" s="85" t="str">
        <f t="shared" si="0"/>
        <v/>
      </c>
      <c r="F12" s="119">
        <f>SUMIFS('P-EST-Sleeves'!J:J,P_SleeveName,Sleeves[[#This Row],[Column1]])</f>
        <v>0</v>
      </c>
      <c r="G12" s="110"/>
      <c r="H12" s="12"/>
      <c r="I12"/>
      <c r="J12" s="93"/>
    </row>
    <row r="13" spans="2:10" x14ac:dyDescent="0.3">
      <c r="B13" s="95" t="str">
        <f>IF(Lists!H6="","",Lists!H6)</f>
        <v/>
      </c>
      <c r="C13" s="109">
        <f>SUMIFS('P-EST-Sleeves'!G:G,P_SleeveName,Sleeves[[#This Row],[Column1]])</f>
        <v>0</v>
      </c>
      <c r="D13" s="115">
        <f>SUMIFS('P-EST-Sleeves'!I:I,P_SleeveName,Sleeves[[#This Row],[Column1]])</f>
        <v>0</v>
      </c>
      <c r="E13" s="85" t="str">
        <f t="shared" si="0"/>
        <v/>
      </c>
      <c r="F13" s="119">
        <f>SUMIFS('P-EST-Sleeves'!J:J,P_SleeveName,Sleeves[[#This Row],[Column1]])</f>
        <v>0</v>
      </c>
      <c r="G13" s="110"/>
      <c r="H13" s="12"/>
      <c r="I13"/>
      <c r="J13" s="93"/>
    </row>
    <row r="14" spans="2:10" x14ac:dyDescent="0.3">
      <c r="B14" s="95" t="str">
        <f>IF(Lists!H7="","",Lists!H7)</f>
        <v/>
      </c>
      <c r="C14" s="109">
        <f>SUMIFS('P-EST-Sleeves'!G:G,P_SleeveName,Sleeves[[#This Row],[Column1]])</f>
        <v>0</v>
      </c>
      <c r="D14" s="115">
        <f>SUMIFS('P-EST-Sleeves'!I:I,P_SleeveName,Sleeves[[#This Row],[Column1]])</f>
        <v>0</v>
      </c>
      <c r="E14" s="85" t="str">
        <f t="shared" si="0"/>
        <v/>
      </c>
      <c r="F14" s="119">
        <f>SUMIFS('P-EST-Sleeves'!J:J,P_SleeveName,Sleeves[[#This Row],[Column1]])</f>
        <v>0</v>
      </c>
      <c r="G14" s="110"/>
      <c r="H14" s="12"/>
      <c r="I14"/>
      <c r="J14" s="93"/>
    </row>
    <row r="15" spans="2:10" x14ac:dyDescent="0.3">
      <c r="B15" s="95" t="str">
        <f>IF(Lists!H8="","",Lists!H8)</f>
        <v/>
      </c>
      <c r="C15" s="109">
        <f>SUMIFS('P-EST-Sleeves'!G:G,P_SleeveName,Sleeves[[#This Row],[Column1]])</f>
        <v>0</v>
      </c>
      <c r="D15" s="115">
        <f>SUMIFS('P-EST-Sleeves'!I:I,P_SleeveName,Sleeves[[#This Row],[Column1]])</f>
        <v>0</v>
      </c>
      <c r="E15" s="85" t="str">
        <f t="shared" si="0"/>
        <v/>
      </c>
      <c r="F15" s="119">
        <f>SUMIFS('P-EST-Sleeves'!J:J,P_SleeveName,Sleeves[[#This Row],[Column1]])</f>
        <v>0</v>
      </c>
      <c r="G15" s="110"/>
      <c r="H15" s="12"/>
      <c r="I15"/>
      <c r="J15" s="93"/>
    </row>
    <row r="16" spans="2:10" x14ac:dyDescent="0.3">
      <c r="B16" s="95" t="str">
        <f>IF(Lists!H9="","",Lists!H9)</f>
        <v/>
      </c>
      <c r="C16" s="109">
        <f>SUMIFS('P-EST-Sleeves'!G:G,P_SleeveName,Sleeves[[#This Row],[Column1]])</f>
        <v>0</v>
      </c>
      <c r="D16" s="115">
        <f>SUMIFS('P-EST-Sleeves'!I:I,P_SleeveName,Sleeves[[#This Row],[Column1]])</f>
        <v>0</v>
      </c>
      <c r="E16" s="85" t="str">
        <f t="shared" si="0"/>
        <v/>
      </c>
      <c r="F16" s="119">
        <f>SUMIFS('P-EST-Sleeves'!J:J,P_SleeveName,Sleeves[[#This Row],[Column1]])</f>
        <v>0</v>
      </c>
      <c r="G16" s="110"/>
      <c r="H16" s="12"/>
      <c r="I16"/>
      <c r="J16" s="93"/>
    </row>
    <row r="17" spans="2:10" x14ac:dyDescent="0.3">
      <c r="B17" s="95" t="str">
        <f>IF(Lists!H10="","",Lists!H10)</f>
        <v/>
      </c>
      <c r="C17" s="109">
        <f>SUMIFS('P-EST-Sleeves'!G:G,P_SleeveName,Sleeves[[#This Row],[Column1]])</f>
        <v>0</v>
      </c>
      <c r="D17" s="115">
        <f>SUMIFS('P-EST-Sleeves'!I:I,P_SleeveName,Sleeves[[#This Row],[Column1]])</f>
        <v>0</v>
      </c>
      <c r="E17" s="85" t="str">
        <f t="shared" si="0"/>
        <v/>
      </c>
      <c r="F17" s="119">
        <f>SUMIFS('P-EST-Sleeves'!J:J,P_SleeveName,Sleeves[[#This Row],[Column1]])</f>
        <v>0</v>
      </c>
      <c r="G17" s="110"/>
      <c r="H17" s="12"/>
      <c r="I17"/>
      <c r="J17" s="93"/>
    </row>
    <row r="18" spans="2:10" x14ac:dyDescent="0.3">
      <c r="B18" s="95" t="str">
        <f>IF(Lists!H11="","",Lists!H11)</f>
        <v/>
      </c>
      <c r="C18" s="109">
        <f>SUMIFS('P-EST-Sleeves'!G:G,P_SleeveName,Sleeves[[#This Row],[Column1]])</f>
        <v>0</v>
      </c>
      <c r="D18" s="115">
        <f>SUMIFS('P-EST-Sleeves'!I:I,P_SleeveName,Sleeves[[#This Row],[Column1]])</f>
        <v>0</v>
      </c>
      <c r="E18" s="85" t="str">
        <f t="shared" si="0"/>
        <v/>
      </c>
      <c r="F18" s="119">
        <f>SUMIFS('P-EST-Sleeves'!J:J,P_SleeveName,Sleeves[[#This Row],[Column1]])</f>
        <v>0</v>
      </c>
      <c r="G18" s="110"/>
      <c r="H18" s="12"/>
      <c r="I18"/>
      <c r="J18" s="93"/>
    </row>
    <row r="19" spans="2:10" x14ac:dyDescent="0.3">
      <c r="B19" s="95" t="str">
        <f>IF(Lists!H12="","",Lists!H12)</f>
        <v/>
      </c>
      <c r="C19" s="109">
        <f>SUMIFS('P-EST-Sleeves'!G:G,P_SleeveName,Sleeves[[#This Row],[Column1]])</f>
        <v>0</v>
      </c>
      <c r="D19" s="115">
        <f>SUMIFS('P-EST-Sleeves'!I:I,P_SleeveName,Sleeves[[#This Row],[Column1]])</f>
        <v>0</v>
      </c>
      <c r="E19" s="85" t="str">
        <f t="shared" si="0"/>
        <v/>
      </c>
      <c r="F19" s="119">
        <f>SUMIFS('P-EST-Sleeves'!J:J,P_SleeveName,Sleeves[[#This Row],[Column1]])</f>
        <v>0</v>
      </c>
      <c r="G19" s="110"/>
      <c r="H19" s="12"/>
      <c r="I19"/>
      <c r="J19" s="93"/>
    </row>
    <row r="20" spans="2:10" x14ac:dyDescent="0.3">
      <c r="B20" s="95" t="str">
        <f>IF(Lists!H13="","",Lists!H13)</f>
        <v/>
      </c>
      <c r="C20" s="109">
        <f>SUMIFS('P-EST-Sleeves'!G:G,P_SleeveName,Sleeves[[#This Row],[Column1]])</f>
        <v>0</v>
      </c>
      <c r="D20" s="115">
        <f>SUMIFS('P-EST-Sleeves'!I:I,P_SleeveName,Sleeves[[#This Row],[Column1]])</f>
        <v>0</v>
      </c>
      <c r="E20" s="85" t="str">
        <f t="shared" si="0"/>
        <v/>
      </c>
      <c r="F20" s="119">
        <f>SUMIFS('P-EST-Sleeves'!J:J,P_SleeveName,Sleeves[[#This Row],[Column1]])</f>
        <v>0</v>
      </c>
      <c r="G20" s="110"/>
      <c r="H20" s="12"/>
      <c r="I20"/>
      <c r="J20" s="93"/>
    </row>
    <row r="21" spans="2:10" x14ac:dyDescent="0.3">
      <c r="B21" s="95" t="str">
        <f>IF(Lists!H14="","",Lists!H14)</f>
        <v/>
      </c>
      <c r="C21" s="109">
        <f>SUMIFS('P-EST-Sleeves'!G:G,P_SleeveName,Sleeves[[#This Row],[Column1]])</f>
        <v>0</v>
      </c>
      <c r="D21" s="115">
        <f>SUMIFS('P-EST-Sleeves'!I:I,P_SleeveName,Sleeves[[#This Row],[Column1]])</f>
        <v>0</v>
      </c>
      <c r="E21" s="85" t="str">
        <f t="shared" si="0"/>
        <v/>
      </c>
      <c r="F21" s="119">
        <f>SUMIFS('P-EST-Sleeves'!J:J,P_SleeveName,Sleeves[[#This Row],[Column1]])</f>
        <v>0</v>
      </c>
      <c r="G21" s="110"/>
      <c r="H21" s="12"/>
      <c r="I21"/>
      <c r="J21" s="93"/>
    </row>
    <row r="22" spans="2:10" x14ac:dyDescent="0.3">
      <c r="B22" s="95" t="str">
        <f>IF(Lists!H15="","",Lists!H15)</f>
        <v/>
      </c>
      <c r="C22" s="109">
        <f>SUMIFS('P-EST-Sleeves'!G:G,P_SleeveName,Sleeves[[#This Row],[Column1]])</f>
        <v>0</v>
      </c>
      <c r="D22" s="115">
        <f>SUMIFS('P-EST-Sleeves'!I:I,P_SleeveName,Sleeves[[#This Row],[Column1]])</f>
        <v>0</v>
      </c>
      <c r="E22" s="85" t="str">
        <f t="shared" si="0"/>
        <v/>
      </c>
      <c r="F22" s="119">
        <f>SUMIFS('P-EST-Sleeves'!J:J,P_SleeveName,Sleeves[[#This Row],[Column1]])</f>
        <v>0</v>
      </c>
      <c r="G22" s="110"/>
      <c r="H22" s="12"/>
      <c r="I22"/>
      <c r="J22" s="93"/>
    </row>
    <row r="23" spans="2:10" x14ac:dyDescent="0.3">
      <c r="B23" s="95" t="str">
        <f>IF(Lists!H16="","",Lists!H16)</f>
        <v/>
      </c>
      <c r="C23" s="109">
        <f>SUMIFS('P-EST-Sleeves'!G:G,P_SleeveName,Sleeves[[#This Row],[Column1]])</f>
        <v>0</v>
      </c>
      <c r="D23" s="115">
        <f>SUMIFS('P-EST-Sleeves'!I:I,P_SleeveName,Sleeves[[#This Row],[Column1]])</f>
        <v>0</v>
      </c>
      <c r="E23" s="85" t="str">
        <f t="shared" si="0"/>
        <v/>
      </c>
      <c r="F23" s="119">
        <f>SUMIFS('P-EST-Sleeves'!J:J,P_SleeveName,Sleeves[[#This Row],[Column1]])</f>
        <v>0</v>
      </c>
      <c r="G23" s="110"/>
      <c r="H23" s="12"/>
      <c r="I23"/>
      <c r="J23" s="93"/>
    </row>
    <row r="24" spans="2:10" x14ac:dyDescent="0.3">
      <c r="B24" s="95" t="str">
        <f>IF(Lists!H17="","",Lists!H17)</f>
        <v/>
      </c>
      <c r="C24" s="109">
        <f>SUMIFS('P-EST-Sleeves'!G:G,P_SleeveName,Sleeves[[#This Row],[Column1]])</f>
        <v>0</v>
      </c>
      <c r="D24" s="115">
        <f>SUMIFS('P-EST-Sleeves'!I:I,P_SleeveName,Sleeves[[#This Row],[Column1]])</f>
        <v>0</v>
      </c>
      <c r="E24" s="85" t="str">
        <f t="shared" si="0"/>
        <v/>
      </c>
      <c r="F24" s="119">
        <f>SUMIFS('P-EST-Sleeves'!J:J,P_SleeveName,Sleeves[[#This Row],[Column1]])</f>
        <v>0</v>
      </c>
      <c r="G24" s="110"/>
      <c r="H24" s="12"/>
      <c r="I24"/>
      <c r="J24" s="93"/>
    </row>
    <row r="25" spans="2:10" x14ac:dyDescent="0.3">
      <c r="B25" s="95" t="str">
        <f>IF(Lists!H18="","",Lists!H18)</f>
        <v/>
      </c>
      <c r="C25" s="109">
        <f>SUMIFS('P-EST-Sleeves'!G:G,P_SleeveName,Sleeves[[#This Row],[Column1]])</f>
        <v>0</v>
      </c>
      <c r="D25" s="115">
        <f>SUMIFS('P-EST-Sleeves'!I:I,P_SleeveName,Sleeves[[#This Row],[Column1]])</f>
        <v>0</v>
      </c>
      <c r="E25" s="85" t="str">
        <f t="shared" si="0"/>
        <v/>
      </c>
      <c r="F25" s="119">
        <f>SUMIFS('P-EST-Sleeves'!J:J,P_SleeveName,Sleeves[[#This Row],[Column1]])</f>
        <v>0</v>
      </c>
      <c r="G25" s="110"/>
      <c r="H25" s="12"/>
      <c r="I25"/>
      <c r="J25" s="93"/>
    </row>
    <row r="26" spans="2:10" x14ac:dyDescent="0.3">
      <c r="B26" s="95" t="str">
        <f>IF(Lists!H19="","",Lists!H19)</f>
        <v/>
      </c>
      <c r="C26" s="109">
        <f>SUMIFS('P-EST-Sleeves'!G:G,P_SleeveName,Sleeves[[#This Row],[Column1]])</f>
        <v>0</v>
      </c>
      <c r="D26" s="115">
        <f>SUMIFS('P-EST-Sleeves'!I:I,P_SleeveName,Sleeves[[#This Row],[Column1]])</f>
        <v>0</v>
      </c>
      <c r="E26" s="85" t="str">
        <f t="shared" si="0"/>
        <v/>
      </c>
      <c r="F26" s="119">
        <f>SUMIFS('P-EST-Sleeves'!J:J,P_SleeveName,Sleeves[[#This Row],[Column1]])</f>
        <v>0</v>
      </c>
      <c r="G26" s="110"/>
      <c r="H26" s="12"/>
      <c r="I26"/>
      <c r="J26" s="93"/>
    </row>
    <row r="27" spans="2:10" x14ac:dyDescent="0.3">
      <c r="B27" s="95" t="str">
        <f>IF(Lists!H20="","",Lists!H20)</f>
        <v/>
      </c>
      <c r="C27" s="109">
        <f>SUMIFS('P-EST-Sleeves'!G:G,P_SleeveName,Sleeves[[#This Row],[Column1]])</f>
        <v>0</v>
      </c>
      <c r="D27" s="115">
        <f>SUMIFS('P-EST-Sleeves'!I:I,P_SleeveName,Sleeves[[#This Row],[Column1]])</f>
        <v>0</v>
      </c>
      <c r="E27" s="85" t="str">
        <f t="shared" si="0"/>
        <v/>
      </c>
      <c r="F27" s="119">
        <f>SUMIFS('P-EST-Sleeves'!J:J,P_SleeveName,Sleeves[[#This Row],[Column1]])</f>
        <v>0</v>
      </c>
      <c r="G27" s="110"/>
      <c r="H27" s="12"/>
      <c r="I27"/>
      <c r="J27" s="93"/>
    </row>
    <row r="28" spans="2:10" x14ac:dyDescent="0.3">
      <c r="B28" s="95" t="str">
        <f>IF(Lists!H21="","",Lists!H21)</f>
        <v/>
      </c>
      <c r="C28" s="109">
        <f>SUMIFS('P-EST-Sleeves'!G:G,P_SleeveName,Sleeves[[#This Row],[Column1]])</f>
        <v>0</v>
      </c>
      <c r="D28" s="115">
        <f>SUMIFS('P-EST-Sleeves'!I:I,P_SleeveName,Sleeves[[#This Row],[Column1]])</f>
        <v>0</v>
      </c>
      <c r="E28" s="85" t="str">
        <f t="shared" si="0"/>
        <v/>
      </c>
      <c r="F28" s="119">
        <f>SUMIFS('P-EST-Sleeves'!J:J,P_SleeveName,Sleeves[[#This Row],[Column1]])</f>
        <v>0</v>
      </c>
      <c r="G28" s="110"/>
      <c r="H28" s="12"/>
      <c r="I28"/>
      <c r="J28" s="93"/>
    </row>
    <row r="29" spans="2:10" x14ac:dyDescent="0.3">
      <c r="B29" s="95" t="str">
        <f>IF(Lists!H22="","",Lists!H22)</f>
        <v/>
      </c>
      <c r="C29" s="109">
        <f>SUMIFS('P-EST-Sleeves'!G:G,P_SleeveName,Sleeves[[#This Row],[Column1]])</f>
        <v>0</v>
      </c>
      <c r="D29" s="115">
        <f>SUMIFS('P-EST-Sleeves'!I:I,P_SleeveName,Sleeves[[#This Row],[Column1]])</f>
        <v>0</v>
      </c>
      <c r="E29" s="85" t="str">
        <f t="shared" si="0"/>
        <v/>
      </c>
      <c r="F29" s="119">
        <f>SUMIFS('P-EST-Sleeves'!J:J,P_SleeveName,Sleeves[[#This Row],[Column1]])</f>
        <v>0</v>
      </c>
      <c r="G29" s="110"/>
      <c r="H29" s="12"/>
      <c r="I29"/>
      <c r="J29" s="93"/>
    </row>
    <row r="30" spans="2:10" x14ac:dyDescent="0.3">
      <c r="B30" s="95" t="str">
        <f>IF(Lists!H23="","",Lists!H23)</f>
        <v/>
      </c>
      <c r="C30" s="109">
        <f>SUMIFS('P-EST-Sleeves'!G:G,P_SleeveName,Sleeves[[#This Row],[Column1]])</f>
        <v>0</v>
      </c>
      <c r="D30" s="115">
        <f>SUMIFS('P-EST-Sleeves'!I:I,P_SleeveName,Sleeves[[#This Row],[Column1]])</f>
        <v>0</v>
      </c>
      <c r="E30" s="85" t="str">
        <f t="shared" si="0"/>
        <v/>
      </c>
      <c r="F30" s="119">
        <f>SUMIFS('P-EST-Sleeves'!J:J,P_SleeveName,Sleeves[[#This Row],[Column1]])</f>
        <v>0</v>
      </c>
      <c r="G30" s="110"/>
      <c r="H30" s="12"/>
      <c r="I30"/>
      <c r="J30" s="93"/>
    </row>
    <row r="31" spans="2:10" x14ac:dyDescent="0.3">
      <c r="B31" s="95" t="str">
        <f>IF(Lists!H24="","",Lists!H24)</f>
        <v/>
      </c>
      <c r="C31" s="109">
        <f>SUMIFS('P-EST-Sleeves'!G:G,P_SleeveName,Sleeves[[#This Row],[Column1]])</f>
        <v>0</v>
      </c>
      <c r="D31" s="115">
        <f>SUMIFS('P-EST-Sleeves'!I:I,P_SleeveName,Sleeves[[#This Row],[Column1]])</f>
        <v>0</v>
      </c>
      <c r="E31" s="85" t="str">
        <f t="shared" si="0"/>
        <v/>
      </c>
      <c r="F31" s="119">
        <f>SUMIFS('P-EST-Sleeves'!J:J,P_SleeveName,Sleeves[[#This Row],[Column1]])</f>
        <v>0</v>
      </c>
      <c r="G31" s="110"/>
      <c r="H31" s="12"/>
      <c r="I31"/>
      <c r="J31" s="93"/>
    </row>
    <row r="32" spans="2:10" x14ac:dyDescent="0.3">
      <c r="B32" s="95" t="str">
        <f>IF(Lists!H25="","",Lists!H25)</f>
        <v/>
      </c>
      <c r="C32" s="109">
        <f>SUMIFS('P-EST-Sleeves'!G:G,P_SleeveName,Sleeves[[#This Row],[Column1]])</f>
        <v>0</v>
      </c>
      <c r="D32" s="115">
        <f>SUMIFS('P-EST-Sleeves'!I:I,P_SleeveName,Sleeves[[#This Row],[Column1]])</f>
        <v>0</v>
      </c>
      <c r="E32" s="85" t="str">
        <f t="shared" si="0"/>
        <v/>
      </c>
      <c r="F32" s="119">
        <f>SUMIFS('P-EST-Sleeves'!J:J,P_SleeveName,Sleeves[[#This Row],[Column1]])</f>
        <v>0</v>
      </c>
      <c r="G32" s="110"/>
      <c r="H32" s="17"/>
      <c r="I32"/>
      <c r="J32" s="93"/>
    </row>
    <row r="33" spans="2:10" x14ac:dyDescent="0.3">
      <c r="B33" s="137" t="str">
        <f>IF(SUM(I9:I10)&gt;2,"Total w/Multiplier","Total")</f>
        <v>Total</v>
      </c>
      <c r="C33" s="118">
        <f>SUBTOTAL(109,Sleeves[Column2])</f>
        <v>0</v>
      </c>
      <c r="D33" s="117">
        <f>SUBTOTAL(109,Sleeves[Etime])*I9</f>
        <v>0</v>
      </c>
      <c r="E33" s="100" t="str">
        <f>IF(D33=0,"","hrs")</f>
        <v/>
      </c>
      <c r="F33" s="32">
        <f>SUBTOTAL(109,Sleeves[Cost])*I10</f>
        <v>0</v>
      </c>
      <c r="G33" s="101"/>
      <c r="J33" s="93"/>
    </row>
  </sheetData>
  <sheetProtection selectLockedCells="1"/>
  <conditionalFormatting sqref="B33">
    <cfRule type="expression" dxfId="1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33"/>
  <sheetViews>
    <sheetView showGridLines="0" workbookViewId="0">
      <selection activeCell="E18" sqref="E18"/>
    </sheetView>
  </sheetViews>
  <sheetFormatPr defaultRowHeight="14.4" x14ac:dyDescent="0.3"/>
  <cols>
    <col min="1" max="1" width="9.109375" customWidth="1"/>
    <col min="2" max="2" width="40.6640625" customWidth="1"/>
    <col min="3" max="3" width="10.6640625" customWidth="1"/>
    <col min="4" max="4" width="7.6640625" style="13" customWidth="1"/>
    <col min="5" max="5" width="7.6640625" style="16" customWidth="1"/>
    <col min="6" max="6" width="7.6640625" style="13" customWidth="1"/>
    <col min="7" max="7" width="13.6640625" style="13" customWidth="1"/>
    <col min="8" max="8" width="13.6640625" customWidth="1"/>
    <col min="9" max="9" width="5.6640625" customWidth="1"/>
    <col min="10" max="10" width="10.6640625" customWidth="1"/>
    <col min="11" max="11" width="6.6640625" style="93" customWidth="1"/>
    <col min="12" max="12" width="8.6640625" customWidth="1"/>
    <col min="16" max="16" width="13.33203125" customWidth="1"/>
  </cols>
  <sheetData>
    <row r="1" spans="2:14" ht="6" customHeight="1" x14ac:dyDescent="0.3">
      <c r="L1" s="1"/>
      <c r="M1" s="14"/>
      <c r="N1" s="1"/>
    </row>
    <row r="2" spans="2:14" ht="39" customHeight="1" thickBot="1" x14ac:dyDescent="0.45">
      <c r="B2" s="2" t="s">
        <v>72</v>
      </c>
      <c r="C2" s="2"/>
      <c r="D2" s="56"/>
      <c r="E2" s="36"/>
      <c r="F2" s="56"/>
      <c r="G2" s="56"/>
      <c r="H2" s="2"/>
      <c r="I2" s="2"/>
      <c r="J2" s="2"/>
      <c r="K2" s="2"/>
      <c r="L2" s="15"/>
    </row>
    <row r="3" spans="2:14" ht="9" customHeight="1" thickTop="1" x14ac:dyDescent="0.3">
      <c r="K3"/>
      <c r="L3" s="1"/>
      <c r="M3" s="14"/>
      <c r="N3" s="1"/>
    </row>
    <row r="4" spans="2:14" x14ac:dyDescent="0.3">
      <c r="B4" s="3" t="str">
        <f>IF(ProjectName="","",ProjectName)</f>
        <v/>
      </c>
      <c r="J4" s="5" t="s">
        <v>10</v>
      </c>
      <c r="K4" s="4" t="str">
        <f>IF(EstimatorName="","",EstimatorName)</f>
        <v/>
      </c>
      <c r="L4" s="1"/>
      <c r="M4" s="14"/>
      <c r="N4" s="1"/>
    </row>
    <row r="5" spans="2:14" ht="15" customHeight="1" x14ac:dyDescent="0.3">
      <c r="B5" s="7" t="str">
        <f>IF(ProjectAddress="","",ProjectAddress)</f>
        <v/>
      </c>
      <c r="J5" s="5" t="s">
        <v>11</v>
      </c>
      <c r="K5" s="4" t="str">
        <f>IF(EstimateNo="","",EstimateNo)</f>
        <v/>
      </c>
      <c r="L5" s="1"/>
      <c r="M5" s="14"/>
      <c r="N5" s="1"/>
    </row>
    <row r="6" spans="2:14" ht="15" customHeight="1" x14ac:dyDescent="0.3">
      <c r="B6" s="7"/>
      <c r="J6" s="5"/>
      <c r="K6" s="92"/>
      <c r="L6" s="1"/>
      <c r="M6" s="14"/>
      <c r="N6" s="1"/>
    </row>
    <row r="7" spans="2:14" ht="23.4" x14ac:dyDescent="0.45">
      <c r="B7" s="6" t="s">
        <v>3</v>
      </c>
    </row>
    <row r="8" spans="2:14" ht="18" x14ac:dyDescent="0.35">
      <c r="B8" s="10" t="s">
        <v>31</v>
      </c>
      <c r="C8" s="35" t="s">
        <v>33</v>
      </c>
      <c r="D8" s="94" t="s">
        <v>66</v>
      </c>
      <c r="E8" s="99" t="s">
        <v>37</v>
      </c>
      <c r="F8" s="99"/>
      <c r="G8" s="11" t="s">
        <v>69</v>
      </c>
      <c r="H8" s="11" t="s">
        <v>70</v>
      </c>
      <c r="J8" s="102" t="s">
        <v>68</v>
      </c>
      <c r="K8" s="103"/>
    </row>
    <row r="9" spans="2:14" x14ac:dyDescent="0.3">
      <c r="B9" s="86" t="str">
        <f>IF('P-EST-Equipment'!F2="","",'P-EST-Equipment'!F2)</f>
        <v/>
      </c>
      <c r="C9" s="125" t="str">
        <f>IF('P-EST-Equipment'!E2="","",'P-EST-Equipment'!E2)</f>
        <v/>
      </c>
      <c r="D9" s="96" t="str">
        <f>IF('P-EST-Equipment'!J2=0,"",'P-EST-Equipment'!J2)</f>
        <v/>
      </c>
      <c r="E9" s="115" t="str">
        <f>IF('P-EST-Equipment'!I2=0,"",'P-EST-Equipment'!I2*24)</f>
        <v/>
      </c>
      <c r="F9" s="85" t="str">
        <f t="shared" ref="F9:F32" si="0">IF(E9="","","hrs")</f>
        <v/>
      </c>
      <c r="G9" s="121"/>
      <c r="H9" s="119" t="str">
        <f>IFERROR(Equipment[[#This Row],[Column2]]*Equipment[[#This Row],[Column5]],"")</f>
        <v/>
      </c>
      <c r="I9" s="12"/>
      <c r="J9" s="104" t="s">
        <v>21</v>
      </c>
      <c r="K9" s="184">
        <v>1</v>
      </c>
    </row>
    <row r="10" spans="2:14" x14ac:dyDescent="0.3">
      <c r="B10" s="95" t="str">
        <f>IF('P-EST-Equipment'!F3="","",'P-EST-Equipment'!F3)</f>
        <v/>
      </c>
      <c r="C10" s="125" t="str">
        <f>IF('P-EST-Equipment'!E3="","",'P-EST-Equipment'!E3)</f>
        <v/>
      </c>
      <c r="D10" s="96" t="str">
        <f>IF('P-EST-Equipment'!J3=0,"",'P-EST-Equipment'!J3)</f>
        <v/>
      </c>
      <c r="E10" s="115" t="str">
        <f>IF('P-EST-Equipment'!I3=0,"",'P-EST-Equipment'!I3*24)</f>
        <v/>
      </c>
      <c r="F10" s="85" t="str">
        <f t="shared" si="0"/>
        <v/>
      </c>
      <c r="G10" s="121"/>
      <c r="H10" s="122" t="str">
        <f>IFERROR(Equipment[[#This Row],[Column2]]*Equipment[[#This Row],[Column5]],"")</f>
        <v/>
      </c>
      <c r="I10" s="12"/>
      <c r="J10" s="105" t="s">
        <v>29</v>
      </c>
      <c r="K10" s="185">
        <v>1</v>
      </c>
    </row>
    <row r="11" spans="2:14" x14ac:dyDescent="0.3">
      <c r="B11" s="86" t="str">
        <f>IF('P-EST-Equipment'!F4="","",'P-EST-Equipment'!F4)</f>
        <v/>
      </c>
      <c r="C11" s="125" t="str">
        <f>IF('P-EST-Equipment'!E4="","",'P-EST-Equipment'!E4)</f>
        <v/>
      </c>
      <c r="D11" s="96" t="str">
        <f>IF('P-EST-Equipment'!J4=0,"",'P-EST-Equipment'!J4)</f>
        <v/>
      </c>
      <c r="E11" s="115" t="str">
        <f>IF('P-EST-Equipment'!I4=0,"",'P-EST-Equipment'!I4*24)</f>
        <v/>
      </c>
      <c r="F11" s="85" t="str">
        <f t="shared" si="0"/>
        <v/>
      </c>
      <c r="G11" s="121"/>
      <c r="H11" s="122" t="str">
        <f>IFERROR(Equipment[[#This Row],[Column2]]*Equipment[[#This Row],[Column5]],"")</f>
        <v/>
      </c>
      <c r="I11" s="12"/>
    </row>
    <row r="12" spans="2:14" x14ac:dyDescent="0.3">
      <c r="B12" s="86" t="str">
        <f>IF('P-EST-Equipment'!F5="","",'P-EST-Equipment'!F5)</f>
        <v/>
      </c>
      <c r="C12" s="125" t="str">
        <f>IF('P-EST-Equipment'!E5="","",'P-EST-Equipment'!E5)</f>
        <v/>
      </c>
      <c r="D12" s="96" t="str">
        <f>IF('P-EST-Equipment'!J5=0,"",'P-EST-Equipment'!J5)</f>
        <v/>
      </c>
      <c r="E12" s="115" t="str">
        <f>IF('P-EST-Equipment'!I5=0,"",'P-EST-Equipment'!I5*24)</f>
        <v/>
      </c>
      <c r="F12" s="85" t="str">
        <f t="shared" si="0"/>
        <v/>
      </c>
      <c r="G12" s="121"/>
      <c r="H12" s="122" t="str">
        <f>IFERROR(Equipment[[#This Row],[Column2]]*Equipment[[#This Row],[Column5]],"")</f>
        <v/>
      </c>
      <c r="I12" s="12"/>
    </row>
    <row r="13" spans="2:14" x14ac:dyDescent="0.3">
      <c r="B13" s="86" t="str">
        <f>IF('P-EST-Equipment'!F6="","",'P-EST-Equipment'!F6)</f>
        <v/>
      </c>
      <c r="C13" s="125" t="str">
        <f>IF('P-EST-Equipment'!E6="","",'P-EST-Equipment'!E6)</f>
        <v/>
      </c>
      <c r="D13" s="96" t="str">
        <f>IF('P-EST-Equipment'!J6=0,"",'P-EST-Equipment'!J6)</f>
        <v/>
      </c>
      <c r="E13" s="115" t="str">
        <f>IF('P-EST-Equipment'!I6=0,"",'P-EST-Equipment'!I6*24)</f>
        <v/>
      </c>
      <c r="F13" s="85" t="str">
        <f t="shared" si="0"/>
        <v/>
      </c>
      <c r="G13" s="121"/>
      <c r="H13" s="122" t="str">
        <f>IFERROR(Equipment[[#This Row],[Column2]]*Equipment[[#This Row],[Column5]],"")</f>
        <v/>
      </c>
      <c r="I13" s="12"/>
    </row>
    <row r="14" spans="2:14" x14ac:dyDescent="0.3">
      <c r="B14" s="86" t="str">
        <f>IF('P-EST-Equipment'!F7="","",'P-EST-Equipment'!F7)</f>
        <v/>
      </c>
      <c r="C14" s="125" t="str">
        <f>IF('P-EST-Equipment'!E7="","",'P-EST-Equipment'!E7)</f>
        <v/>
      </c>
      <c r="D14" s="96" t="str">
        <f>IF('P-EST-Equipment'!J7=0,"",'P-EST-Equipment'!J7)</f>
        <v/>
      </c>
      <c r="E14" s="115" t="str">
        <f>IF('P-EST-Equipment'!I7=0,"",'P-EST-Equipment'!I7*24)</f>
        <v/>
      </c>
      <c r="F14" s="85" t="str">
        <f t="shared" si="0"/>
        <v/>
      </c>
      <c r="G14" s="121"/>
      <c r="H14" s="122" t="str">
        <f>IFERROR(Equipment[[#This Row],[Column2]]*Equipment[[#This Row],[Column5]],"")</f>
        <v/>
      </c>
      <c r="I14" s="12"/>
    </row>
    <row r="15" spans="2:14" x14ac:dyDescent="0.3">
      <c r="B15" s="86" t="str">
        <f>IF('P-EST-Equipment'!F8="","",'P-EST-Equipment'!F8)</f>
        <v/>
      </c>
      <c r="C15" s="125" t="str">
        <f>IF('P-EST-Equipment'!E8="","",'P-EST-Equipment'!E8)</f>
        <v/>
      </c>
      <c r="D15" s="96" t="str">
        <f>IF('P-EST-Equipment'!J8=0,"",'P-EST-Equipment'!J8)</f>
        <v/>
      </c>
      <c r="E15" s="115" t="str">
        <f>IF('P-EST-Equipment'!I8=0,"",'P-EST-Equipment'!I8*24)</f>
        <v/>
      </c>
      <c r="F15" s="85" t="str">
        <f t="shared" si="0"/>
        <v/>
      </c>
      <c r="G15" s="121"/>
      <c r="H15" s="122" t="str">
        <f>IFERROR(Equipment[[#This Row],[Column2]]*Equipment[[#This Row],[Column5]],"")</f>
        <v/>
      </c>
      <c r="I15" s="12"/>
    </row>
    <row r="16" spans="2:14" x14ac:dyDescent="0.3">
      <c r="B16" s="86" t="str">
        <f>IF('P-EST-Equipment'!F9="","",'P-EST-Equipment'!F9)</f>
        <v/>
      </c>
      <c r="C16" s="125" t="str">
        <f>IF('P-EST-Equipment'!E9="","",'P-EST-Equipment'!E9)</f>
        <v/>
      </c>
      <c r="D16" s="96" t="str">
        <f>IF('P-EST-Equipment'!J9=0,"",'P-EST-Equipment'!J9)</f>
        <v/>
      </c>
      <c r="E16" s="115" t="str">
        <f>IF('P-EST-Equipment'!I9=0,"",'P-EST-Equipment'!I9*24)</f>
        <v/>
      </c>
      <c r="F16" s="85" t="str">
        <f t="shared" si="0"/>
        <v/>
      </c>
      <c r="G16" s="121"/>
      <c r="H16" s="122" t="str">
        <f>IFERROR(Equipment[[#This Row],[Column2]]*Equipment[[#This Row],[Column5]],"")</f>
        <v/>
      </c>
      <c r="I16" s="12"/>
    </row>
    <row r="17" spans="2:9" x14ac:dyDescent="0.3">
      <c r="B17" s="86" t="str">
        <f>IF('P-EST-Equipment'!F10="","",'P-EST-Equipment'!F10)</f>
        <v/>
      </c>
      <c r="C17" s="125" t="str">
        <f>IF('P-EST-Equipment'!E10="","",'P-EST-Equipment'!E10)</f>
        <v/>
      </c>
      <c r="D17" s="96" t="str">
        <f>IF('P-EST-Equipment'!J10=0,"",'P-EST-Equipment'!J10)</f>
        <v/>
      </c>
      <c r="E17" s="115" t="str">
        <f>IF('P-EST-Equipment'!I10=0,"",'P-EST-Equipment'!I10*24)</f>
        <v/>
      </c>
      <c r="F17" s="85" t="str">
        <f t="shared" si="0"/>
        <v/>
      </c>
      <c r="G17" s="121"/>
      <c r="H17" s="122" t="str">
        <f>IFERROR(Equipment[[#This Row],[Column2]]*Equipment[[#This Row],[Column5]],"")</f>
        <v/>
      </c>
      <c r="I17" s="12"/>
    </row>
    <row r="18" spans="2:9" x14ac:dyDescent="0.3">
      <c r="B18" s="86" t="str">
        <f>IF('P-EST-Equipment'!F11="","",'P-EST-Equipment'!F11)</f>
        <v/>
      </c>
      <c r="C18" s="125" t="str">
        <f>IF('P-EST-Equipment'!E11="","",'P-EST-Equipment'!E11)</f>
        <v/>
      </c>
      <c r="D18" s="96" t="str">
        <f>IF('P-EST-Equipment'!J11=0,"",'P-EST-Equipment'!J11)</f>
        <v/>
      </c>
      <c r="E18" s="115" t="str">
        <f>IF('P-EST-Equipment'!I11=0,"",'P-EST-Equipment'!I11*24)</f>
        <v/>
      </c>
      <c r="F18" s="85" t="str">
        <f t="shared" si="0"/>
        <v/>
      </c>
      <c r="G18" s="121"/>
      <c r="H18" s="122" t="str">
        <f>IFERROR(Equipment[[#This Row],[Column2]]*Equipment[[#This Row],[Column5]],"")</f>
        <v/>
      </c>
      <c r="I18" s="12"/>
    </row>
    <row r="19" spans="2:9" x14ac:dyDescent="0.3">
      <c r="B19" s="86" t="str">
        <f>IF('P-EST-Equipment'!F12="","",'P-EST-Equipment'!F12)</f>
        <v/>
      </c>
      <c r="C19" s="125" t="str">
        <f>IF('P-EST-Equipment'!E12="","",'P-EST-Equipment'!E12)</f>
        <v/>
      </c>
      <c r="D19" s="96" t="str">
        <f>IF('P-EST-Equipment'!J12=0,"",'P-EST-Equipment'!J12)</f>
        <v/>
      </c>
      <c r="E19" s="115" t="str">
        <f>IF('P-EST-Equipment'!I12=0,"",'P-EST-Equipment'!I12*24)</f>
        <v/>
      </c>
      <c r="F19" s="85" t="str">
        <f t="shared" si="0"/>
        <v/>
      </c>
      <c r="G19" s="121"/>
      <c r="H19" s="122" t="str">
        <f>IFERROR(Equipment[[#This Row],[Column2]]*Equipment[[#This Row],[Column5]],"")</f>
        <v/>
      </c>
      <c r="I19" s="12"/>
    </row>
    <row r="20" spans="2:9" x14ac:dyDescent="0.3">
      <c r="B20" s="86" t="str">
        <f>IF('P-EST-Equipment'!F13="","",'P-EST-Equipment'!F13)</f>
        <v/>
      </c>
      <c r="C20" s="125" t="str">
        <f>IF('P-EST-Equipment'!E13="","",'P-EST-Equipment'!E13)</f>
        <v/>
      </c>
      <c r="D20" s="96" t="str">
        <f>IF('P-EST-Equipment'!J13=0,"",'P-EST-Equipment'!J13)</f>
        <v/>
      </c>
      <c r="E20" s="115" t="str">
        <f>IF('P-EST-Equipment'!I13=0,"",'P-EST-Equipment'!I13*24)</f>
        <v/>
      </c>
      <c r="F20" s="85" t="str">
        <f t="shared" si="0"/>
        <v/>
      </c>
      <c r="G20" s="121"/>
      <c r="H20" s="122" t="str">
        <f>IFERROR(Equipment[[#This Row],[Column2]]*Equipment[[#This Row],[Column5]],"")</f>
        <v/>
      </c>
      <c r="I20" s="12"/>
    </row>
    <row r="21" spans="2:9" x14ac:dyDescent="0.3">
      <c r="B21" s="86" t="str">
        <f>IF('P-EST-Equipment'!F14="","",'P-EST-Equipment'!F14)</f>
        <v/>
      </c>
      <c r="C21" s="125" t="str">
        <f>IF('P-EST-Equipment'!E14="","",'P-EST-Equipment'!E14)</f>
        <v/>
      </c>
      <c r="D21" s="96" t="str">
        <f>IF('P-EST-Equipment'!J14=0,"",'P-EST-Equipment'!J14)</f>
        <v/>
      </c>
      <c r="E21" s="115" t="str">
        <f>IF('P-EST-Equipment'!I14=0,"",'P-EST-Equipment'!I14*24)</f>
        <v/>
      </c>
      <c r="F21" s="85" t="str">
        <f t="shared" si="0"/>
        <v/>
      </c>
      <c r="G21" s="121"/>
      <c r="H21" s="122" t="str">
        <f>IFERROR(Equipment[[#This Row],[Column2]]*Equipment[[#This Row],[Column5]],"")</f>
        <v/>
      </c>
      <c r="I21" s="12"/>
    </row>
    <row r="22" spans="2:9" x14ac:dyDescent="0.3">
      <c r="B22" s="86" t="str">
        <f>IF('P-EST-Equipment'!F15="","",'P-EST-Equipment'!F15)</f>
        <v/>
      </c>
      <c r="C22" s="125" t="str">
        <f>IF('P-EST-Equipment'!E15="","",'P-EST-Equipment'!E15)</f>
        <v/>
      </c>
      <c r="D22" s="96" t="str">
        <f>IF('P-EST-Equipment'!J15=0,"",'P-EST-Equipment'!J15)</f>
        <v/>
      </c>
      <c r="E22" s="115" t="str">
        <f>IF('P-EST-Equipment'!I15=0,"",'P-EST-Equipment'!I15*24)</f>
        <v/>
      </c>
      <c r="F22" s="85" t="str">
        <f t="shared" si="0"/>
        <v/>
      </c>
      <c r="G22" s="121"/>
      <c r="H22" s="122" t="str">
        <f>IFERROR(Equipment[[#This Row],[Column2]]*Equipment[[#This Row],[Column5]],"")</f>
        <v/>
      </c>
      <c r="I22" s="12"/>
    </row>
    <row r="23" spans="2:9" x14ac:dyDescent="0.3">
      <c r="B23" s="86" t="str">
        <f>IF('P-EST-Equipment'!F16="","",'P-EST-Equipment'!F16)</f>
        <v/>
      </c>
      <c r="C23" s="125" t="str">
        <f>IF('P-EST-Equipment'!E16="","",'P-EST-Equipment'!E16)</f>
        <v/>
      </c>
      <c r="D23" s="96" t="str">
        <f>IF('P-EST-Equipment'!J16=0,"",'P-EST-Equipment'!J16)</f>
        <v/>
      </c>
      <c r="E23" s="115" t="str">
        <f>IF('P-EST-Equipment'!I16=0,"",'P-EST-Equipment'!I16*24)</f>
        <v/>
      </c>
      <c r="F23" s="85" t="str">
        <f t="shared" si="0"/>
        <v/>
      </c>
      <c r="G23" s="121"/>
      <c r="H23" s="122" t="str">
        <f>IFERROR(Equipment[[#This Row],[Column2]]*Equipment[[#This Row],[Column5]],"")</f>
        <v/>
      </c>
      <c r="I23" s="12"/>
    </row>
    <row r="24" spans="2:9" x14ac:dyDescent="0.3">
      <c r="B24" s="86" t="str">
        <f>IF('P-EST-Equipment'!F17="","",'P-EST-Equipment'!F17)</f>
        <v/>
      </c>
      <c r="C24" s="125" t="str">
        <f>IF('P-EST-Equipment'!E17="","",'P-EST-Equipment'!E17)</f>
        <v/>
      </c>
      <c r="D24" s="96" t="str">
        <f>IF('P-EST-Equipment'!J17=0,"",'P-EST-Equipment'!J17)</f>
        <v/>
      </c>
      <c r="E24" s="115" t="str">
        <f>IF('P-EST-Equipment'!I17=0,"",'P-EST-Equipment'!I17*24)</f>
        <v/>
      </c>
      <c r="F24" s="85" t="str">
        <f t="shared" si="0"/>
        <v/>
      </c>
      <c r="G24" s="121"/>
      <c r="H24" s="122" t="str">
        <f>IFERROR(Equipment[[#This Row],[Column2]]*Equipment[[#This Row],[Column5]],"")</f>
        <v/>
      </c>
      <c r="I24" s="12"/>
    </row>
    <row r="25" spans="2:9" x14ac:dyDescent="0.3">
      <c r="B25" s="86" t="str">
        <f>IF('P-EST-Equipment'!F18="","",'P-EST-Equipment'!F18)</f>
        <v/>
      </c>
      <c r="C25" s="125" t="str">
        <f>IF('P-EST-Equipment'!E18="","",'P-EST-Equipment'!E18)</f>
        <v/>
      </c>
      <c r="D25" s="96" t="str">
        <f>IF('P-EST-Equipment'!J18=0,"",'P-EST-Equipment'!J18)</f>
        <v/>
      </c>
      <c r="E25" s="115" t="str">
        <f>IF('P-EST-Equipment'!I18=0,"",'P-EST-Equipment'!I18*24)</f>
        <v/>
      </c>
      <c r="F25" s="85" t="str">
        <f t="shared" si="0"/>
        <v/>
      </c>
      <c r="G25" s="121"/>
      <c r="H25" s="122" t="str">
        <f>IFERROR(Equipment[[#This Row],[Column2]]*Equipment[[#This Row],[Column5]],"")</f>
        <v/>
      </c>
      <c r="I25" s="12"/>
    </row>
    <row r="26" spans="2:9" x14ac:dyDescent="0.3">
      <c r="B26" s="86" t="str">
        <f>IF('P-EST-Equipment'!F19="","",'P-EST-Equipment'!F19)</f>
        <v/>
      </c>
      <c r="C26" s="125" t="str">
        <f>IF('P-EST-Equipment'!E19="","",'P-EST-Equipment'!E19)</f>
        <v/>
      </c>
      <c r="D26" s="96" t="str">
        <f>IF('P-EST-Equipment'!J19=0,"",'P-EST-Equipment'!J19)</f>
        <v/>
      </c>
      <c r="E26" s="115" t="str">
        <f>IF('P-EST-Equipment'!I19=0,"",'P-EST-Equipment'!I19*24)</f>
        <v/>
      </c>
      <c r="F26" s="85" t="str">
        <f t="shared" si="0"/>
        <v/>
      </c>
      <c r="G26" s="121"/>
      <c r="H26" s="122" t="str">
        <f>IFERROR(Equipment[[#This Row],[Column2]]*Equipment[[#This Row],[Column5]],"")</f>
        <v/>
      </c>
      <c r="I26" s="12"/>
    </row>
    <row r="27" spans="2:9" x14ac:dyDescent="0.3">
      <c r="B27" s="86" t="str">
        <f>IF('P-EST-Equipment'!F20="","",'P-EST-Equipment'!F20)</f>
        <v/>
      </c>
      <c r="C27" s="125" t="str">
        <f>IF('P-EST-Equipment'!E20="","",'P-EST-Equipment'!E20)</f>
        <v/>
      </c>
      <c r="D27" s="96" t="str">
        <f>IF('P-EST-Equipment'!J20=0,"",'P-EST-Equipment'!J20)</f>
        <v/>
      </c>
      <c r="E27" s="115" t="str">
        <f>IF('P-EST-Equipment'!I20=0,"",'P-EST-Equipment'!I20*24)</f>
        <v/>
      </c>
      <c r="F27" s="85" t="str">
        <f t="shared" si="0"/>
        <v/>
      </c>
      <c r="G27" s="121"/>
      <c r="H27" s="122" t="str">
        <f>IFERROR(Equipment[[#This Row],[Column2]]*Equipment[[#This Row],[Column5]],"")</f>
        <v/>
      </c>
      <c r="I27" s="12"/>
    </row>
    <row r="28" spans="2:9" x14ac:dyDescent="0.3">
      <c r="B28" s="86" t="str">
        <f>IF('P-EST-Equipment'!F21="","",'P-EST-Equipment'!F21)</f>
        <v/>
      </c>
      <c r="C28" s="125" t="str">
        <f>IF('P-EST-Equipment'!E21="","",'P-EST-Equipment'!E21)</f>
        <v/>
      </c>
      <c r="D28" s="96" t="str">
        <f>IF('P-EST-Equipment'!J21=0,"",'P-EST-Equipment'!J21)</f>
        <v/>
      </c>
      <c r="E28" s="115" t="str">
        <f>IF('P-EST-Equipment'!I21=0,"",'P-EST-Equipment'!I21*24)</f>
        <v/>
      </c>
      <c r="F28" s="85" t="str">
        <f t="shared" si="0"/>
        <v/>
      </c>
      <c r="G28" s="121"/>
      <c r="H28" s="122" t="str">
        <f>IFERROR(Equipment[[#This Row],[Column2]]*Equipment[[#This Row],[Column5]],"")</f>
        <v/>
      </c>
      <c r="I28" s="12"/>
    </row>
    <row r="29" spans="2:9" x14ac:dyDescent="0.3">
      <c r="B29" s="86" t="str">
        <f>IF('P-EST-Equipment'!F22="","",'P-EST-Equipment'!F22)</f>
        <v/>
      </c>
      <c r="C29" s="125" t="str">
        <f>IF('P-EST-Equipment'!E22="","",'P-EST-Equipment'!E22)</f>
        <v/>
      </c>
      <c r="D29" s="96" t="str">
        <f>IF('P-EST-Equipment'!J22=0,"",'P-EST-Equipment'!J22)</f>
        <v/>
      </c>
      <c r="E29" s="115" t="str">
        <f>IF('P-EST-Equipment'!I22=0,"",'P-EST-Equipment'!I22*24)</f>
        <v/>
      </c>
      <c r="F29" s="85" t="str">
        <f t="shared" si="0"/>
        <v/>
      </c>
      <c r="G29" s="121"/>
      <c r="H29" s="122" t="str">
        <f>IFERROR(Equipment[[#This Row],[Column2]]*Equipment[[#This Row],[Column5]],"")</f>
        <v/>
      </c>
      <c r="I29" s="12"/>
    </row>
    <row r="30" spans="2:9" x14ac:dyDescent="0.3">
      <c r="B30" s="86" t="str">
        <f>IF('P-EST-Equipment'!F23="","",'P-EST-Equipment'!F23)</f>
        <v/>
      </c>
      <c r="C30" s="125" t="str">
        <f>IF('P-EST-Equipment'!E23="","",'P-EST-Equipment'!E23)</f>
        <v/>
      </c>
      <c r="D30" s="96" t="str">
        <f>IF('P-EST-Equipment'!J23=0,"",'P-EST-Equipment'!J23)</f>
        <v/>
      </c>
      <c r="E30" s="115" t="str">
        <f>IF('P-EST-Equipment'!I23=0,"",'P-EST-Equipment'!I23*24)</f>
        <v/>
      </c>
      <c r="F30" s="85" t="str">
        <f t="shared" si="0"/>
        <v/>
      </c>
      <c r="G30" s="121"/>
      <c r="H30" s="122" t="str">
        <f>IFERROR(Equipment[[#This Row],[Column2]]*Equipment[[#This Row],[Column5]],"")</f>
        <v/>
      </c>
      <c r="I30" s="12"/>
    </row>
    <row r="31" spans="2:9" x14ac:dyDescent="0.3">
      <c r="B31" s="86" t="str">
        <f>IF('P-EST-Equipment'!F24="","",'P-EST-Equipment'!F24)</f>
        <v/>
      </c>
      <c r="C31" s="125" t="str">
        <f>IF('P-EST-Equipment'!E24="","",'P-EST-Equipment'!E24)</f>
        <v/>
      </c>
      <c r="D31" s="96" t="str">
        <f>IF('P-EST-Equipment'!J24=0,"",'P-EST-Equipment'!J24)</f>
        <v/>
      </c>
      <c r="E31" s="115" t="str">
        <f>IF('P-EST-Equipment'!I24=0,"",'P-EST-Equipment'!I24*24)</f>
        <v/>
      </c>
      <c r="F31" s="85" t="str">
        <f t="shared" si="0"/>
        <v/>
      </c>
      <c r="G31" s="121"/>
      <c r="H31" s="122" t="str">
        <f>IFERROR(Equipment[[#This Row],[Column2]]*Equipment[[#This Row],[Column5]],"")</f>
        <v/>
      </c>
      <c r="I31" s="12"/>
    </row>
    <row r="32" spans="2:9" x14ac:dyDescent="0.3">
      <c r="B32" s="86" t="str">
        <f>IF('P-EST-Equipment'!F25="","",'P-EST-Equipment'!F25)</f>
        <v/>
      </c>
      <c r="C32" s="125" t="str">
        <f>IF('P-EST-Equipment'!E25="","",'P-EST-Equipment'!E25)</f>
        <v/>
      </c>
      <c r="D32" s="96" t="str">
        <f>IF('P-EST-Equipment'!J25=0,"",'P-EST-Equipment'!J25)</f>
        <v/>
      </c>
      <c r="E32" s="115" t="str">
        <f>IF('P-EST-Equipment'!I25=0,"",'P-EST-Equipment'!I25*24)</f>
        <v/>
      </c>
      <c r="F32" s="98" t="str">
        <f t="shared" si="0"/>
        <v/>
      </c>
      <c r="G32" s="123"/>
      <c r="H32" s="122" t="str">
        <f>IFERROR(Equipment[[#This Row],[Column2]]*Equipment[[#This Row],[Column5]],"")</f>
        <v/>
      </c>
      <c r="I32" s="12"/>
    </row>
    <row r="33" spans="2:9" x14ac:dyDescent="0.3">
      <c r="B33" s="137" t="str">
        <f>IF(SUM(K9:K10)&gt;2,"Total w/Multiplier","Total")</f>
        <v>Total</v>
      </c>
      <c r="D33" s="13">
        <f>SUBTOTAL(109,Equipment[Column2])</f>
        <v>0</v>
      </c>
      <c r="E33" s="117">
        <f>SUBTOTAL(109,Equipment[Etime])*K9</f>
        <v>0</v>
      </c>
      <c r="F33" s="100" t="str">
        <f>IF(E33=0,"","hrs")</f>
        <v/>
      </c>
      <c r="G33" s="124"/>
      <c r="H33" s="32">
        <f>SUBTOTAL(109,Equipment[Cost])*K10</f>
        <v>0</v>
      </c>
      <c r="I33" s="17"/>
    </row>
  </sheetData>
  <sheetProtection selectLockedCells="1"/>
  <conditionalFormatting sqref="B33">
    <cfRule type="expression" dxfId="0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B11:B32 B9" unlockedFormula="1"/>
  </ignoredError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14"/>
  <sheetViews>
    <sheetView showGridLines="0" workbookViewId="0">
      <selection activeCell="F26" sqref="F26"/>
    </sheetView>
  </sheetViews>
  <sheetFormatPr defaultRowHeight="14.4" x14ac:dyDescent="0.3"/>
  <cols>
    <col min="1" max="1" width="9.109375" customWidth="1"/>
    <col min="2" max="2" width="57.88671875" customWidth="1"/>
    <col min="3" max="3" width="9.6640625" style="13" customWidth="1"/>
    <col min="4" max="4" width="16.6640625" customWidth="1"/>
    <col min="5" max="5" width="17" customWidth="1"/>
    <col min="7" max="7" width="5.6640625" customWidth="1"/>
    <col min="8" max="8" width="10" style="30" customWidth="1"/>
    <col min="9" max="9" width="6.6640625" style="24" customWidth="1"/>
    <col min="10" max="10" width="8.6640625" style="18" customWidth="1"/>
    <col min="12" max="12" width="18.33203125" customWidth="1"/>
  </cols>
  <sheetData>
    <row r="1" spans="2:10" ht="6" customHeight="1" x14ac:dyDescent="0.3">
      <c r="G1" s="30"/>
      <c r="H1" s="24"/>
      <c r="I1" s="18"/>
      <c r="J1"/>
    </row>
    <row r="2" spans="2:10" ht="39" customHeight="1" thickBot="1" x14ac:dyDescent="0.45">
      <c r="B2" s="2" t="s">
        <v>105</v>
      </c>
      <c r="C2" s="56"/>
      <c r="D2" s="2"/>
      <c r="E2" s="2"/>
      <c r="F2" s="2"/>
      <c r="G2" s="25"/>
      <c r="H2" s="28"/>
      <c r="I2" s="28"/>
      <c r="J2"/>
    </row>
    <row r="3" spans="2:10" ht="9" customHeight="1" thickTop="1" x14ac:dyDescent="0.3">
      <c r="G3" s="24"/>
      <c r="H3" s="18"/>
      <c r="I3" s="18"/>
      <c r="J3"/>
    </row>
    <row r="4" spans="2:10" x14ac:dyDescent="0.3">
      <c r="B4" s="3" t="str">
        <f>IF(ProjectName="","",ProjectName)</f>
        <v/>
      </c>
      <c r="G4" s="5" t="s">
        <v>10</v>
      </c>
      <c r="H4" s="4" t="str">
        <f>IF(EstimatorName="","",EstimatorName)</f>
        <v/>
      </c>
      <c r="I4" s="18"/>
      <c r="J4"/>
    </row>
    <row r="5" spans="2:10" ht="15" customHeight="1" x14ac:dyDescent="0.3">
      <c r="B5" s="7" t="str">
        <f>IF(ProjectAddress="","",ProjectAddress)</f>
        <v/>
      </c>
      <c r="G5" s="5" t="s">
        <v>11</v>
      </c>
      <c r="H5" s="4" t="str">
        <f>IF(EstimateNo="","",EstimateNo)</f>
        <v/>
      </c>
      <c r="I5" s="18"/>
      <c r="J5"/>
    </row>
    <row r="6" spans="2:10" x14ac:dyDescent="0.3">
      <c r="G6" s="30"/>
      <c r="H6" s="24"/>
      <c r="I6" s="18"/>
      <c r="J6"/>
    </row>
    <row r="7" spans="2:10" ht="23.4" x14ac:dyDescent="0.45">
      <c r="B7" s="6" t="s">
        <v>1</v>
      </c>
      <c r="C7" s="201"/>
      <c r="D7" s="30"/>
      <c r="E7" s="18"/>
      <c r="G7" s="30"/>
      <c r="H7" s="24"/>
      <c r="I7"/>
      <c r="J7"/>
    </row>
    <row r="8" spans="2:10" ht="18" x14ac:dyDescent="0.35">
      <c r="B8" s="10" t="s">
        <v>31</v>
      </c>
      <c r="C8" s="114" t="s">
        <v>30</v>
      </c>
      <c r="D8" s="31" t="s">
        <v>69</v>
      </c>
      <c r="E8" s="29" t="s">
        <v>138</v>
      </c>
      <c r="H8"/>
      <c r="I8"/>
      <c r="J8"/>
    </row>
    <row r="9" spans="2:10" x14ac:dyDescent="0.3">
      <c r="B9" t="str">
        <f>IF(Lists!C2="","",Lists!C2)</f>
        <v/>
      </c>
      <c r="C9" s="202" t="str">
        <f>IF(B9="","",SUMIFS('P-EST-Ancillaries'!H:H,P_AncillaryName,Ancillaries!B9))</f>
        <v/>
      </c>
      <c r="D9" s="30" t="str">
        <f>IFERROR((VLOOKUP(B9,'P-EST-Ancillaries'!F:K,6,FALSE))/C9,"")</f>
        <v/>
      </c>
      <c r="E9" s="18">
        <f>SUMIFS('P-EST-Ancillaries'!K:K,P_AncillaryName,Ancillaries[[#This Row],[Column1]])</f>
        <v>0</v>
      </c>
      <c r="H9"/>
      <c r="I9"/>
      <c r="J9"/>
    </row>
    <row r="10" spans="2:10" x14ac:dyDescent="0.3">
      <c r="B10" t="str">
        <f>IF(Lists!C3="","",Lists!C3)</f>
        <v/>
      </c>
      <c r="C10" s="202" t="str">
        <f>IF(B10="","",SUMIFS('P-EST-Ancillaries'!H:H,P_AncillaryName,Ancillaries!B10))</f>
        <v/>
      </c>
      <c r="D10" s="30" t="str">
        <f>IFERROR((VLOOKUP(B10,'P-EST-Ancillaries'!F:K,6,FALSE))/C10,"")</f>
        <v/>
      </c>
      <c r="E10" s="18">
        <f>SUMIFS('P-EST-Ancillaries'!K:K,P_AncillaryName,Ancillaries[[#This Row],[Column1]])</f>
        <v>0</v>
      </c>
      <c r="H10"/>
      <c r="I10"/>
      <c r="J10"/>
    </row>
    <row r="11" spans="2:10" x14ac:dyDescent="0.3">
      <c r="B11" t="str">
        <f>IF(Lists!C4="","",Lists!C4)</f>
        <v/>
      </c>
      <c r="C11" s="202" t="str">
        <f>IF(B11="","",SUMIFS('P-EST-Ancillaries'!H:H,P_AncillaryName,Ancillaries!B11))</f>
        <v/>
      </c>
      <c r="D11" s="30" t="str">
        <f>IFERROR((VLOOKUP(B11,'P-EST-Ancillaries'!F:K,6,FALSE))/C11,"")</f>
        <v/>
      </c>
      <c r="E11" s="18">
        <f>SUMIFS('P-EST-Ancillaries'!K:K,P_AncillaryName,Ancillaries[[#This Row],[Column1]])</f>
        <v>0</v>
      </c>
      <c r="H11"/>
      <c r="I11"/>
      <c r="J11"/>
    </row>
    <row r="12" spans="2:10" x14ac:dyDescent="0.3">
      <c r="B12" t="str">
        <f>IF(Lists!C5="","",Lists!C5)</f>
        <v/>
      </c>
      <c r="C12" s="202" t="str">
        <f>IF(B12="","",SUMIFS('P-EST-Ancillaries'!H:H,P_AncillaryName,Ancillaries!B12))</f>
        <v/>
      </c>
      <c r="D12" s="30" t="str">
        <f>IFERROR((VLOOKUP(B12,'P-EST-Ancillaries'!F:K,6,FALSE))/C12,"")</f>
        <v/>
      </c>
      <c r="E12" s="18">
        <f>SUMIFS('P-EST-Ancillaries'!K:K,P_AncillaryName,Ancillaries[[#This Row],[Column1]])</f>
        <v>0</v>
      </c>
      <c r="H12"/>
      <c r="I12"/>
      <c r="J12"/>
    </row>
    <row r="13" spans="2:10" x14ac:dyDescent="0.3">
      <c r="B13" t="str">
        <f>IF(Lists!C6="","",Lists!C6)</f>
        <v/>
      </c>
      <c r="C13" s="202" t="str">
        <f>IF(B13="","",SUMIFS('P-EST-Ancillaries'!H:H,P_AncillaryName,Ancillaries!B13))</f>
        <v/>
      </c>
      <c r="D13" s="30" t="str">
        <f>IFERROR((VLOOKUP(B13,'P-EST-Ancillaries'!F:K,6,FALSE))/C13,"")</f>
        <v/>
      </c>
      <c r="E13" s="18">
        <f>SUMIFS('P-EST-Ancillaries'!K:K,P_AncillaryName,Ancillaries[[#This Row],[Column1]])</f>
        <v>0</v>
      </c>
      <c r="H13"/>
      <c r="I13"/>
      <c r="J13"/>
    </row>
    <row r="14" spans="2:10" x14ac:dyDescent="0.3">
      <c r="B14" t="str">
        <f>IF(Lists!C7="","",Lists!C7)</f>
        <v/>
      </c>
      <c r="C14" s="202" t="str">
        <f>IF(B14="","",SUMIFS('P-EST-Ancillaries'!H:H,P_AncillaryName,Ancillaries!B14))</f>
        <v/>
      </c>
      <c r="D14" s="30" t="str">
        <f>IFERROR((VLOOKUP(B14,'P-EST-Ancillaries'!F:K,6,FALSE))/C14,"")</f>
        <v/>
      </c>
      <c r="E14" s="18">
        <f>SUMIFS('P-EST-Ancillaries'!K:K,P_AncillaryName,Ancillaries[[#This Row],[Column1]])</f>
        <v>0</v>
      </c>
      <c r="H14"/>
      <c r="I14"/>
      <c r="J14"/>
    </row>
    <row r="15" spans="2:10" x14ac:dyDescent="0.3">
      <c r="B15" t="str">
        <f>IF(Lists!C8="","",Lists!C8)</f>
        <v/>
      </c>
      <c r="C15" s="202" t="str">
        <f>IF(B15="","",SUMIFS('P-EST-Ancillaries'!H:H,P_AncillaryName,Ancillaries!B15))</f>
        <v/>
      </c>
      <c r="D15" s="30" t="str">
        <f>IFERROR((VLOOKUP(B15,'P-EST-Ancillaries'!F:K,6,FALSE))/C15,"")</f>
        <v/>
      </c>
      <c r="E15" s="18">
        <f>SUMIFS('P-EST-Ancillaries'!K:K,P_AncillaryName,Ancillaries[[#This Row],[Column1]])</f>
        <v>0</v>
      </c>
      <c r="H15"/>
      <c r="I15"/>
      <c r="J15"/>
    </row>
    <row r="16" spans="2:10" x14ac:dyDescent="0.3">
      <c r="B16" t="str">
        <f>IF(Lists!C9="","",Lists!C9)</f>
        <v/>
      </c>
      <c r="C16" s="202" t="str">
        <f>IF(B16="","",SUMIFS('P-EST-Ancillaries'!H:H,P_AncillaryName,Ancillaries!B16))</f>
        <v/>
      </c>
      <c r="D16" s="30" t="str">
        <f>IFERROR((VLOOKUP(B16,'P-EST-Ancillaries'!F:K,6,FALSE))/C16,"")</f>
        <v/>
      </c>
      <c r="E16" s="18">
        <f>SUMIFS('P-EST-Ancillaries'!K:K,P_AncillaryName,Ancillaries[[#This Row],[Column1]])</f>
        <v>0</v>
      </c>
      <c r="H16"/>
      <c r="I16"/>
      <c r="J16"/>
    </row>
    <row r="17" spans="2:10" x14ac:dyDescent="0.3">
      <c r="B17" t="str">
        <f>IF(Lists!C10="","",Lists!C10)</f>
        <v/>
      </c>
      <c r="C17" s="202" t="str">
        <f>IF(B17="","",SUMIFS('P-EST-Ancillaries'!H:H,P_AncillaryName,Ancillaries!B17))</f>
        <v/>
      </c>
      <c r="D17" s="30" t="str">
        <f>IFERROR((VLOOKUP(B17,'P-EST-Ancillaries'!F:K,6,FALSE))/C17,"")</f>
        <v/>
      </c>
      <c r="E17" s="18">
        <f>SUMIFS('P-EST-Ancillaries'!K:K,P_AncillaryName,Ancillaries[[#This Row],[Column1]])</f>
        <v>0</v>
      </c>
      <c r="H17"/>
      <c r="I17"/>
      <c r="J17"/>
    </row>
    <row r="18" spans="2:10" x14ac:dyDescent="0.3">
      <c r="B18" t="str">
        <f>IF(Lists!C11="","",Lists!C11)</f>
        <v/>
      </c>
      <c r="C18" s="202" t="str">
        <f>IF(B18="","",SUMIFS('P-EST-Ancillaries'!H:H,P_AncillaryName,Ancillaries!B18))</f>
        <v/>
      </c>
      <c r="D18" s="30" t="str">
        <f>IFERROR((VLOOKUP(B18,'P-EST-Ancillaries'!F:K,6,FALSE))/C18,"")</f>
        <v/>
      </c>
      <c r="E18" s="18">
        <f>SUMIFS('P-EST-Ancillaries'!K:K,P_AncillaryName,Ancillaries[[#This Row],[Column1]])</f>
        <v>0</v>
      </c>
      <c r="H18"/>
      <c r="I18"/>
      <c r="J18"/>
    </row>
    <row r="19" spans="2:10" x14ac:dyDescent="0.3">
      <c r="B19" t="str">
        <f>IF(Lists!C12="","",Lists!C12)</f>
        <v/>
      </c>
      <c r="C19" s="202" t="str">
        <f>IF(B19="","",SUMIFS('P-EST-Ancillaries'!H:H,P_AncillaryName,Ancillaries!B19))</f>
        <v/>
      </c>
      <c r="D19" s="30" t="str">
        <f>IFERROR((VLOOKUP(B19,'P-EST-Ancillaries'!F:K,6,FALSE))/C19,"")</f>
        <v/>
      </c>
      <c r="E19" s="18">
        <f>SUMIFS('P-EST-Ancillaries'!K:K,P_AncillaryName,Ancillaries[[#This Row],[Column1]])</f>
        <v>0</v>
      </c>
      <c r="H19"/>
      <c r="I19"/>
      <c r="J19"/>
    </row>
    <row r="20" spans="2:10" x14ac:dyDescent="0.3">
      <c r="B20" t="str">
        <f>IF(Lists!C13="","",Lists!C13)</f>
        <v/>
      </c>
      <c r="C20" s="202" t="str">
        <f>IF(B20="","",SUMIFS('P-EST-Ancillaries'!H:H,P_AncillaryName,Ancillaries!B20))</f>
        <v/>
      </c>
      <c r="D20" s="30" t="str">
        <f>IFERROR((VLOOKUP(B20,'P-EST-Ancillaries'!F:K,6,FALSE))/C20,"")</f>
        <v/>
      </c>
      <c r="E20" s="18">
        <f>SUMIFS('P-EST-Ancillaries'!K:K,P_AncillaryName,Ancillaries[[#This Row],[Column1]])</f>
        <v>0</v>
      </c>
      <c r="H20"/>
      <c r="I20"/>
      <c r="J20"/>
    </row>
    <row r="21" spans="2:10" x14ac:dyDescent="0.3">
      <c r="B21" t="str">
        <f>IF(Lists!C14="","",Lists!C14)</f>
        <v/>
      </c>
      <c r="C21" s="202" t="str">
        <f>IF(B21="","",SUMIFS('P-EST-Ancillaries'!H:H,P_AncillaryName,Ancillaries!B21))</f>
        <v/>
      </c>
      <c r="D21" s="30" t="str">
        <f>IFERROR((VLOOKUP(B21,'P-EST-Ancillaries'!F:K,6,FALSE))/C21,"")</f>
        <v/>
      </c>
      <c r="E21" s="18">
        <f>SUMIFS('P-EST-Ancillaries'!K:K,P_AncillaryName,Ancillaries[[#This Row],[Column1]])</f>
        <v>0</v>
      </c>
      <c r="H21"/>
      <c r="I21"/>
      <c r="J21"/>
    </row>
    <row r="22" spans="2:10" x14ac:dyDescent="0.3">
      <c r="B22" t="str">
        <f>IF(Lists!C15="","",Lists!C15)</f>
        <v/>
      </c>
      <c r="C22" s="202" t="str">
        <f>IF(B22="","",SUMIFS('P-EST-Ancillaries'!H:H,P_AncillaryName,Ancillaries!B22))</f>
        <v/>
      </c>
      <c r="D22" s="30" t="str">
        <f>IFERROR((VLOOKUP(B22,'P-EST-Ancillaries'!F:K,6,FALSE))/C22,"")</f>
        <v/>
      </c>
      <c r="E22" s="18">
        <f>SUMIFS('P-EST-Ancillaries'!K:K,P_AncillaryName,Ancillaries[[#This Row],[Column1]])</f>
        <v>0</v>
      </c>
      <c r="H22"/>
      <c r="I22"/>
      <c r="J22"/>
    </row>
    <row r="23" spans="2:10" x14ac:dyDescent="0.3">
      <c r="B23" t="str">
        <f>IF(Lists!C16="","",Lists!C16)</f>
        <v/>
      </c>
      <c r="C23" s="202" t="str">
        <f>IF(B23="","",SUMIFS('P-EST-Ancillaries'!H:H,P_AncillaryName,Ancillaries!B23))</f>
        <v/>
      </c>
      <c r="D23" s="30" t="str">
        <f>IFERROR((VLOOKUP(B23,'P-EST-Ancillaries'!F:K,6,FALSE))/C23,"")</f>
        <v/>
      </c>
      <c r="E23" s="18">
        <f>SUMIFS('P-EST-Ancillaries'!K:K,P_AncillaryName,Ancillaries[[#This Row],[Column1]])</f>
        <v>0</v>
      </c>
      <c r="H23"/>
      <c r="I23"/>
      <c r="J23"/>
    </row>
    <row r="24" spans="2:10" x14ac:dyDescent="0.3">
      <c r="B24" t="str">
        <f>IF(Lists!C17="","",Lists!C17)</f>
        <v/>
      </c>
      <c r="C24" s="202" t="str">
        <f>IF(B24="","",SUMIFS('P-EST-Ancillaries'!H:H,P_AncillaryName,Ancillaries!B24))</f>
        <v/>
      </c>
      <c r="D24" s="30" t="str">
        <f>IFERROR((VLOOKUP(B24,'P-EST-Ancillaries'!F:K,6,FALSE))/C24,"")</f>
        <v/>
      </c>
      <c r="E24" s="18">
        <f>SUMIFS('P-EST-Ancillaries'!K:K,P_AncillaryName,Ancillaries[[#This Row],[Column1]])</f>
        <v>0</v>
      </c>
      <c r="H24"/>
      <c r="I24"/>
      <c r="J24"/>
    </row>
    <row r="25" spans="2:10" x14ac:dyDescent="0.3">
      <c r="B25" t="str">
        <f>IF(Lists!C18="","",Lists!C18)</f>
        <v/>
      </c>
      <c r="C25" s="202" t="str">
        <f>IF(B25="","",SUMIFS('P-EST-Ancillaries'!H:H,P_AncillaryName,Ancillaries!B25))</f>
        <v/>
      </c>
      <c r="D25" s="30" t="str">
        <f>IFERROR((VLOOKUP(B25,'P-EST-Ancillaries'!F:K,6,FALSE))/C25,"")</f>
        <v/>
      </c>
      <c r="E25" s="18">
        <f>SUMIFS('P-EST-Ancillaries'!K:K,P_AncillaryName,Ancillaries[[#This Row],[Column1]])</f>
        <v>0</v>
      </c>
      <c r="H25"/>
      <c r="I25"/>
      <c r="J25"/>
    </row>
    <row r="26" spans="2:10" x14ac:dyDescent="0.3">
      <c r="B26" t="str">
        <f>IF(Lists!C19="","",Lists!C19)</f>
        <v/>
      </c>
      <c r="C26" s="202" t="str">
        <f>IF(B26="","",SUMIFS('P-EST-Ancillaries'!H:H,P_AncillaryName,Ancillaries!B26))</f>
        <v/>
      </c>
      <c r="D26" s="30" t="str">
        <f>IFERROR((VLOOKUP(B26,'P-EST-Ancillaries'!F:K,6,FALSE))/C26,"")</f>
        <v/>
      </c>
      <c r="E26" s="18">
        <f>SUMIFS('P-EST-Ancillaries'!K:K,P_AncillaryName,Ancillaries[[#This Row],[Column1]])</f>
        <v>0</v>
      </c>
      <c r="H26"/>
      <c r="I26"/>
      <c r="J26"/>
    </row>
    <row r="27" spans="2:10" x14ac:dyDescent="0.3">
      <c r="B27" t="str">
        <f>IF(Lists!C20="","",Lists!C20)</f>
        <v/>
      </c>
      <c r="C27" s="202" t="str">
        <f>IF(B27="","",SUMIFS('P-EST-Ancillaries'!H:H,P_AncillaryName,Ancillaries!B27))</f>
        <v/>
      </c>
      <c r="D27" s="30" t="str">
        <f>IFERROR((VLOOKUP(B27,'P-EST-Ancillaries'!F:K,6,FALSE))/C27,"")</f>
        <v/>
      </c>
      <c r="E27" s="18">
        <f>SUMIFS('P-EST-Ancillaries'!K:K,P_AncillaryName,Ancillaries[[#This Row],[Column1]])</f>
        <v>0</v>
      </c>
      <c r="H27"/>
      <c r="I27"/>
      <c r="J27"/>
    </row>
    <row r="28" spans="2:10" x14ac:dyDescent="0.3">
      <c r="B28" t="str">
        <f>IF(Lists!C21="","",Lists!C21)</f>
        <v/>
      </c>
      <c r="C28" s="202" t="str">
        <f>IF(B28="","",SUMIFS('P-EST-Ancillaries'!H:H,P_AncillaryName,Ancillaries!B28))</f>
        <v/>
      </c>
      <c r="D28" s="30" t="str">
        <f>IFERROR((VLOOKUP(B28,'P-EST-Ancillaries'!F:K,6,FALSE))/C28,"")</f>
        <v/>
      </c>
      <c r="E28" s="18">
        <f>SUMIFS('P-EST-Ancillaries'!K:K,P_AncillaryName,Ancillaries[[#This Row],[Column1]])</f>
        <v>0</v>
      </c>
      <c r="H28"/>
      <c r="I28"/>
      <c r="J28"/>
    </row>
    <row r="29" spans="2:10" x14ac:dyDescent="0.3">
      <c r="B29" t="str">
        <f>IF(Lists!C22="","",Lists!C22)</f>
        <v/>
      </c>
      <c r="C29" s="202" t="str">
        <f>IF(B29="","",SUMIFS('P-EST-Ancillaries'!H:H,P_AncillaryName,Ancillaries!B29))</f>
        <v/>
      </c>
      <c r="D29" s="30" t="str">
        <f>IFERROR((VLOOKUP(B29,'P-EST-Ancillaries'!F:K,6,FALSE))/C29,"")</f>
        <v/>
      </c>
      <c r="E29" s="18">
        <f>SUMIFS('P-EST-Ancillaries'!K:K,P_AncillaryName,Ancillaries[[#This Row],[Column1]])</f>
        <v>0</v>
      </c>
      <c r="H29"/>
      <c r="I29"/>
      <c r="J29"/>
    </row>
    <row r="30" spans="2:10" x14ac:dyDescent="0.3">
      <c r="B30" t="str">
        <f>IF(Lists!C23="","",Lists!C23)</f>
        <v/>
      </c>
      <c r="C30" s="202" t="str">
        <f>IF(B30="","",SUMIFS('P-EST-Ancillaries'!H:H,P_AncillaryName,Ancillaries!B30))</f>
        <v/>
      </c>
      <c r="D30" s="30" t="str">
        <f>IFERROR((VLOOKUP(B30,'P-EST-Ancillaries'!F:K,6,FALSE))/C30,"")</f>
        <v/>
      </c>
      <c r="E30" s="18">
        <f>SUMIFS('P-EST-Ancillaries'!K:K,P_AncillaryName,Ancillaries[[#This Row],[Column1]])</f>
        <v>0</v>
      </c>
      <c r="H30"/>
      <c r="I30"/>
      <c r="J30"/>
    </row>
    <row r="31" spans="2:10" x14ac:dyDescent="0.3">
      <c r="B31" t="str">
        <f>IF(Lists!C24="","",Lists!C24)</f>
        <v/>
      </c>
      <c r="C31" s="202" t="str">
        <f>IF(B31="","",SUMIFS('P-EST-Ancillaries'!H:H,P_AncillaryName,Ancillaries!B31))</f>
        <v/>
      </c>
      <c r="D31" s="30" t="str">
        <f>IFERROR((VLOOKUP(B31,'P-EST-Ancillaries'!F:K,6,FALSE))/C31,"")</f>
        <v/>
      </c>
      <c r="E31" s="18">
        <f>SUMIFS('P-EST-Ancillaries'!K:K,P_AncillaryName,Ancillaries[[#This Row],[Column1]])</f>
        <v>0</v>
      </c>
      <c r="H31"/>
      <c r="I31"/>
      <c r="J31"/>
    </row>
    <row r="32" spans="2:10" x14ac:dyDescent="0.3">
      <c r="B32" t="str">
        <f>IF(Lists!C25="","",Lists!C25)</f>
        <v/>
      </c>
      <c r="C32" s="202" t="str">
        <f>IF(B32="","",SUMIFS('P-EST-Ancillaries'!H:H,P_AncillaryName,Ancillaries!B32))</f>
        <v/>
      </c>
      <c r="D32" s="30" t="str">
        <f>IFERROR((VLOOKUP(B32,'P-EST-Ancillaries'!F:K,6,FALSE))/C32,"")</f>
        <v/>
      </c>
      <c r="E32" s="18">
        <f>SUMIFS('P-EST-Ancillaries'!K:K,P_AncillaryName,Ancillaries[[#This Row],[Column1]])</f>
        <v>0</v>
      </c>
      <c r="H32"/>
      <c r="I32"/>
      <c r="J32"/>
    </row>
    <row r="33" spans="2:10" x14ac:dyDescent="0.3">
      <c r="B33" t="str">
        <f>IF(Lists!C26="","",Lists!C26)</f>
        <v/>
      </c>
      <c r="C33" s="202" t="str">
        <f>IF(B33="","",SUMIFS('P-EST-Ancillaries'!H:H,P_AncillaryName,Ancillaries!B33))</f>
        <v/>
      </c>
      <c r="D33" s="30" t="str">
        <f>IFERROR((VLOOKUP(B33,'P-EST-Ancillaries'!F:K,6,FALSE))/C33,"")</f>
        <v/>
      </c>
      <c r="E33" s="18">
        <f>SUMIFS('P-EST-Ancillaries'!K:K,P_AncillaryName,Ancillaries[[#This Row],[Column1]])</f>
        <v>0</v>
      </c>
      <c r="H33"/>
      <c r="I33"/>
      <c r="J33"/>
    </row>
    <row r="34" spans="2:10" x14ac:dyDescent="0.3">
      <c r="B34" t="str">
        <f>IF(Lists!C27="","",Lists!C27)</f>
        <v/>
      </c>
      <c r="C34" s="202" t="str">
        <f>IF(B34="","",SUMIFS('P-EST-Ancillaries'!H:H,P_AncillaryName,Ancillaries!B34))</f>
        <v/>
      </c>
      <c r="D34" s="30" t="str">
        <f>IFERROR((VLOOKUP(B34,'P-EST-Ancillaries'!F:K,6,FALSE))/C34,"")</f>
        <v/>
      </c>
      <c r="E34" s="18">
        <f>SUMIFS('P-EST-Ancillaries'!K:K,P_AncillaryName,Ancillaries[[#This Row],[Column1]])</f>
        <v>0</v>
      </c>
      <c r="H34"/>
      <c r="I34"/>
      <c r="J34"/>
    </row>
    <row r="35" spans="2:10" x14ac:dyDescent="0.3">
      <c r="B35" t="str">
        <f>IF(Lists!C28="","",Lists!C28)</f>
        <v/>
      </c>
      <c r="C35" s="202" t="str">
        <f>IF(B35="","",SUMIFS('P-EST-Ancillaries'!H:H,P_AncillaryName,Ancillaries!B35))</f>
        <v/>
      </c>
      <c r="D35" s="30" t="str">
        <f>IFERROR((VLOOKUP(B35,'P-EST-Ancillaries'!F:K,6,FALSE))/C35,"")</f>
        <v/>
      </c>
      <c r="E35" s="18">
        <f>SUMIFS('P-EST-Ancillaries'!K:K,P_AncillaryName,Ancillaries[[#This Row],[Column1]])</f>
        <v>0</v>
      </c>
      <c r="H35"/>
      <c r="I35"/>
      <c r="J35"/>
    </row>
    <row r="36" spans="2:10" x14ac:dyDescent="0.3">
      <c r="B36" t="str">
        <f>IF(Lists!C29="","",Lists!C29)</f>
        <v/>
      </c>
      <c r="C36" s="202" t="str">
        <f>IF(B36="","",SUMIFS('P-EST-Ancillaries'!H:H,P_AncillaryName,Ancillaries!B36))</f>
        <v/>
      </c>
      <c r="D36" s="30" t="str">
        <f>IFERROR((VLOOKUP(B36,'P-EST-Ancillaries'!F:K,6,FALSE))/C36,"")</f>
        <v/>
      </c>
      <c r="E36" s="18">
        <f>SUMIFS('P-EST-Ancillaries'!K:K,P_AncillaryName,Ancillaries[[#This Row],[Column1]])</f>
        <v>0</v>
      </c>
      <c r="H36"/>
      <c r="I36"/>
      <c r="J36"/>
    </row>
    <row r="37" spans="2:10" x14ac:dyDescent="0.3">
      <c r="B37" t="str">
        <f>IF(Lists!C30="","",Lists!C30)</f>
        <v/>
      </c>
      <c r="C37" s="202" t="str">
        <f>IF(B37="","",SUMIFS('P-EST-Ancillaries'!H:H,P_AncillaryName,Ancillaries!B37))</f>
        <v/>
      </c>
      <c r="D37" s="30" t="str">
        <f>IFERROR((VLOOKUP(B37,'P-EST-Ancillaries'!F:K,6,FALSE))/C37,"")</f>
        <v/>
      </c>
      <c r="E37" s="18">
        <f>SUMIFS('P-EST-Ancillaries'!K:K,P_AncillaryName,Ancillaries[[#This Row],[Column1]])</f>
        <v>0</v>
      </c>
      <c r="H37"/>
      <c r="I37"/>
      <c r="J37"/>
    </row>
    <row r="38" spans="2:10" x14ac:dyDescent="0.3">
      <c r="B38" t="str">
        <f>IF(Lists!C31="","",Lists!C31)</f>
        <v/>
      </c>
      <c r="C38" s="202" t="str">
        <f>IF(B38="","",SUMIFS('P-EST-Ancillaries'!H:H,P_AncillaryName,Ancillaries!B38))</f>
        <v/>
      </c>
      <c r="D38" s="30" t="str">
        <f>IFERROR((VLOOKUP(B38,'P-EST-Ancillaries'!F:K,6,FALSE))/C38,"")</f>
        <v/>
      </c>
      <c r="E38" s="18">
        <f>SUMIFS('P-EST-Ancillaries'!K:K,P_AncillaryName,Ancillaries[[#This Row],[Column1]])</f>
        <v>0</v>
      </c>
      <c r="H38"/>
      <c r="I38"/>
      <c r="J38"/>
    </row>
    <row r="39" spans="2:10" x14ac:dyDescent="0.3">
      <c r="B39" t="str">
        <f>IF(Lists!C32="","",Lists!C32)</f>
        <v/>
      </c>
      <c r="C39" s="202" t="str">
        <f>IF(B39="","",SUMIFS('P-EST-Ancillaries'!H:H,P_AncillaryName,Ancillaries!B39))</f>
        <v/>
      </c>
      <c r="D39" s="30" t="str">
        <f>IFERROR((VLOOKUP(B39,'P-EST-Ancillaries'!F:K,6,FALSE))/C39,"")</f>
        <v/>
      </c>
      <c r="E39" s="18">
        <f>SUMIFS('P-EST-Ancillaries'!K:K,P_AncillaryName,Ancillaries[[#This Row],[Column1]])</f>
        <v>0</v>
      </c>
      <c r="H39"/>
      <c r="I39"/>
      <c r="J39"/>
    </row>
    <row r="40" spans="2:10" x14ac:dyDescent="0.3">
      <c r="B40" t="str">
        <f>IF(Lists!C33="","",Lists!C33)</f>
        <v/>
      </c>
      <c r="C40" s="202" t="str">
        <f>IF(B40="","",SUMIFS('P-EST-Ancillaries'!H:H,P_AncillaryName,Ancillaries!B40))</f>
        <v/>
      </c>
      <c r="D40" s="30" t="str">
        <f>IFERROR((VLOOKUP(B40,'P-EST-Ancillaries'!F:K,6,FALSE))/C40,"")</f>
        <v/>
      </c>
      <c r="E40" s="18">
        <f>SUMIFS('P-EST-Ancillaries'!K:K,P_AncillaryName,Ancillaries[[#This Row],[Column1]])</f>
        <v>0</v>
      </c>
      <c r="H40"/>
      <c r="I40"/>
      <c r="J40"/>
    </row>
    <row r="41" spans="2:10" x14ac:dyDescent="0.3">
      <c r="B41" t="str">
        <f>IF(Lists!C34="","",Lists!C34)</f>
        <v/>
      </c>
      <c r="C41" s="202" t="str">
        <f>IF(B41="","",SUMIFS('P-EST-Ancillaries'!H:H,P_AncillaryName,Ancillaries!B41))</f>
        <v/>
      </c>
      <c r="D41" s="30" t="str">
        <f>IFERROR((VLOOKUP(B41,'P-EST-Ancillaries'!F:K,6,FALSE))/C41,"")</f>
        <v/>
      </c>
      <c r="E41" s="18">
        <f>SUMIFS('P-EST-Ancillaries'!K:K,P_AncillaryName,Ancillaries[[#This Row],[Column1]])</f>
        <v>0</v>
      </c>
      <c r="H41"/>
      <c r="I41"/>
      <c r="J41"/>
    </row>
    <row r="42" spans="2:10" x14ac:dyDescent="0.3">
      <c r="B42" t="str">
        <f>IF(Lists!C35="","",Lists!C35)</f>
        <v/>
      </c>
      <c r="C42" s="202" t="str">
        <f>IF(B42="","",SUMIFS('P-EST-Ancillaries'!H:H,P_AncillaryName,Ancillaries!B42))</f>
        <v/>
      </c>
      <c r="D42" s="30" t="str">
        <f>IFERROR((VLOOKUP(B42,'P-EST-Ancillaries'!F:K,6,FALSE))/C42,"")</f>
        <v/>
      </c>
      <c r="E42" s="18">
        <f>SUMIFS('P-EST-Ancillaries'!K:K,P_AncillaryName,Ancillaries[[#This Row],[Column1]])</f>
        <v>0</v>
      </c>
      <c r="H42"/>
      <c r="I42"/>
      <c r="J42"/>
    </row>
    <row r="43" spans="2:10" x14ac:dyDescent="0.3">
      <c r="B43" t="str">
        <f>IF(Lists!C36="","",Lists!C36)</f>
        <v/>
      </c>
      <c r="C43" s="202" t="str">
        <f>IF(B43="","",SUMIFS('P-EST-Ancillaries'!H:H,P_AncillaryName,Ancillaries!B43))</f>
        <v/>
      </c>
      <c r="D43" s="30" t="str">
        <f>IFERROR((VLOOKUP(B43,'P-EST-Ancillaries'!F:K,6,FALSE))/C43,"")</f>
        <v/>
      </c>
      <c r="E43" s="18">
        <f>SUMIFS('P-EST-Ancillaries'!K:K,P_AncillaryName,Ancillaries[[#This Row],[Column1]])</f>
        <v>0</v>
      </c>
      <c r="H43"/>
      <c r="I43"/>
      <c r="J43"/>
    </row>
    <row r="44" spans="2:10" x14ac:dyDescent="0.3">
      <c r="B44" t="str">
        <f>IF(Lists!C37="","",Lists!C37)</f>
        <v/>
      </c>
      <c r="C44" s="202" t="str">
        <f>IF(B44="","",SUMIFS('P-EST-Ancillaries'!H:H,P_AncillaryName,Ancillaries!B44))</f>
        <v/>
      </c>
      <c r="D44" s="30" t="str">
        <f>IFERROR((VLOOKUP(B44,'P-EST-Ancillaries'!F:K,6,FALSE))/C44,"")</f>
        <v/>
      </c>
      <c r="E44" s="18">
        <f>SUMIFS('P-EST-Ancillaries'!K:K,P_AncillaryName,Ancillaries[[#This Row],[Column1]])</f>
        <v>0</v>
      </c>
      <c r="H44"/>
      <c r="I44"/>
      <c r="J44"/>
    </row>
    <row r="45" spans="2:10" x14ac:dyDescent="0.3">
      <c r="B45" t="str">
        <f>IF(Lists!C38="","",Lists!C38)</f>
        <v/>
      </c>
      <c r="C45" s="202" t="str">
        <f>IF(B45="","",SUMIFS('P-EST-Ancillaries'!H:H,P_AncillaryName,Ancillaries!B45))</f>
        <v/>
      </c>
      <c r="D45" s="30" t="str">
        <f>IFERROR((VLOOKUP(B45,'P-EST-Ancillaries'!F:K,6,FALSE))/C45,"")</f>
        <v/>
      </c>
      <c r="E45" s="18">
        <f>SUMIFS('P-EST-Ancillaries'!K:K,P_AncillaryName,Ancillaries[[#This Row],[Column1]])</f>
        <v>0</v>
      </c>
      <c r="H45"/>
      <c r="I45"/>
      <c r="J45"/>
    </row>
    <row r="46" spans="2:10" x14ac:dyDescent="0.3">
      <c r="B46" t="str">
        <f>IF(Lists!C39="","",Lists!C39)</f>
        <v/>
      </c>
      <c r="C46" s="202" t="str">
        <f>IF(B46="","",SUMIFS('P-EST-Ancillaries'!H:H,P_AncillaryName,Ancillaries!B46))</f>
        <v/>
      </c>
      <c r="D46" s="30" t="str">
        <f>IFERROR((VLOOKUP(B46,'P-EST-Ancillaries'!F:K,6,FALSE))/C46,"")</f>
        <v/>
      </c>
      <c r="E46" s="18">
        <f>SUMIFS('P-EST-Ancillaries'!K:K,P_AncillaryName,Ancillaries[[#This Row],[Column1]])</f>
        <v>0</v>
      </c>
      <c r="H46"/>
      <c r="I46"/>
      <c r="J46"/>
    </row>
    <row r="47" spans="2:10" x14ac:dyDescent="0.3">
      <c r="B47" t="s">
        <v>28</v>
      </c>
      <c r="D47" s="1"/>
      <c r="E47" s="32">
        <f>SUBTOTAL(109,Ancillaries[Column4])</f>
        <v>0</v>
      </c>
      <c r="H47"/>
      <c r="I47"/>
      <c r="J47"/>
    </row>
    <row r="48" spans="2:10" x14ac:dyDescent="0.3">
      <c r="D48" s="24"/>
      <c r="E48" s="30"/>
      <c r="F48" s="18"/>
      <c r="H48"/>
      <c r="I48"/>
      <c r="J48"/>
    </row>
    <row r="49" spans="4:10" x14ac:dyDescent="0.3">
      <c r="D49" s="24"/>
      <c r="E49" s="30"/>
      <c r="F49" s="18"/>
      <c r="H49"/>
      <c r="I49"/>
      <c r="J49"/>
    </row>
    <row r="50" spans="4:10" x14ac:dyDescent="0.3">
      <c r="D50" s="24"/>
      <c r="E50" s="30"/>
      <c r="F50" s="18"/>
      <c r="H50"/>
      <c r="I50"/>
      <c r="J50"/>
    </row>
    <row r="51" spans="4:10" x14ac:dyDescent="0.3">
      <c r="D51" s="24"/>
      <c r="E51" s="30"/>
      <c r="F51" s="18"/>
      <c r="H51"/>
      <c r="I51"/>
      <c r="J51"/>
    </row>
    <row r="52" spans="4:10" x14ac:dyDescent="0.3">
      <c r="D52" s="24"/>
      <c r="E52" s="30"/>
      <c r="F52" s="18"/>
      <c r="H52"/>
      <c r="I52"/>
      <c r="J52"/>
    </row>
    <row r="53" spans="4:10" x14ac:dyDescent="0.3">
      <c r="D53" s="24"/>
      <c r="E53" s="30"/>
      <c r="F53" s="18"/>
      <c r="H53"/>
      <c r="I53"/>
      <c r="J53"/>
    </row>
    <row r="54" spans="4:10" x14ac:dyDescent="0.3">
      <c r="D54" s="24"/>
      <c r="E54" s="30"/>
      <c r="F54" s="18"/>
      <c r="H54"/>
      <c r="I54"/>
      <c r="J54"/>
    </row>
    <row r="55" spans="4:10" x14ac:dyDescent="0.3">
      <c r="D55" s="24"/>
      <c r="E55" s="30"/>
      <c r="F55" s="18"/>
      <c r="H55"/>
      <c r="I55"/>
      <c r="J55"/>
    </row>
    <row r="56" spans="4:10" x14ac:dyDescent="0.3">
      <c r="D56" s="24"/>
      <c r="E56" s="30"/>
      <c r="F56" s="18"/>
      <c r="H56"/>
      <c r="I56"/>
      <c r="J56"/>
    </row>
    <row r="57" spans="4:10" x14ac:dyDescent="0.3">
      <c r="D57" s="24"/>
      <c r="E57" s="30"/>
      <c r="F57" s="18"/>
      <c r="H57"/>
      <c r="I57"/>
      <c r="J57"/>
    </row>
    <row r="58" spans="4:10" x14ac:dyDescent="0.3">
      <c r="D58" s="24"/>
      <c r="E58" s="30"/>
      <c r="F58" s="18"/>
      <c r="H58"/>
      <c r="I58"/>
      <c r="J58"/>
    </row>
    <row r="59" spans="4:10" x14ac:dyDescent="0.3">
      <c r="D59" s="24"/>
      <c r="E59" s="30"/>
      <c r="F59" s="18"/>
      <c r="H59"/>
      <c r="I59"/>
      <c r="J59"/>
    </row>
    <row r="60" spans="4:10" x14ac:dyDescent="0.3">
      <c r="D60" s="24"/>
      <c r="E60" s="30"/>
      <c r="F60" s="18"/>
      <c r="H60"/>
      <c r="I60"/>
      <c r="J60"/>
    </row>
    <row r="61" spans="4:10" x14ac:dyDescent="0.3">
      <c r="D61" s="24"/>
      <c r="E61" s="30"/>
      <c r="F61" s="18"/>
      <c r="H61"/>
      <c r="I61"/>
      <c r="J61"/>
    </row>
    <row r="62" spans="4:10" x14ac:dyDescent="0.3">
      <c r="D62" s="24"/>
      <c r="E62" s="30"/>
      <c r="F62" s="18"/>
      <c r="H62"/>
      <c r="I62"/>
      <c r="J62"/>
    </row>
    <row r="63" spans="4:10" x14ac:dyDescent="0.3">
      <c r="D63" s="24"/>
      <c r="E63" s="30"/>
      <c r="F63" s="18"/>
      <c r="H63"/>
      <c r="I63"/>
      <c r="J63"/>
    </row>
    <row r="64" spans="4:10" x14ac:dyDescent="0.3">
      <c r="D64" s="24"/>
      <c r="E64" s="30"/>
      <c r="F64" s="18"/>
      <c r="H64"/>
      <c r="I64"/>
      <c r="J64"/>
    </row>
    <row r="65" spans="4:10" x14ac:dyDescent="0.3">
      <c r="D65" s="24"/>
      <c r="E65" s="30"/>
      <c r="F65" s="18"/>
      <c r="H65"/>
      <c r="I65"/>
      <c r="J65"/>
    </row>
    <row r="66" spans="4:10" x14ac:dyDescent="0.3">
      <c r="D66" s="24"/>
      <c r="E66" s="30"/>
      <c r="F66" s="18"/>
      <c r="H66"/>
      <c r="I66"/>
      <c r="J66"/>
    </row>
    <row r="67" spans="4:10" x14ac:dyDescent="0.3">
      <c r="D67" s="24"/>
      <c r="E67" s="30"/>
      <c r="F67" s="18"/>
      <c r="H67"/>
      <c r="I67"/>
      <c r="J67"/>
    </row>
    <row r="68" spans="4:10" x14ac:dyDescent="0.3">
      <c r="D68" s="30"/>
      <c r="F68" s="24"/>
      <c r="G68" s="18"/>
      <c r="H68"/>
      <c r="I68"/>
      <c r="J68"/>
    </row>
    <row r="69" spans="4:10" x14ac:dyDescent="0.3">
      <c r="D69" s="30"/>
      <c r="F69" s="24"/>
      <c r="G69" s="18"/>
      <c r="H69"/>
      <c r="I69"/>
      <c r="J69"/>
    </row>
    <row r="70" spans="4:10" x14ac:dyDescent="0.3">
      <c r="D70" s="30"/>
      <c r="F70" s="24"/>
      <c r="G70" s="18"/>
      <c r="H70"/>
      <c r="I70"/>
      <c r="J70"/>
    </row>
    <row r="71" spans="4:10" x14ac:dyDescent="0.3">
      <c r="D71" s="30"/>
      <c r="F71" s="24"/>
      <c r="G71" s="18"/>
      <c r="H71"/>
      <c r="I71"/>
      <c r="J71"/>
    </row>
    <row r="72" spans="4:10" x14ac:dyDescent="0.3">
      <c r="D72" s="30"/>
      <c r="F72" s="24"/>
      <c r="G72" s="18"/>
      <c r="H72"/>
      <c r="I72"/>
      <c r="J72"/>
    </row>
    <row r="73" spans="4:10" x14ac:dyDescent="0.3">
      <c r="D73" s="30"/>
      <c r="F73" s="24"/>
      <c r="G73" s="18"/>
      <c r="H73"/>
      <c r="I73"/>
      <c r="J73"/>
    </row>
    <row r="74" spans="4:10" x14ac:dyDescent="0.3">
      <c r="D74" s="30"/>
      <c r="F74" s="24"/>
      <c r="G74" s="18"/>
      <c r="H74"/>
      <c r="I74"/>
      <c r="J74"/>
    </row>
    <row r="75" spans="4:10" x14ac:dyDescent="0.3">
      <c r="D75" s="30"/>
      <c r="F75" s="24"/>
      <c r="G75" s="18"/>
      <c r="H75"/>
      <c r="I75"/>
      <c r="J75"/>
    </row>
    <row r="76" spans="4:10" x14ac:dyDescent="0.3">
      <c r="D76" s="30"/>
      <c r="F76" s="24"/>
      <c r="G76" s="18"/>
      <c r="H76"/>
      <c r="I76"/>
      <c r="J76"/>
    </row>
    <row r="77" spans="4:10" x14ac:dyDescent="0.3">
      <c r="D77" s="30"/>
      <c r="F77" s="24"/>
      <c r="G77" s="18"/>
      <c r="H77"/>
      <c r="I77"/>
      <c r="J77"/>
    </row>
    <row r="78" spans="4:10" x14ac:dyDescent="0.3">
      <c r="D78" s="30"/>
      <c r="F78" s="24"/>
      <c r="G78" s="18"/>
      <c r="H78"/>
      <c r="I78"/>
      <c r="J78"/>
    </row>
    <row r="79" spans="4:10" x14ac:dyDescent="0.3">
      <c r="D79" s="30"/>
      <c r="F79" s="24"/>
      <c r="G79" s="18"/>
      <c r="H79"/>
      <c r="I79"/>
      <c r="J79"/>
    </row>
    <row r="80" spans="4:10" x14ac:dyDescent="0.3">
      <c r="D80" s="30"/>
      <c r="F80" s="24"/>
      <c r="G80" s="18"/>
      <c r="H80"/>
      <c r="I80"/>
      <c r="J80"/>
    </row>
    <row r="81" spans="4:10" x14ac:dyDescent="0.3">
      <c r="D81" s="30"/>
      <c r="F81" s="24"/>
      <c r="G81" s="18"/>
      <c r="H81"/>
      <c r="I81"/>
      <c r="J81"/>
    </row>
    <row r="82" spans="4:10" x14ac:dyDescent="0.3">
      <c r="D82" s="30"/>
      <c r="F82" s="24"/>
      <c r="G82" s="18"/>
      <c r="H82"/>
      <c r="I82"/>
      <c r="J82"/>
    </row>
    <row r="83" spans="4:10" x14ac:dyDescent="0.3">
      <c r="D83" s="30"/>
      <c r="F83" s="24"/>
      <c r="G83" s="18"/>
      <c r="H83"/>
      <c r="I83"/>
      <c r="J83"/>
    </row>
    <row r="84" spans="4:10" x14ac:dyDescent="0.3">
      <c r="D84" s="30"/>
      <c r="F84" s="24"/>
      <c r="G84" s="18"/>
      <c r="H84"/>
      <c r="I84"/>
      <c r="J84"/>
    </row>
    <row r="85" spans="4:10" x14ac:dyDescent="0.3">
      <c r="D85" s="30"/>
      <c r="F85" s="24"/>
      <c r="G85" s="18"/>
      <c r="H85"/>
      <c r="I85"/>
      <c r="J85"/>
    </row>
    <row r="86" spans="4:10" x14ac:dyDescent="0.3">
      <c r="D86" s="30"/>
      <c r="F86" s="24"/>
      <c r="G86" s="18"/>
      <c r="H86"/>
      <c r="I86"/>
      <c r="J86"/>
    </row>
    <row r="87" spans="4:10" x14ac:dyDescent="0.3">
      <c r="D87" s="30"/>
      <c r="F87" s="24"/>
      <c r="G87" s="18"/>
      <c r="H87"/>
      <c r="I87"/>
      <c r="J87"/>
    </row>
    <row r="88" spans="4:10" x14ac:dyDescent="0.3">
      <c r="D88" s="30"/>
      <c r="F88" s="24"/>
      <c r="G88" s="18"/>
      <c r="H88"/>
      <c r="I88"/>
      <c r="J88"/>
    </row>
    <row r="89" spans="4:10" x14ac:dyDescent="0.3">
      <c r="D89" s="30"/>
      <c r="F89" s="24"/>
      <c r="G89" s="18"/>
      <c r="H89"/>
      <c r="I89"/>
      <c r="J89"/>
    </row>
    <row r="90" spans="4:10" x14ac:dyDescent="0.3">
      <c r="D90" s="30"/>
      <c r="F90" s="24"/>
      <c r="G90" s="18"/>
      <c r="H90"/>
      <c r="I90"/>
      <c r="J90"/>
    </row>
    <row r="91" spans="4:10" x14ac:dyDescent="0.3">
      <c r="D91" s="30"/>
      <c r="F91" s="24"/>
      <c r="G91" s="18"/>
      <c r="H91"/>
      <c r="I91"/>
      <c r="J91"/>
    </row>
    <row r="92" spans="4:10" x14ac:dyDescent="0.3">
      <c r="D92" s="30"/>
      <c r="F92" s="24"/>
      <c r="G92" s="18"/>
      <c r="H92"/>
      <c r="I92"/>
      <c r="J92"/>
    </row>
    <row r="93" spans="4:10" x14ac:dyDescent="0.3">
      <c r="D93" s="30"/>
      <c r="F93" s="24"/>
      <c r="G93" s="18"/>
      <c r="H93"/>
      <c r="I93"/>
      <c r="J93"/>
    </row>
    <row r="94" spans="4:10" x14ac:dyDescent="0.3">
      <c r="D94" s="30"/>
      <c r="F94" s="24"/>
      <c r="G94" s="18"/>
      <c r="H94"/>
      <c r="I94"/>
      <c r="J94"/>
    </row>
    <row r="95" spans="4:10" x14ac:dyDescent="0.3">
      <c r="D95" s="30"/>
      <c r="F95" s="24"/>
      <c r="G95" s="18"/>
      <c r="H95"/>
      <c r="I95"/>
      <c r="J95"/>
    </row>
    <row r="96" spans="4:10" x14ac:dyDescent="0.3">
      <c r="D96" s="30"/>
      <c r="F96" s="24"/>
      <c r="G96" s="18"/>
      <c r="H96"/>
      <c r="I96"/>
      <c r="J96"/>
    </row>
    <row r="97" spans="4:10" x14ac:dyDescent="0.3">
      <c r="D97" s="30"/>
      <c r="F97" s="24"/>
      <c r="G97" s="18"/>
      <c r="H97"/>
      <c r="I97"/>
      <c r="J97"/>
    </row>
    <row r="98" spans="4:10" x14ac:dyDescent="0.3">
      <c r="D98" s="30"/>
      <c r="F98" s="24"/>
      <c r="G98" s="18"/>
      <c r="H98"/>
      <c r="I98"/>
      <c r="J98"/>
    </row>
    <row r="99" spans="4:10" x14ac:dyDescent="0.3">
      <c r="D99" s="30"/>
      <c r="F99" s="24"/>
      <c r="G99" s="18"/>
      <c r="H99"/>
      <c r="I99"/>
      <c r="J99"/>
    </row>
    <row r="100" spans="4:10" x14ac:dyDescent="0.3">
      <c r="D100" s="30"/>
      <c r="F100" s="24"/>
      <c r="G100" s="18"/>
      <c r="H100"/>
      <c r="I100"/>
      <c r="J100"/>
    </row>
    <row r="101" spans="4:10" x14ac:dyDescent="0.3">
      <c r="D101" s="30"/>
      <c r="F101" s="24"/>
      <c r="G101" s="18"/>
      <c r="H101"/>
      <c r="I101"/>
      <c r="J101"/>
    </row>
    <row r="102" spans="4:10" x14ac:dyDescent="0.3">
      <c r="D102" s="30"/>
      <c r="F102" s="24"/>
      <c r="G102" s="18"/>
      <c r="H102"/>
      <c r="I102"/>
      <c r="J102"/>
    </row>
    <row r="103" spans="4:10" x14ac:dyDescent="0.3">
      <c r="D103" s="30"/>
      <c r="F103" s="24"/>
      <c r="G103" s="18"/>
      <c r="H103"/>
      <c r="I103"/>
      <c r="J103"/>
    </row>
    <row r="104" spans="4:10" x14ac:dyDescent="0.3">
      <c r="D104" s="30"/>
      <c r="F104" s="24"/>
      <c r="G104" s="18"/>
      <c r="H104"/>
      <c r="I104"/>
      <c r="J104"/>
    </row>
    <row r="105" spans="4:10" x14ac:dyDescent="0.3">
      <c r="D105" s="30"/>
      <c r="F105" s="24"/>
      <c r="G105" s="18"/>
      <c r="H105"/>
      <c r="I105"/>
      <c r="J105"/>
    </row>
    <row r="106" spans="4:10" x14ac:dyDescent="0.3">
      <c r="D106" s="30"/>
      <c r="F106" s="24"/>
      <c r="G106" s="18"/>
      <c r="H106"/>
      <c r="I106"/>
      <c r="J106"/>
    </row>
    <row r="107" spans="4:10" x14ac:dyDescent="0.3">
      <c r="D107" s="30"/>
      <c r="F107" s="24"/>
      <c r="G107" s="18"/>
      <c r="H107"/>
      <c r="I107"/>
      <c r="J107"/>
    </row>
    <row r="108" spans="4:10" x14ac:dyDescent="0.3">
      <c r="D108" s="30"/>
      <c r="F108" s="24"/>
      <c r="G108" s="18"/>
      <c r="H108"/>
      <c r="I108"/>
      <c r="J108"/>
    </row>
    <row r="109" spans="4:10" x14ac:dyDescent="0.3">
      <c r="D109" s="30"/>
      <c r="F109" s="24"/>
      <c r="G109" s="18"/>
      <c r="H109"/>
      <c r="I109"/>
      <c r="J109"/>
    </row>
    <row r="110" spans="4:10" x14ac:dyDescent="0.3">
      <c r="D110" s="30"/>
      <c r="F110" s="24"/>
      <c r="G110" s="18"/>
      <c r="H110"/>
      <c r="I110"/>
      <c r="J110"/>
    </row>
    <row r="111" spans="4:10" x14ac:dyDescent="0.3">
      <c r="D111" s="30"/>
      <c r="F111" s="24"/>
      <c r="G111" s="18"/>
      <c r="H111"/>
      <c r="I111"/>
      <c r="J111"/>
    </row>
    <row r="112" spans="4:10" x14ac:dyDescent="0.3">
      <c r="D112" s="30"/>
      <c r="F112" s="24"/>
      <c r="G112" s="18"/>
      <c r="H112"/>
      <c r="I112"/>
      <c r="J112"/>
    </row>
    <row r="113" spans="4:10" x14ac:dyDescent="0.3">
      <c r="D113" s="30"/>
      <c r="F113" s="24"/>
      <c r="G113" s="18"/>
      <c r="H113"/>
      <c r="I113"/>
      <c r="J113"/>
    </row>
    <row r="114" spans="4:10" x14ac:dyDescent="0.3">
      <c r="D114" s="30"/>
      <c r="F114" s="24"/>
      <c r="G114" s="18"/>
      <c r="H114"/>
      <c r="I114"/>
      <c r="J114"/>
    </row>
    <row r="115" spans="4:10" x14ac:dyDescent="0.3">
      <c r="D115" s="30"/>
      <c r="F115" s="24"/>
      <c r="G115" s="18"/>
      <c r="H115"/>
      <c r="I115"/>
      <c r="J115"/>
    </row>
    <row r="116" spans="4:10" x14ac:dyDescent="0.3">
      <c r="D116" s="30"/>
      <c r="F116" s="24"/>
      <c r="G116" s="18"/>
      <c r="H116"/>
      <c r="I116"/>
      <c r="J116"/>
    </row>
    <row r="117" spans="4:10" x14ac:dyDescent="0.3">
      <c r="D117" s="30"/>
      <c r="F117" s="24"/>
      <c r="G117" s="18"/>
      <c r="H117"/>
      <c r="I117"/>
      <c r="J117"/>
    </row>
    <row r="118" spans="4:10" x14ac:dyDescent="0.3">
      <c r="D118" s="30"/>
      <c r="F118" s="24"/>
      <c r="G118" s="18"/>
      <c r="H118"/>
      <c r="I118"/>
      <c r="J118"/>
    </row>
    <row r="119" spans="4:10" x14ac:dyDescent="0.3">
      <c r="D119" s="30"/>
      <c r="F119" s="24"/>
      <c r="G119" s="18"/>
      <c r="H119"/>
      <c r="I119"/>
      <c r="J119"/>
    </row>
    <row r="120" spans="4:10" x14ac:dyDescent="0.3">
      <c r="D120" s="30"/>
      <c r="F120" s="24"/>
      <c r="G120" s="18"/>
      <c r="H120"/>
      <c r="I120"/>
      <c r="J120"/>
    </row>
    <row r="121" spans="4:10" x14ac:dyDescent="0.3">
      <c r="D121" s="30"/>
      <c r="F121" s="24"/>
      <c r="G121" s="18"/>
      <c r="H121"/>
      <c r="I121"/>
      <c r="J121"/>
    </row>
    <row r="122" spans="4:10" x14ac:dyDescent="0.3">
      <c r="D122" s="30"/>
      <c r="F122" s="24"/>
      <c r="G122" s="18"/>
      <c r="H122"/>
      <c r="I122"/>
      <c r="J122"/>
    </row>
    <row r="123" spans="4:10" x14ac:dyDescent="0.3">
      <c r="D123" s="30"/>
      <c r="F123" s="24"/>
      <c r="G123" s="18"/>
      <c r="H123"/>
      <c r="I123"/>
      <c r="J123"/>
    </row>
    <row r="124" spans="4:10" x14ac:dyDescent="0.3">
      <c r="D124" s="30"/>
      <c r="F124" s="24"/>
      <c r="G124" s="18"/>
      <c r="H124"/>
      <c r="I124"/>
      <c r="J124"/>
    </row>
    <row r="125" spans="4:10" x14ac:dyDescent="0.3">
      <c r="D125" s="30"/>
      <c r="F125" s="24"/>
      <c r="G125" s="18"/>
      <c r="H125"/>
      <c r="I125"/>
      <c r="J125"/>
    </row>
    <row r="126" spans="4:10" x14ac:dyDescent="0.3">
      <c r="D126" s="30"/>
      <c r="F126" s="24"/>
      <c r="G126" s="18"/>
      <c r="H126"/>
      <c r="I126"/>
      <c r="J126"/>
    </row>
    <row r="127" spans="4:10" x14ac:dyDescent="0.3">
      <c r="D127" s="30"/>
      <c r="F127" s="24"/>
      <c r="G127" s="18"/>
      <c r="H127"/>
      <c r="I127"/>
      <c r="J127"/>
    </row>
    <row r="128" spans="4:10" x14ac:dyDescent="0.3">
      <c r="D128" s="30"/>
      <c r="F128" s="24"/>
      <c r="G128" s="18"/>
      <c r="H128"/>
      <c r="I128"/>
      <c r="J128"/>
    </row>
    <row r="129" spans="4:10" x14ac:dyDescent="0.3">
      <c r="D129" s="30"/>
      <c r="F129" s="24"/>
      <c r="G129" s="18"/>
      <c r="H129"/>
      <c r="I129"/>
      <c r="J129"/>
    </row>
    <row r="130" spans="4:10" x14ac:dyDescent="0.3">
      <c r="D130" s="30"/>
      <c r="F130" s="24"/>
      <c r="G130" s="18"/>
      <c r="H130"/>
      <c r="I130"/>
      <c r="J130"/>
    </row>
    <row r="131" spans="4:10" x14ac:dyDescent="0.3">
      <c r="D131" s="30"/>
      <c r="F131" s="24"/>
      <c r="G131" s="18"/>
      <c r="H131"/>
      <c r="I131"/>
      <c r="J131"/>
    </row>
    <row r="132" spans="4:10" x14ac:dyDescent="0.3">
      <c r="D132" s="30"/>
      <c r="F132" s="24"/>
      <c r="G132" s="18"/>
      <c r="H132"/>
      <c r="I132"/>
      <c r="J132"/>
    </row>
    <row r="133" spans="4:10" x14ac:dyDescent="0.3">
      <c r="D133" s="30"/>
      <c r="F133" s="24"/>
      <c r="G133" s="18"/>
      <c r="H133"/>
      <c r="I133"/>
      <c r="J133"/>
    </row>
    <row r="134" spans="4:10" x14ac:dyDescent="0.3">
      <c r="D134" s="30"/>
      <c r="F134" s="24"/>
      <c r="G134" s="18"/>
      <c r="H134"/>
      <c r="I134"/>
      <c r="J134"/>
    </row>
    <row r="135" spans="4:10" x14ac:dyDescent="0.3">
      <c r="D135" s="30"/>
      <c r="F135" s="24"/>
      <c r="G135" s="18"/>
      <c r="H135"/>
      <c r="I135"/>
      <c r="J135"/>
    </row>
    <row r="136" spans="4:10" x14ac:dyDescent="0.3">
      <c r="D136" s="30"/>
      <c r="F136" s="24"/>
      <c r="G136" s="18"/>
      <c r="H136"/>
      <c r="I136"/>
      <c r="J136"/>
    </row>
    <row r="137" spans="4:10" x14ac:dyDescent="0.3">
      <c r="D137" s="30"/>
      <c r="F137" s="24"/>
      <c r="G137" s="18"/>
      <c r="H137"/>
      <c r="I137"/>
      <c r="J137"/>
    </row>
    <row r="138" spans="4:10" x14ac:dyDescent="0.3">
      <c r="D138" s="30"/>
      <c r="F138" s="24"/>
      <c r="G138" s="18"/>
      <c r="H138"/>
      <c r="I138"/>
      <c r="J138"/>
    </row>
    <row r="139" spans="4:10" x14ac:dyDescent="0.3">
      <c r="D139" s="30"/>
      <c r="F139" s="24"/>
      <c r="G139" s="18"/>
      <c r="H139"/>
      <c r="I139"/>
      <c r="J139"/>
    </row>
    <row r="140" spans="4:10" x14ac:dyDescent="0.3">
      <c r="D140" s="30"/>
      <c r="F140" s="24"/>
      <c r="G140" s="18"/>
      <c r="H140"/>
      <c r="I140"/>
      <c r="J140"/>
    </row>
    <row r="141" spans="4:10" x14ac:dyDescent="0.3">
      <c r="D141" s="30"/>
      <c r="F141" s="24"/>
      <c r="G141" s="18"/>
      <c r="H141"/>
      <c r="I141"/>
      <c r="J141"/>
    </row>
    <row r="142" spans="4:10" x14ac:dyDescent="0.3">
      <c r="D142" s="30"/>
      <c r="F142" s="24"/>
      <c r="G142" s="18"/>
      <c r="H142"/>
      <c r="I142"/>
      <c r="J142"/>
    </row>
    <row r="143" spans="4:10" x14ac:dyDescent="0.3">
      <c r="D143" s="30"/>
      <c r="F143" s="24"/>
      <c r="G143" s="18"/>
      <c r="H143"/>
      <c r="I143"/>
      <c r="J143"/>
    </row>
    <row r="144" spans="4:10" x14ac:dyDescent="0.3">
      <c r="D144" s="30"/>
      <c r="F144" s="24"/>
      <c r="G144" s="18"/>
      <c r="H144"/>
      <c r="I144"/>
      <c r="J144"/>
    </row>
    <row r="145" spans="4:10" x14ac:dyDescent="0.3">
      <c r="D145" s="30"/>
      <c r="F145" s="24"/>
      <c r="G145" s="18"/>
      <c r="H145"/>
      <c r="I145"/>
      <c r="J145"/>
    </row>
    <row r="146" spans="4:10" x14ac:dyDescent="0.3">
      <c r="D146" s="30"/>
      <c r="F146" s="24"/>
      <c r="G146" s="18"/>
      <c r="H146"/>
      <c r="I146"/>
      <c r="J146"/>
    </row>
    <row r="147" spans="4:10" x14ac:dyDescent="0.3">
      <c r="D147" s="30"/>
      <c r="F147" s="24"/>
      <c r="G147" s="18"/>
      <c r="H147"/>
      <c r="I147"/>
      <c r="J147"/>
    </row>
    <row r="148" spans="4:10" x14ac:dyDescent="0.3">
      <c r="D148" s="30"/>
      <c r="F148" s="24"/>
      <c r="G148" s="18"/>
      <c r="H148"/>
      <c r="I148"/>
      <c r="J148"/>
    </row>
    <row r="149" spans="4:10" x14ac:dyDescent="0.3">
      <c r="D149" s="30"/>
      <c r="F149" s="24"/>
      <c r="G149" s="18"/>
      <c r="H149"/>
      <c r="I149"/>
      <c r="J149"/>
    </row>
    <row r="150" spans="4:10" x14ac:dyDescent="0.3">
      <c r="D150" s="30"/>
      <c r="F150" s="24"/>
      <c r="G150" s="18"/>
      <c r="H150"/>
      <c r="I150"/>
      <c r="J150"/>
    </row>
    <row r="151" spans="4:10" x14ac:dyDescent="0.3">
      <c r="D151" s="30"/>
      <c r="F151" s="24"/>
      <c r="G151" s="18"/>
      <c r="H151"/>
      <c r="I151"/>
      <c r="J151"/>
    </row>
    <row r="152" spans="4:10" x14ac:dyDescent="0.3">
      <c r="D152" s="30"/>
      <c r="F152" s="24"/>
      <c r="G152" s="18"/>
      <c r="H152"/>
      <c r="I152"/>
      <c r="J152"/>
    </row>
    <row r="153" spans="4:10" x14ac:dyDescent="0.3">
      <c r="D153" s="30"/>
      <c r="F153" s="24"/>
      <c r="G153" s="18"/>
      <c r="H153"/>
      <c r="I153"/>
      <c r="J153"/>
    </row>
    <row r="154" spans="4:10" x14ac:dyDescent="0.3">
      <c r="D154" s="30"/>
      <c r="F154" s="24"/>
      <c r="G154" s="18"/>
      <c r="H154"/>
      <c r="I154"/>
      <c r="J154"/>
    </row>
    <row r="155" spans="4:10" x14ac:dyDescent="0.3">
      <c r="D155" s="30"/>
      <c r="F155" s="24"/>
      <c r="G155" s="18"/>
      <c r="H155"/>
      <c r="I155"/>
      <c r="J155"/>
    </row>
    <row r="156" spans="4:10" x14ac:dyDescent="0.3">
      <c r="D156" s="30"/>
      <c r="F156" s="24"/>
      <c r="G156" s="18"/>
      <c r="H156"/>
      <c r="I156"/>
      <c r="J156"/>
    </row>
    <row r="157" spans="4:10" x14ac:dyDescent="0.3">
      <c r="D157" s="30"/>
      <c r="F157" s="24"/>
      <c r="G157" s="18"/>
      <c r="H157"/>
      <c r="I157"/>
      <c r="J157"/>
    </row>
    <row r="158" spans="4:10" x14ac:dyDescent="0.3">
      <c r="D158" s="30"/>
      <c r="F158" s="24"/>
      <c r="G158" s="18"/>
      <c r="H158"/>
      <c r="I158"/>
      <c r="J158"/>
    </row>
    <row r="159" spans="4:10" x14ac:dyDescent="0.3">
      <c r="D159" s="30"/>
      <c r="F159" s="24"/>
      <c r="G159" s="18"/>
      <c r="H159"/>
      <c r="I159"/>
      <c r="J159"/>
    </row>
    <row r="160" spans="4:10" x14ac:dyDescent="0.3">
      <c r="D160" s="30"/>
      <c r="F160" s="24"/>
      <c r="G160" s="18"/>
      <c r="H160"/>
      <c r="I160"/>
      <c r="J160"/>
    </row>
    <row r="161" spans="4:10" x14ac:dyDescent="0.3">
      <c r="D161" s="30"/>
      <c r="F161" s="24"/>
      <c r="G161" s="18"/>
      <c r="H161"/>
      <c r="I161"/>
      <c r="J161"/>
    </row>
    <row r="162" spans="4:10" x14ac:dyDescent="0.3">
      <c r="D162" s="30"/>
      <c r="F162" s="24"/>
      <c r="G162" s="18"/>
      <c r="H162"/>
      <c r="I162"/>
      <c r="J162"/>
    </row>
    <row r="163" spans="4:10" x14ac:dyDescent="0.3">
      <c r="D163" s="30"/>
      <c r="F163" s="24"/>
      <c r="G163" s="18"/>
      <c r="H163"/>
      <c r="I163"/>
      <c r="J163"/>
    </row>
    <row r="164" spans="4:10" x14ac:dyDescent="0.3">
      <c r="D164" s="30"/>
      <c r="F164" s="24"/>
      <c r="G164" s="18"/>
      <c r="H164"/>
      <c r="I164"/>
      <c r="J164"/>
    </row>
    <row r="165" spans="4:10" x14ac:dyDescent="0.3">
      <c r="D165" s="30"/>
      <c r="F165" s="24"/>
      <c r="G165" s="18"/>
      <c r="H165"/>
      <c r="I165"/>
      <c r="J165"/>
    </row>
    <row r="166" spans="4:10" x14ac:dyDescent="0.3">
      <c r="D166" s="30"/>
      <c r="F166" s="24"/>
      <c r="G166" s="18"/>
      <c r="H166"/>
      <c r="I166"/>
      <c r="J166"/>
    </row>
    <row r="167" spans="4:10" x14ac:dyDescent="0.3">
      <c r="D167" s="30"/>
      <c r="F167" s="24"/>
      <c r="G167" s="18"/>
      <c r="H167"/>
      <c r="I167"/>
      <c r="J167"/>
    </row>
    <row r="168" spans="4:10" x14ac:dyDescent="0.3">
      <c r="D168" s="30"/>
      <c r="F168" s="24"/>
      <c r="G168" s="18"/>
      <c r="H168"/>
      <c r="I168"/>
      <c r="J168"/>
    </row>
    <row r="169" spans="4:10" x14ac:dyDescent="0.3">
      <c r="D169" s="30"/>
      <c r="F169" s="24"/>
      <c r="G169" s="18"/>
      <c r="H169"/>
      <c r="I169"/>
      <c r="J169"/>
    </row>
    <row r="170" spans="4:10" x14ac:dyDescent="0.3">
      <c r="D170" s="30"/>
      <c r="F170" s="24"/>
      <c r="G170" s="18"/>
      <c r="H170"/>
      <c r="I170"/>
      <c r="J170"/>
    </row>
    <row r="171" spans="4:10" x14ac:dyDescent="0.3">
      <c r="D171" s="30"/>
      <c r="F171" s="24"/>
      <c r="G171" s="18"/>
      <c r="H171"/>
      <c r="I171"/>
      <c r="J171"/>
    </row>
    <row r="172" spans="4:10" x14ac:dyDescent="0.3">
      <c r="D172" s="30"/>
      <c r="F172" s="24"/>
      <c r="G172" s="18"/>
      <c r="H172"/>
      <c r="I172"/>
      <c r="J172"/>
    </row>
    <row r="173" spans="4:10" x14ac:dyDescent="0.3">
      <c r="D173" s="30"/>
      <c r="F173" s="24"/>
      <c r="G173" s="18"/>
      <c r="H173"/>
      <c r="I173"/>
      <c r="J173"/>
    </row>
    <row r="174" spans="4:10" x14ac:dyDescent="0.3">
      <c r="D174" s="30"/>
      <c r="F174" s="24"/>
      <c r="G174" s="18"/>
      <c r="H174"/>
      <c r="I174"/>
      <c r="J174"/>
    </row>
    <row r="175" spans="4:10" x14ac:dyDescent="0.3">
      <c r="D175" s="30"/>
      <c r="F175" s="24"/>
      <c r="G175" s="18"/>
      <c r="H175"/>
      <c r="I175"/>
      <c r="J175"/>
    </row>
    <row r="176" spans="4:10" x14ac:dyDescent="0.3">
      <c r="D176" s="30"/>
      <c r="F176" s="24"/>
      <c r="G176" s="18"/>
      <c r="H176"/>
      <c r="I176"/>
      <c r="J176"/>
    </row>
    <row r="177" spans="4:10" x14ac:dyDescent="0.3">
      <c r="D177" s="30"/>
      <c r="F177" s="24"/>
      <c r="G177" s="18"/>
      <c r="H177"/>
      <c r="I177"/>
      <c r="J177"/>
    </row>
    <row r="178" spans="4:10" x14ac:dyDescent="0.3">
      <c r="D178" s="30"/>
      <c r="F178" s="24"/>
      <c r="G178" s="18"/>
      <c r="H178"/>
      <c r="I178"/>
      <c r="J178"/>
    </row>
    <row r="179" spans="4:10" x14ac:dyDescent="0.3">
      <c r="D179" s="30"/>
      <c r="F179" s="24"/>
      <c r="G179" s="18"/>
      <c r="H179"/>
      <c r="I179"/>
      <c r="J179"/>
    </row>
    <row r="180" spans="4:10" x14ac:dyDescent="0.3">
      <c r="D180" s="30"/>
      <c r="F180" s="24"/>
      <c r="G180" s="18"/>
      <c r="H180"/>
      <c r="I180"/>
      <c r="J180"/>
    </row>
    <row r="181" spans="4:10" x14ac:dyDescent="0.3">
      <c r="D181" s="30"/>
      <c r="F181" s="24"/>
      <c r="G181" s="18"/>
      <c r="H181"/>
      <c r="I181"/>
      <c r="J181"/>
    </row>
    <row r="182" spans="4:10" x14ac:dyDescent="0.3">
      <c r="D182" s="30"/>
      <c r="F182" s="24"/>
      <c r="G182" s="18"/>
      <c r="H182"/>
      <c r="I182"/>
      <c r="J182"/>
    </row>
    <row r="183" spans="4:10" x14ac:dyDescent="0.3">
      <c r="D183" s="30"/>
      <c r="F183" s="24"/>
      <c r="G183" s="18"/>
      <c r="H183"/>
      <c r="I183"/>
      <c r="J183"/>
    </row>
    <row r="184" spans="4:10" x14ac:dyDescent="0.3">
      <c r="D184" s="30"/>
      <c r="F184" s="24"/>
      <c r="G184" s="18"/>
      <c r="H184"/>
      <c r="I184"/>
      <c r="J184"/>
    </row>
    <row r="185" spans="4:10" x14ac:dyDescent="0.3">
      <c r="D185" s="30"/>
      <c r="F185" s="24"/>
      <c r="G185" s="18"/>
      <c r="H185"/>
      <c r="I185"/>
      <c r="J185"/>
    </row>
    <row r="186" spans="4:10" x14ac:dyDescent="0.3">
      <c r="D186" s="30"/>
      <c r="F186" s="24"/>
      <c r="G186" s="18"/>
      <c r="H186"/>
      <c r="I186"/>
      <c r="J186"/>
    </row>
    <row r="187" spans="4:10" x14ac:dyDescent="0.3">
      <c r="D187" s="30"/>
      <c r="F187" s="24"/>
      <c r="G187" s="18"/>
      <c r="H187"/>
      <c r="I187"/>
      <c r="J187"/>
    </row>
    <row r="188" spans="4:10" x14ac:dyDescent="0.3">
      <c r="D188" s="30"/>
      <c r="F188" s="24"/>
      <c r="G188" s="18"/>
      <c r="H188"/>
      <c r="I188"/>
      <c r="J188"/>
    </row>
    <row r="189" spans="4:10" x14ac:dyDescent="0.3">
      <c r="D189" s="30"/>
      <c r="F189" s="24"/>
      <c r="G189" s="18"/>
      <c r="H189"/>
      <c r="I189"/>
      <c r="J189"/>
    </row>
    <row r="190" spans="4:10" x14ac:dyDescent="0.3">
      <c r="D190" s="30"/>
      <c r="F190" s="24"/>
      <c r="G190" s="18"/>
      <c r="H190"/>
      <c r="I190"/>
      <c r="J190"/>
    </row>
    <row r="191" spans="4:10" x14ac:dyDescent="0.3">
      <c r="D191" s="30"/>
      <c r="F191" s="24"/>
      <c r="G191" s="18"/>
      <c r="H191"/>
      <c r="I191"/>
      <c r="J191"/>
    </row>
    <row r="192" spans="4:10" x14ac:dyDescent="0.3">
      <c r="D192" s="30"/>
      <c r="F192" s="24"/>
      <c r="G192" s="18"/>
      <c r="H192"/>
      <c r="I192"/>
      <c r="J192"/>
    </row>
    <row r="193" spans="4:10" x14ac:dyDescent="0.3">
      <c r="D193" s="30"/>
      <c r="F193" s="24"/>
      <c r="G193" s="18"/>
      <c r="H193"/>
      <c r="I193"/>
      <c r="J193"/>
    </row>
    <row r="194" spans="4:10" x14ac:dyDescent="0.3">
      <c r="D194" s="30"/>
      <c r="F194" s="24"/>
      <c r="G194" s="18"/>
      <c r="H194"/>
      <c r="I194"/>
      <c r="J194"/>
    </row>
    <row r="195" spans="4:10" x14ac:dyDescent="0.3">
      <c r="D195" s="30"/>
      <c r="F195" s="24"/>
      <c r="G195" s="18"/>
      <c r="H195"/>
      <c r="I195"/>
      <c r="J195"/>
    </row>
    <row r="196" spans="4:10" x14ac:dyDescent="0.3">
      <c r="D196" s="30"/>
      <c r="F196" s="24"/>
      <c r="G196" s="18"/>
      <c r="H196"/>
      <c r="I196"/>
      <c r="J196"/>
    </row>
    <row r="197" spans="4:10" x14ac:dyDescent="0.3">
      <c r="D197" s="30"/>
      <c r="F197" s="24"/>
      <c r="G197" s="18"/>
      <c r="H197"/>
      <c r="I197"/>
      <c r="J197"/>
    </row>
    <row r="198" spans="4:10" x14ac:dyDescent="0.3">
      <c r="D198" s="30"/>
      <c r="F198" s="24"/>
      <c r="G198" s="18"/>
      <c r="H198"/>
      <c r="I198"/>
      <c r="J198"/>
    </row>
    <row r="199" spans="4:10" x14ac:dyDescent="0.3">
      <c r="D199" s="30"/>
      <c r="F199" s="24"/>
      <c r="G199" s="18"/>
      <c r="H199"/>
      <c r="I199"/>
      <c r="J199"/>
    </row>
    <row r="200" spans="4:10" x14ac:dyDescent="0.3">
      <c r="D200" s="30"/>
      <c r="F200" s="24"/>
      <c r="G200" s="18"/>
      <c r="H200"/>
      <c r="I200"/>
      <c r="J200"/>
    </row>
    <row r="201" spans="4:10" x14ac:dyDescent="0.3">
      <c r="D201" s="30"/>
      <c r="F201" s="24"/>
      <c r="G201" s="18"/>
      <c r="H201"/>
      <c r="I201"/>
      <c r="J201"/>
    </row>
    <row r="202" spans="4:10" x14ac:dyDescent="0.3">
      <c r="D202" s="30"/>
      <c r="F202" s="24"/>
      <c r="G202" s="18"/>
      <c r="H202"/>
      <c r="I202"/>
      <c r="J202"/>
    </row>
    <row r="203" spans="4:10" x14ac:dyDescent="0.3">
      <c r="D203" s="30"/>
      <c r="F203" s="24"/>
      <c r="G203" s="18"/>
      <c r="H203"/>
      <c r="I203"/>
      <c r="J203"/>
    </row>
    <row r="204" spans="4:10" x14ac:dyDescent="0.3">
      <c r="D204" s="30"/>
      <c r="F204" s="24"/>
      <c r="G204" s="18"/>
      <c r="H204"/>
      <c r="I204"/>
      <c r="J204"/>
    </row>
    <row r="205" spans="4:10" x14ac:dyDescent="0.3">
      <c r="D205" s="30"/>
      <c r="F205" s="24"/>
      <c r="G205" s="18"/>
      <c r="H205"/>
      <c r="I205"/>
      <c r="J205"/>
    </row>
    <row r="206" spans="4:10" x14ac:dyDescent="0.3">
      <c r="D206" s="30"/>
      <c r="F206" s="24"/>
      <c r="G206" s="18"/>
      <c r="H206"/>
      <c r="I206"/>
      <c r="J206"/>
    </row>
    <row r="207" spans="4:10" x14ac:dyDescent="0.3">
      <c r="D207" s="30"/>
      <c r="F207" s="24"/>
      <c r="G207" s="18"/>
      <c r="H207"/>
      <c r="I207"/>
      <c r="J207"/>
    </row>
    <row r="208" spans="4:10" x14ac:dyDescent="0.3">
      <c r="D208" s="30"/>
      <c r="F208" s="24"/>
      <c r="G208" s="18"/>
      <c r="H208"/>
      <c r="I208"/>
      <c r="J208"/>
    </row>
    <row r="209" spans="4:10" x14ac:dyDescent="0.3">
      <c r="D209" s="30"/>
      <c r="F209" s="24"/>
      <c r="G209" s="18"/>
      <c r="H209"/>
      <c r="I209"/>
      <c r="J209"/>
    </row>
    <row r="210" spans="4:10" x14ac:dyDescent="0.3">
      <c r="D210" s="30"/>
      <c r="F210" s="24"/>
      <c r="G210" s="18"/>
      <c r="H210"/>
      <c r="I210"/>
      <c r="J210"/>
    </row>
    <row r="211" spans="4:10" x14ac:dyDescent="0.3">
      <c r="D211" s="30"/>
      <c r="F211" s="24"/>
      <c r="G211" s="18"/>
      <c r="H211"/>
      <c r="I211"/>
      <c r="J211"/>
    </row>
    <row r="212" spans="4:10" x14ac:dyDescent="0.3">
      <c r="D212" s="30"/>
      <c r="F212" s="24"/>
      <c r="G212" s="18"/>
      <c r="H212"/>
      <c r="I212"/>
      <c r="J212"/>
    </row>
    <row r="213" spans="4:10" x14ac:dyDescent="0.3">
      <c r="D213" s="30"/>
      <c r="F213" s="24"/>
      <c r="G213" s="18"/>
      <c r="H213"/>
      <c r="I213"/>
      <c r="J213"/>
    </row>
    <row r="214" spans="4:10" x14ac:dyDescent="0.3">
      <c r="D214" s="30"/>
      <c r="F214" s="24"/>
      <c r="G214" s="18"/>
      <c r="H214"/>
      <c r="I214"/>
      <c r="J214"/>
    </row>
  </sheetData>
  <sheetProtection selectLockedCell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27"/>
  <sheetViews>
    <sheetView showGridLines="0" workbookViewId="0">
      <selection activeCell="C24" sqref="C24:J24"/>
    </sheetView>
  </sheetViews>
  <sheetFormatPr defaultRowHeight="14.4" x14ac:dyDescent="0.3"/>
  <cols>
    <col min="2" max="2" width="25.6640625" customWidth="1"/>
    <col min="3" max="3" width="14.44140625" customWidth="1"/>
    <col min="4" max="4" width="5.6640625" customWidth="1"/>
    <col min="5" max="5" width="21.88671875" customWidth="1"/>
    <col min="6" max="6" width="4.6640625" style="13" customWidth="1"/>
    <col min="7" max="7" width="18.88671875" customWidth="1"/>
    <col min="8" max="8" width="12.33203125" style="13" customWidth="1"/>
    <col min="9" max="9" width="14.6640625" customWidth="1"/>
    <col min="10" max="13" width="14.44140625" customWidth="1"/>
  </cols>
  <sheetData>
    <row r="1" spans="2:9" ht="6" customHeight="1" x14ac:dyDescent="0.3"/>
    <row r="2" spans="2:9" ht="39" customHeight="1" thickBot="1" x14ac:dyDescent="0.45">
      <c r="B2" s="2" t="s">
        <v>36</v>
      </c>
      <c r="C2" s="2"/>
      <c r="D2" s="2"/>
      <c r="E2" s="2"/>
      <c r="F2" s="56"/>
      <c r="G2" s="2"/>
      <c r="H2" s="56"/>
      <c r="I2" s="2"/>
    </row>
    <row r="3" spans="2:9" ht="9" customHeight="1" thickTop="1" x14ac:dyDescent="0.3"/>
    <row r="4" spans="2:9" x14ac:dyDescent="0.3">
      <c r="B4" s="3" t="str">
        <f>IF(ProjectName="","",ProjectName)</f>
        <v/>
      </c>
      <c r="H4" s="131" t="s">
        <v>10</v>
      </c>
      <c r="I4" s="4" t="str">
        <f>IF(EstimatorName="","",EstimatorName)</f>
        <v/>
      </c>
    </row>
    <row r="5" spans="2:9" ht="15" customHeight="1" x14ac:dyDescent="0.3">
      <c r="B5" s="7" t="str">
        <f>IF(ProjectAddress="","",ProjectAddress)</f>
        <v/>
      </c>
      <c r="H5" s="131" t="s">
        <v>11</v>
      </c>
      <c r="I5" s="4" t="str">
        <f>IF(EstimateNo="","",EstimateNo)</f>
        <v/>
      </c>
    </row>
    <row r="6" spans="2:9" x14ac:dyDescent="0.3">
      <c r="D6" s="53"/>
      <c r="E6" s="53"/>
    </row>
    <row r="7" spans="2:9" ht="23.4" x14ac:dyDescent="0.45">
      <c r="B7" s="6" t="s">
        <v>18</v>
      </c>
      <c r="E7" s="6" t="s">
        <v>17</v>
      </c>
    </row>
    <row r="8" spans="2:9" x14ac:dyDescent="0.3">
      <c r="B8" t="s">
        <v>31</v>
      </c>
      <c r="C8" s="13" t="s">
        <v>29</v>
      </c>
      <c r="E8" t="s">
        <v>31</v>
      </c>
      <c r="F8" s="13" t="s">
        <v>32</v>
      </c>
      <c r="G8" t="s">
        <v>54</v>
      </c>
      <c r="H8" s="13" t="s">
        <v>55</v>
      </c>
      <c r="I8" s="13" t="s">
        <v>29</v>
      </c>
    </row>
    <row r="9" spans="2:9" x14ac:dyDescent="0.3">
      <c r="B9" s="87" t="s">
        <v>59</v>
      </c>
      <c r="C9" s="89"/>
      <c r="E9" s="87" t="s">
        <v>22</v>
      </c>
      <c r="F9" s="88">
        <v>4</v>
      </c>
      <c r="G9" s="55" t="s">
        <v>52</v>
      </c>
      <c r="H9" s="141" t="e">
        <f>IF(ManagmentTable[[#This Row],[%]]="","",Labor_Total*(ManagmentTable[[#This Row],[%]]/100))</f>
        <v>#NAME?</v>
      </c>
      <c r="I9" s="8" t="e">
        <f>ManagmentTable[[#This Row],[Hours]]*Settings!C11</f>
        <v>#NAME?</v>
      </c>
    </row>
    <row r="10" spans="2:9" x14ac:dyDescent="0.3">
      <c r="B10" s="87" t="s">
        <v>60</v>
      </c>
      <c r="C10" s="89"/>
      <c r="E10" s="87" t="s">
        <v>23</v>
      </c>
      <c r="F10" s="88">
        <v>8</v>
      </c>
      <c r="G10" s="55" t="s">
        <v>52</v>
      </c>
      <c r="H10" s="141" t="e">
        <f>IF(ManagmentTable[[#This Row],[%]]="","",Labor_Total*(ManagmentTable[[#This Row],[%]]/100))</f>
        <v>#NAME?</v>
      </c>
      <c r="I10" s="8" t="e">
        <f>ManagmentTable[[#This Row],[Hours]]*Settings!C10</f>
        <v>#NAME?</v>
      </c>
    </row>
    <row r="11" spans="2:9" x14ac:dyDescent="0.3">
      <c r="B11" s="87" t="s">
        <v>61</v>
      </c>
      <c r="C11" s="89"/>
      <c r="E11" s="87" t="s">
        <v>53</v>
      </c>
      <c r="F11" s="88">
        <v>1</v>
      </c>
      <c r="G11" s="55" t="s">
        <v>52</v>
      </c>
      <c r="H11" s="141" t="e">
        <f>IF(ManagmentTable[[#This Row],[%]]="","",Labor_Total*(ManagmentTable[[#This Row],[%]]/100))</f>
        <v>#NAME?</v>
      </c>
      <c r="I11" s="8" t="e">
        <f>ManagmentTable[[#This Row],[Hours]]*Settings!C12</f>
        <v>#NAME?</v>
      </c>
    </row>
    <row r="12" spans="2:9" x14ac:dyDescent="0.3">
      <c r="B12" s="87"/>
      <c r="C12" s="89"/>
      <c r="E12" s="87"/>
      <c r="F12" s="88"/>
      <c r="G12" s="55"/>
      <c r="H12" s="141" t="str">
        <f>IF(ManagmentTable[[#This Row],[%]]="","",Labor_Total*(ManagmentTable[[#This Row],[%]]/100))</f>
        <v/>
      </c>
      <c r="I12" s="8"/>
    </row>
    <row r="13" spans="2:9" x14ac:dyDescent="0.3">
      <c r="B13" s="87"/>
      <c r="C13" s="89"/>
      <c r="E13" s="87"/>
      <c r="F13" s="88"/>
      <c r="G13" s="55"/>
      <c r="H13" s="141" t="str">
        <f>IF(ManagmentTable[[#This Row],[%]]="","",Labor_Total*(ManagmentTable[[#This Row],[%]]/100))</f>
        <v/>
      </c>
      <c r="I13" s="8"/>
    </row>
    <row r="14" spans="2:9" x14ac:dyDescent="0.3">
      <c r="B14" s="87"/>
      <c r="C14" s="89"/>
      <c r="E14" s="87"/>
      <c r="F14" s="88"/>
      <c r="G14" s="55"/>
      <c r="H14" s="141" t="str">
        <f>IF(ManagmentTable[[#This Row],[%]]="","",Labor_Total*(ManagmentTable[[#This Row],[%]]/100))</f>
        <v/>
      </c>
      <c r="I14" s="8"/>
    </row>
    <row r="15" spans="2:9" x14ac:dyDescent="0.3">
      <c r="B15" s="87"/>
      <c r="C15" s="89"/>
      <c r="E15" s="87"/>
      <c r="F15" s="88"/>
      <c r="G15" s="55"/>
      <c r="H15" s="141" t="str">
        <f>IF(ManagmentTable[[#This Row],[%]]="","",Labor_Total*(ManagmentTable[[#This Row],[%]]/100))</f>
        <v/>
      </c>
      <c r="I15" s="8"/>
    </row>
    <row r="16" spans="2:9" x14ac:dyDescent="0.3">
      <c r="B16" t="s">
        <v>28</v>
      </c>
      <c r="C16" s="147">
        <f>SUBTOTAL(109,MiscTable[Cost])</f>
        <v>0</v>
      </c>
      <c r="E16" t="s">
        <v>28</v>
      </c>
      <c r="H16" s="141"/>
      <c r="I16" s="142" t="e">
        <f>SUBTOTAL(109,ManagmentTable[Cost])</f>
        <v>#NAME?</v>
      </c>
    </row>
    <row r="18" spans="2:9" ht="23.4" x14ac:dyDescent="0.45">
      <c r="B18" s="6" t="s">
        <v>16</v>
      </c>
      <c r="E18" s="6" t="s">
        <v>58</v>
      </c>
    </row>
    <row r="19" spans="2:9" x14ac:dyDescent="0.3">
      <c r="B19" t="s">
        <v>31</v>
      </c>
      <c r="C19" s="13" t="s">
        <v>29</v>
      </c>
      <c r="E19" t="s">
        <v>31</v>
      </c>
      <c r="F19" s="13" t="s">
        <v>32</v>
      </c>
      <c r="G19" t="s">
        <v>54</v>
      </c>
      <c r="H19" s="13" t="s">
        <v>55</v>
      </c>
      <c r="I19" s="13" t="s">
        <v>29</v>
      </c>
    </row>
    <row r="20" spans="2:9" x14ac:dyDescent="0.3">
      <c r="B20" s="87"/>
      <c r="C20" s="89"/>
      <c r="E20" s="87" t="s">
        <v>56</v>
      </c>
      <c r="F20" s="88">
        <v>10</v>
      </c>
      <c r="G20" s="55" t="s">
        <v>52</v>
      </c>
      <c r="H20" s="141" t="e">
        <f>IF(FieldSupportTable[[#This Row],[%]]="","",Labor_Total*(FieldSupportTable[[#This Row],[%]]/100))</f>
        <v>#NAME?</v>
      </c>
      <c r="I20" s="8" t="e">
        <f>FieldSupportTable[[#This Row],[Hours]]*Settings!C13</f>
        <v>#NAME?</v>
      </c>
    </row>
    <row r="21" spans="2:9" x14ac:dyDescent="0.3">
      <c r="B21" s="87"/>
      <c r="C21" s="89"/>
      <c r="E21" s="87" t="s">
        <v>26</v>
      </c>
      <c r="F21" s="88">
        <v>2.5</v>
      </c>
      <c r="G21" s="55" t="s">
        <v>52</v>
      </c>
      <c r="H21" s="141" t="e">
        <f>IF(FieldSupportTable[[#This Row],[%]]="","",Labor_Total*(FieldSupportTable[[#This Row],[%]]/100))</f>
        <v>#NAME?</v>
      </c>
      <c r="I21" s="8" t="e">
        <f>FieldSupportTable[[#This Row],[Hours]]*Settings!C14</f>
        <v>#NAME?</v>
      </c>
    </row>
    <row r="22" spans="2:9" x14ac:dyDescent="0.3">
      <c r="B22" s="87"/>
      <c r="C22" s="89"/>
      <c r="E22" s="87" t="s">
        <v>57</v>
      </c>
      <c r="F22" s="88">
        <v>5</v>
      </c>
      <c r="G22" s="55" t="s">
        <v>52</v>
      </c>
      <c r="H22" s="141" t="e">
        <f>IF(FieldSupportTable[[#This Row],[%]]="","",Labor_Total*(FieldSupportTable[[#This Row],[%]]/100))</f>
        <v>#NAME?</v>
      </c>
      <c r="I22" s="8" t="e">
        <f>FieldSupportTable[[#This Row],[Hours]]*Settings!C15</f>
        <v>#NAME?</v>
      </c>
    </row>
    <row r="23" spans="2:9" x14ac:dyDescent="0.3">
      <c r="B23" s="87"/>
      <c r="C23" s="89"/>
      <c r="E23" s="87"/>
      <c r="F23" s="88"/>
      <c r="G23" s="55"/>
      <c r="H23" s="141" t="str">
        <f>IF(FieldSupportTable[[#This Row],[%]]="","",Labor_Total*(FieldSupportTable[[#This Row],[%]]/100))</f>
        <v/>
      </c>
      <c r="I23" s="8"/>
    </row>
    <row r="24" spans="2:9" x14ac:dyDescent="0.3">
      <c r="B24" s="87"/>
      <c r="C24" s="89"/>
      <c r="E24" s="87"/>
      <c r="F24" s="88"/>
      <c r="G24" s="55"/>
      <c r="H24" s="141" t="str">
        <f>IF(FieldSupportTable[[#This Row],[%]]="","",Labor_Total*(FieldSupportTable[[#This Row],[%]]/100))</f>
        <v/>
      </c>
      <c r="I24" s="8"/>
    </row>
    <row r="25" spans="2:9" x14ac:dyDescent="0.3">
      <c r="B25" s="87"/>
      <c r="C25" s="89"/>
      <c r="E25" s="87"/>
      <c r="F25" s="88"/>
      <c r="G25" s="55"/>
      <c r="H25" s="141" t="str">
        <f>IF(FieldSupportTable[[#This Row],[%]]="","",Labor_Total*(FieldSupportTable[[#This Row],[%]]/100))</f>
        <v/>
      </c>
      <c r="I25" s="8"/>
    </row>
    <row r="26" spans="2:9" x14ac:dyDescent="0.3">
      <c r="B26" s="87"/>
      <c r="C26" s="89"/>
      <c r="E26" s="87"/>
      <c r="F26" s="88"/>
      <c r="G26" s="55"/>
      <c r="H26" s="141" t="str">
        <f>IF(FieldSupportTable[[#This Row],[%]]="","",Labor_Total*(FieldSupportTable[[#This Row],[%]]/100))</f>
        <v/>
      </c>
      <c r="I26" s="8"/>
    </row>
    <row r="27" spans="2:9" x14ac:dyDescent="0.3">
      <c r="B27" t="s">
        <v>28</v>
      </c>
      <c r="C27" s="147">
        <f>SUBTOTAL(109,RentalsTable[Cost])</f>
        <v>0</v>
      </c>
      <c r="E27" t="s">
        <v>28</v>
      </c>
      <c r="H27" s="141"/>
      <c r="I27" s="90" t="e">
        <f>SUBTOTAL(109,FieldSupportTable[Cost])</f>
        <v>#NAME?</v>
      </c>
    </row>
  </sheetData>
  <sheetProtection selectLockedCells="1"/>
  <dataValidations disablePrompts="1" count="1">
    <dataValidation type="list" allowBlank="1" showInputMessage="1" showErrorMessage="1" sqref="B20:B26">
      <formula1>"Rentals"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J29"/>
  <sheetViews>
    <sheetView showGridLines="0" workbookViewId="0">
      <selection activeCell="C24" sqref="C24:J24"/>
    </sheetView>
  </sheetViews>
  <sheetFormatPr defaultRowHeight="14.4" x14ac:dyDescent="0.3"/>
  <cols>
    <col min="2" max="2" width="19.6640625" customWidth="1"/>
    <col min="3" max="3" width="13.33203125" customWidth="1"/>
    <col min="4" max="4" width="11" customWidth="1"/>
    <col min="5" max="6" width="25.6640625" customWidth="1"/>
    <col min="9" max="9" width="6.6640625" customWidth="1"/>
    <col min="10" max="10" width="8.6640625" customWidth="1"/>
  </cols>
  <sheetData>
    <row r="1" spans="2:10" ht="6" customHeight="1" x14ac:dyDescent="0.3"/>
    <row r="2" spans="2:10" ht="39" customHeight="1" thickBot="1" x14ac:dyDescent="0.45">
      <c r="B2" s="2" t="s">
        <v>36</v>
      </c>
      <c r="C2" s="2"/>
      <c r="D2" s="2"/>
      <c r="E2" s="2"/>
      <c r="F2" s="2"/>
      <c r="G2" s="2"/>
      <c r="H2" s="2"/>
      <c r="I2" s="2"/>
      <c r="J2" s="2"/>
    </row>
    <row r="3" spans="2:10" ht="9" customHeight="1" thickTop="1" x14ac:dyDescent="0.3"/>
    <row r="4" spans="2:10" x14ac:dyDescent="0.3">
      <c r="B4" s="132"/>
      <c r="H4" s="5" t="s">
        <v>10</v>
      </c>
      <c r="I4" s="4" t="str">
        <f>IF(EstimatorName="","",EstimatorName)</f>
        <v/>
      </c>
    </row>
    <row r="5" spans="2:10" ht="15" customHeight="1" x14ac:dyDescent="0.3">
      <c r="B5" s="7" t="str">
        <f>IF(ProjectAddress="","",ProjectAddress)</f>
        <v/>
      </c>
      <c r="H5" s="5" t="s">
        <v>11</v>
      </c>
      <c r="I5" s="4" t="str">
        <f>IF(EstimateNo="","",EstimateNo)</f>
        <v/>
      </c>
    </row>
    <row r="7" spans="2:10" x14ac:dyDescent="0.3">
      <c r="B7" t="s">
        <v>37</v>
      </c>
      <c r="C7" s="1" t="s">
        <v>19</v>
      </c>
      <c r="E7" t="s">
        <v>15</v>
      </c>
      <c r="F7" t="s">
        <v>16</v>
      </c>
    </row>
    <row r="8" spans="2:10" x14ac:dyDescent="0.3">
      <c r="B8" s="87" t="s">
        <v>20</v>
      </c>
      <c r="C8" s="89">
        <v>92.650199999999998</v>
      </c>
      <c r="E8" s="87" t="s">
        <v>38</v>
      </c>
      <c r="F8" s="87" t="s">
        <v>45</v>
      </c>
    </row>
    <row r="9" spans="2:10" x14ac:dyDescent="0.3">
      <c r="B9" s="87" t="s">
        <v>21</v>
      </c>
      <c r="C9" s="89">
        <v>104.95869999999999</v>
      </c>
      <c r="E9" s="87" t="s">
        <v>39</v>
      </c>
      <c r="F9" s="87" t="s">
        <v>46</v>
      </c>
    </row>
    <row r="10" spans="2:10" x14ac:dyDescent="0.3">
      <c r="B10" s="87" t="s">
        <v>23</v>
      </c>
      <c r="C10" s="89">
        <v>110</v>
      </c>
      <c r="E10" s="87" t="s">
        <v>40</v>
      </c>
      <c r="F10" s="87" t="s">
        <v>47</v>
      </c>
    </row>
    <row r="11" spans="2:10" x14ac:dyDescent="0.3">
      <c r="B11" s="87" t="s">
        <v>22</v>
      </c>
      <c r="C11" s="89">
        <v>125</v>
      </c>
      <c r="E11" s="87" t="s">
        <v>41</v>
      </c>
      <c r="F11" s="87" t="s">
        <v>48</v>
      </c>
    </row>
    <row r="12" spans="2:10" x14ac:dyDescent="0.3">
      <c r="B12" s="87" t="s">
        <v>24</v>
      </c>
      <c r="C12" s="89">
        <v>125</v>
      </c>
      <c r="E12" s="87" t="s">
        <v>42</v>
      </c>
      <c r="F12" s="87" t="s">
        <v>49</v>
      </c>
    </row>
    <row r="13" spans="2:10" x14ac:dyDescent="0.3">
      <c r="B13" s="87" t="s">
        <v>25</v>
      </c>
      <c r="C13" s="89">
        <v>105</v>
      </c>
      <c r="E13" s="87" t="s">
        <v>43</v>
      </c>
      <c r="F13" s="87" t="s">
        <v>50</v>
      </c>
    </row>
    <row r="14" spans="2:10" x14ac:dyDescent="0.3">
      <c r="B14" s="87" t="s">
        <v>26</v>
      </c>
      <c r="C14" s="89">
        <v>40</v>
      </c>
      <c r="E14" s="87" t="s">
        <v>44</v>
      </c>
      <c r="F14" s="87" t="s">
        <v>51</v>
      </c>
    </row>
    <row r="15" spans="2:10" x14ac:dyDescent="0.3">
      <c r="B15" s="87" t="s">
        <v>27</v>
      </c>
      <c r="C15" s="89">
        <v>40</v>
      </c>
      <c r="E15" s="87"/>
      <c r="F15" s="87"/>
    </row>
    <row r="16" spans="2:10" x14ac:dyDescent="0.3">
      <c r="B16" s="87"/>
      <c r="C16" s="89"/>
      <c r="E16" s="87"/>
      <c r="F16" s="87"/>
    </row>
    <row r="17" spans="2:6" x14ac:dyDescent="0.3">
      <c r="B17" s="87"/>
      <c r="C17" s="89"/>
      <c r="E17" s="87"/>
      <c r="F17" s="87"/>
    </row>
    <row r="18" spans="2:6" x14ac:dyDescent="0.3">
      <c r="B18" s="182"/>
      <c r="C18" s="183"/>
      <c r="E18" s="87"/>
      <c r="F18" s="87"/>
    </row>
    <row r="19" spans="2:6" x14ac:dyDescent="0.3">
      <c r="B19" t="s">
        <v>92</v>
      </c>
      <c r="C19" s="1" t="s">
        <v>93</v>
      </c>
      <c r="E19" s="87"/>
      <c r="F19" s="87"/>
    </row>
    <row r="20" spans="2:6" x14ac:dyDescent="0.3">
      <c r="B20" s="86" t="s">
        <v>94</v>
      </c>
      <c r="C20" s="149">
        <v>7.4999999999999997E-2</v>
      </c>
      <c r="E20" s="87"/>
      <c r="F20" s="87"/>
    </row>
    <row r="21" spans="2:6" x14ac:dyDescent="0.3">
      <c r="B21" s="86" t="s">
        <v>100</v>
      </c>
      <c r="C21" s="149">
        <v>0.1</v>
      </c>
    </row>
    <row r="22" spans="2:6" x14ac:dyDescent="0.3">
      <c r="B22" s="86" t="s">
        <v>101</v>
      </c>
      <c r="C22" s="149">
        <v>0.1</v>
      </c>
    </row>
    <row r="23" spans="2:6" x14ac:dyDescent="0.3">
      <c r="B23" s="86"/>
      <c r="C23" s="148"/>
    </row>
    <row r="24" spans="2:6" x14ac:dyDescent="0.3">
      <c r="B24" s="86"/>
      <c r="C24" s="148"/>
    </row>
    <row r="25" spans="2:6" x14ac:dyDescent="0.3">
      <c r="B25" s="86"/>
      <c r="C25" s="148"/>
    </row>
    <row r="26" spans="2:6" x14ac:dyDescent="0.3">
      <c r="B26" s="86"/>
      <c r="C26" s="148"/>
    </row>
    <row r="27" spans="2:6" x14ac:dyDescent="0.3">
      <c r="B27" s="86"/>
      <c r="C27" s="148"/>
    </row>
    <row r="28" spans="2:6" x14ac:dyDescent="0.3">
      <c r="B28" s="86"/>
      <c r="C28" s="148"/>
    </row>
    <row r="29" spans="2:6" x14ac:dyDescent="0.3">
      <c r="B29" s="86"/>
      <c r="C29" s="148"/>
    </row>
  </sheetData>
  <sheetProtection selectLockedCells="1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"/>
  <sheetViews>
    <sheetView tabSelected="1" workbookViewId="0">
      <selection activeCell="I17" sqref="I17"/>
    </sheetView>
  </sheetViews>
  <sheetFormatPr defaultRowHeight="14.4" x14ac:dyDescent="0.3"/>
  <cols>
    <col min="1" max="1" width="4" bestFit="1" customWidth="1"/>
    <col min="2" max="2" width="9" bestFit="1" customWidth="1"/>
    <col min="3" max="3" width="22" bestFit="1" customWidth="1"/>
    <col min="4" max="4" width="6.21875" bestFit="1" customWidth="1"/>
    <col min="5" max="5" width="11.33203125" bestFit="1" customWidth="1"/>
    <col min="6" max="6" width="14.33203125" bestFit="1" customWidth="1"/>
    <col min="7" max="7" width="4.6640625" style="209" bestFit="1" customWidth="1"/>
    <col min="8" max="8" width="8.33203125" bestFit="1" customWidth="1"/>
    <col min="9" max="9" width="6" bestFit="1" customWidth="1"/>
    <col min="10" max="10" width="19" bestFit="1" customWidth="1"/>
    <col min="11" max="11" width="6.21875" bestFit="1" customWidth="1"/>
  </cols>
  <sheetData>
    <row r="1" spans="1:11" s="9" customFormat="1" x14ac:dyDescent="0.3">
      <c r="A1" s="9" t="s">
        <v>66</v>
      </c>
      <c r="B1" s="9" t="s">
        <v>142</v>
      </c>
      <c r="C1" s="9" t="s">
        <v>31</v>
      </c>
      <c r="D1" s="9" t="s">
        <v>122</v>
      </c>
      <c r="E1" s="9" t="s">
        <v>67</v>
      </c>
      <c r="F1" s="9" t="s">
        <v>143</v>
      </c>
      <c r="G1" s="208" t="s">
        <v>29</v>
      </c>
      <c r="H1" s="9" t="s">
        <v>144</v>
      </c>
      <c r="I1" s="9" t="s">
        <v>145</v>
      </c>
      <c r="J1" s="9" t="s">
        <v>146</v>
      </c>
      <c r="K1" s="9" t="s">
        <v>147</v>
      </c>
    </row>
    <row r="2" spans="1:11" x14ac:dyDescent="0.3">
      <c r="A2">
        <v>1</v>
      </c>
      <c r="B2">
        <v>10060000</v>
      </c>
      <c r="C2" t="s">
        <v>148</v>
      </c>
      <c r="D2" t="s">
        <v>149</v>
      </c>
      <c r="E2" t="s">
        <v>150</v>
      </c>
      <c r="F2" t="s">
        <v>151</v>
      </c>
      <c r="G2" s="209" t="s">
        <v>152</v>
      </c>
      <c r="I2" t="s">
        <v>153</v>
      </c>
    </row>
    <row r="3" spans="1:11" x14ac:dyDescent="0.3">
      <c r="A3">
        <v>1</v>
      </c>
      <c r="B3">
        <v>353.5</v>
      </c>
      <c r="C3" t="s">
        <v>154</v>
      </c>
      <c r="D3" t="s">
        <v>161</v>
      </c>
      <c r="E3" s="207" t="s">
        <v>156</v>
      </c>
      <c r="F3" t="s">
        <v>164</v>
      </c>
      <c r="G3" s="209" t="s">
        <v>152</v>
      </c>
      <c r="I3" s="207" t="s">
        <v>153</v>
      </c>
    </row>
    <row r="4" spans="1:11" x14ac:dyDescent="0.3">
      <c r="A4">
        <v>2</v>
      </c>
      <c r="B4">
        <v>353.5</v>
      </c>
      <c r="C4" t="s">
        <v>154</v>
      </c>
      <c r="D4" t="s">
        <v>155</v>
      </c>
      <c r="E4" t="s">
        <v>156</v>
      </c>
      <c r="F4" t="s">
        <v>157</v>
      </c>
      <c r="G4" s="209" t="s">
        <v>152</v>
      </c>
      <c r="I4" t="s">
        <v>153</v>
      </c>
    </row>
    <row r="5" spans="1:11" x14ac:dyDescent="0.3">
      <c r="A5">
        <v>1</v>
      </c>
      <c r="C5" t="s">
        <v>158</v>
      </c>
      <c r="E5" t="s">
        <v>156</v>
      </c>
      <c r="F5" t="s">
        <v>159</v>
      </c>
      <c r="G5" s="209" t="s">
        <v>152</v>
      </c>
      <c r="I5" t="s">
        <v>153</v>
      </c>
    </row>
    <row r="6" spans="1:11" x14ac:dyDescent="0.3">
      <c r="A6">
        <v>1</v>
      </c>
      <c r="B6">
        <v>0</v>
      </c>
      <c r="C6" t="s">
        <v>160</v>
      </c>
      <c r="D6" t="s">
        <v>161</v>
      </c>
      <c r="E6" t="s">
        <v>162</v>
      </c>
      <c r="F6" t="s">
        <v>163</v>
      </c>
      <c r="G6" s="209" t="s">
        <v>152</v>
      </c>
      <c r="I6" t="s">
        <v>153</v>
      </c>
    </row>
  </sheetData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3"/>
  <sheetViews>
    <sheetView workbookViewId="0">
      <selection activeCell="I14" sqref="I14"/>
    </sheetView>
  </sheetViews>
  <sheetFormatPr defaultRowHeight="14.4" x14ac:dyDescent="0.3"/>
  <cols>
    <col min="1" max="1" width="11.44140625" bestFit="1" customWidth="1"/>
    <col min="2" max="2" width="7.21875" bestFit="1" customWidth="1"/>
    <col min="3" max="3" width="25.88671875" bestFit="1" customWidth="1"/>
    <col min="4" max="4" width="4.21875" bestFit="1" customWidth="1"/>
    <col min="5" max="5" width="11.33203125" bestFit="1" customWidth="1"/>
    <col min="6" max="6" width="14.33203125" bestFit="1" customWidth="1"/>
    <col min="7" max="7" width="4.6640625" bestFit="1" customWidth="1"/>
    <col min="8" max="8" width="8.33203125" bestFit="1" customWidth="1"/>
    <col min="9" max="9" width="6.5546875" bestFit="1" customWidth="1"/>
    <col min="10" max="10" width="19" bestFit="1" customWidth="1"/>
    <col min="11" max="11" width="6.21875" bestFit="1" customWidth="1"/>
  </cols>
  <sheetData>
    <row r="1" spans="1:11" s="9" customFormat="1" x14ac:dyDescent="0.3">
      <c r="A1" s="9" t="s">
        <v>169</v>
      </c>
      <c r="B1" s="9" t="s">
        <v>142</v>
      </c>
      <c r="C1" s="9" t="s">
        <v>31</v>
      </c>
      <c r="D1" s="9" t="s">
        <v>122</v>
      </c>
      <c r="E1" s="9" t="s">
        <v>67</v>
      </c>
      <c r="F1" s="9" t="s">
        <v>143</v>
      </c>
      <c r="G1" s="9" t="s">
        <v>29</v>
      </c>
      <c r="H1" s="9" t="s">
        <v>144</v>
      </c>
      <c r="I1" s="9" t="s">
        <v>145</v>
      </c>
      <c r="J1" s="9" t="s">
        <v>146</v>
      </c>
      <c r="K1" s="9" t="s">
        <v>147</v>
      </c>
    </row>
    <row r="2" spans="1:11" x14ac:dyDescent="0.3">
      <c r="A2">
        <v>21</v>
      </c>
      <c r="B2">
        <v>0</v>
      </c>
      <c r="C2" t="s">
        <v>168</v>
      </c>
      <c r="D2" t="s">
        <v>170</v>
      </c>
      <c r="E2" t="s">
        <v>150</v>
      </c>
      <c r="F2" t="s">
        <v>167</v>
      </c>
      <c r="G2" t="s">
        <v>152</v>
      </c>
      <c r="I2" t="s">
        <v>171</v>
      </c>
    </row>
    <row r="3" spans="1:11" x14ac:dyDescent="0.3">
      <c r="A3">
        <v>21</v>
      </c>
      <c r="B3">
        <v>0</v>
      </c>
      <c r="C3" t="s">
        <v>166</v>
      </c>
      <c r="D3" t="s">
        <v>149</v>
      </c>
      <c r="E3" t="s">
        <v>150</v>
      </c>
      <c r="F3" t="s">
        <v>165</v>
      </c>
      <c r="G3" t="s">
        <v>152</v>
      </c>
      <c r="I3" t="s">
        <v>171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994"/>
  <sheetViews>
    <sheetView workbookViewId="0">
      <selection activeCell="A9" sqref="A9"/>
    </sheetView>
  </sheetViews>
  <sheetFormatPr defaultColWidth="8.88671875" defaultRowHeight="14.4" x14ac:dyDescent="0.3"/>
  <cols>
    <col min="1" max="1" width="28.21875" style="139" bestFit="1" customWidth="1"/>
    <col min="2" max="2" width="27.21875" style="139" bestFit="1" customWidth="1"/>
    <col min="3" max="3" width="58.6640625" style="139" customWidth="1"/>
    <col min="4" max="4" width="19.44140625" style="139" bestFit="1" customWidth="1"/>
    <col min="5" max="5" width="44.5546875" style="139" customWidth="1"/>
    <col min="6" max="6" width="10.6640625" style="139" bestFit="1" customWidth="1"/>
    <col min="7" max="7" width="12" style="139" bestFit="1" customWidth="1"/>
    <col min="8" max="8" width="27.109375" style="139" customWidth="1"/>
    <col min="9" max="9" width="14.44140625" style="139" customWidth="1"/>
    <col min="10" max="10" width="24" style="139" customWidth="1"/>
    <col min="11" max="16384" width="8.88671875" style="139"/>
  </cols>
  <sheetData>
    <row r="1" spans="1:10" s="138" customFormat="1" x14ac:dyDescent="0.3">
      <c r="A1" s="107"/>
      <c r="B1" s="107"/>
      <c r="C1" s="107"/>
      <c r="D1" s="107"/>
      <c r="E1" s="9"/>
      <c r="F1" s="107"/>
      <c r="G1" s="9"/>
      <c r="H1" s="9"/>
      <c r="I1" s="9"/>
      <c r="J1" s="9"/>
    </row>
    <row r="2" spans="1:10" x14ac:dyDescent="0.3">
      <c r="A2" s="108"/>
      <c r="B2" s="158"/>
      <c r="C2" s="108"/>
      <c r="D2" s="107"/>
      <c r="E2" s="26"/>
      <c r="F2" s="108"/>
      <c r="G2" s="108"/>
      <c r="H2" s="108"/>
      <c r="I2" s="9"/>
      <c r="J2" s="9"/>
    </row>
    <row r="3" spans="1:10" x14ac:dyDescent="0.3">
      <c r="A3" s="191"/>
      <c r="B3" s="158"/>
      <c r="C3" s="108"/>
      <c r="D3" s="107"/>
      <c r="E3" s="26"/>
      <c r="F3" s="108"/>
      <c r="G3" s="108"/>
      <c r="H3" s="108"/>
      <c r="J3" s="9"/>
    </row>
    <row r="4" spans="1:10" x14ac:dyDescent="0.3">
      <c r="A4" s="191"/>
      <c r="B4" s="158"/>
      <c r="C4" s="108"/>
      <c r="D4" s="108"/>
      <c r="E4" s="26"/>
      <c r="F4" s="108"/>
      <c r="G4" s="108"/>
      <c r="H4" s="108"/>
      <c r="J4" s="9"/>
    </row>
    <row r="5" spans="1:10" x14ac:dyDescent="0.3">
      <c r="A5" s="191"/>
      <c r="B5" s="158"/>
      <c r="C5" s="108"/>
      <c r="D5" s="108"/>
      <c r="E5" s="108"/>
      <c r="F5" s="108"/>
      <c r="G5" s="108"/>
      <c r="H5" s="108"/>
      <c r="J5" s="9"/>
    </row>
    <row r="6" spans="1:10" x14ac:dyDescent="0.3">
      <c r="A6" s="191"/>
      <c r="B6" s="158"/>
      <c r="C6" s="108"/>
      <c r="D6" s="9"/>
      <c r="E6" s="108"/>
      <c r="F6" s="108"/>
      <c r="G6" s="108"/>
      <c r="H6" s="108"/>
    </row>
    <row r="7" spans="1:10" x14ac:dyDescent="0.3">
      <c r="A7" s="191"/>
      <c r="B7" s="158"/>
      <c r="C7" s="108"/>
      <c r="D7" s="9"/>
      <c r="E7" s="108"/>
      <c r="F7" s="108"/>
      <c r="G7" s="108"/>
      <c r="H7" s="108"/>
    </row>
    <row r="8" spans="1:10" x14ac:dyDescent="0.3">
      <c r="A8" s="191"/>
      <c r="B8" s="158"/>
      <c r="C8" s="108"/>
      <c r="D8" s="9"/>
      <c r="E8" s="108"/>
      <c r="F8" s="108"/>
      <c r="G8" s="108"/>
      <c r="H8" s="108"/>
    </row>
    <row r="9" spans="1:10" x14ac:dyDescent="0.3">
      <c r="A9" s="191"/>
      <c r="B9" s="158"/>
      <c r="C9" s="108"/>
      <c r="D9" s="9"/>
      <c r="E9" s="108"/>
      <c r="F9" s="108"/>
      <c r="G9" s="108"/>
      <c r="H9" s="108"/>
    </row>
    <row r="10" spans="1:10" x14ac:dyDescent="0.3">
      <c r="A10" s="191"/>
      <c r="B10" s="158"/>
      <c r="C10" s="108"/>
      <c r="D10" s="9"/>
      <c r="F10" s="108"/>
      <c r="G10" s="108"/>
      <c r="H10" s="108"/>
    </row>
    <row r="11" spans="1:10" x14ac:dyDescent="0.3">
      <c r="A11" s="191"/>
      <c r="B11" s="158"/>
      <c r="C11" s="108"/>
      <c r="D11" s="9"/>
      <c r="F11" s="108"/>
      <c r="G11" s="108"/>
      <c r="H11" s="108"/>
    </row>
    <row r="12" spans="1:10" x14ac:dyDescent="0.3">
      <c r="A12" s="191"/>
      <c r="B12" s="158"/>
      <c r="C12" s="108"/>
      <c r="F12" s="108"/>
      <c r="G12" s="108"/>
    </row>
    <row r="13" spans="1:10" x14ac:dyDescent="0.3">
      <c r="A13" s="191"/>
      <c r="B13" s="158"/>
      <c r="C13" s="108"/>
      <c r="F13" s="108"/>
      <c r="G13" s="108"/>
    </row>
    <row r="14" spans="1:10" x14ac:dyDescent="0.3">
      <c r="A14" s="191"/>
      <c r="B14" s="158"/>
      <c r="C14" s="108"/>
      <c r="F14" s="108"/>
      <c r="G14" s="108"/>
    </row>
    <row r="15" spans="1:10" x14ac:dyDescent="0.3">
      <c r="A15" s="191"/>
      <c r="B15" s="158"/>
      <c r="C15" s="108"/>
      <c r="F15" s="108"/>
      <c r="G15" s="108"/>
    </row>
    <row r="16" spans="1:10" x14ac:dyDescent="0.3">
      <c r="A16" s="191"/>
      <c r="B16" s="158"/>
      <c r="C16" s="108"/>
      <c r="F16" s="108"/>
      <c r="G16" s="108"/>
    </row>
    <row r="17" spans="1:7" x14ac:dyDescent="0.3">
      <c r="A17" s="191"/>
      <c r="B17" s="158"/>
      <c r="C17" s="108"/>
      <c r="F17" s="108"/>
      <c r="G17" s="108"/>
    </row>
    <row r="18" spans="1:7" x14ac:dyDescent="0.3">
      <c r="A18" s="191"/>
      <c r="B18" s="158"/>
      <c r="C18" s="108"/>
      <c r="F18" s="108"/>
      <c r="G18" s="108"/>
    </row>
    <row r="19" spans="1:7" x14ac:dyDescent="0.3">
      <c r="A19" s="191"/>
      <c r="B19" s="158"/>
      <c r="C19" s="108"/>
      <c r="F19" s="108"/>
      <c r="G19" s="108"/>
    </row>
    <row r="20" spans="1:7" x14ac:dyDescent="0.3">
      <c r="A20" s="191"/>
      <c r="B20" s="158"/>
      <c r="C20" s="108"/>
      <c r="F20" s="108"/>
      <c r="G20" s="108"/>
    </row>
    <row r="21" spans="1:7" x14ac:dyDescent="0.3">
      <c r="A21" s="191"/>
      <c r="B21" s="158"/>
      <c r="C21" s="108"/>
      <c r="F21" s="108"/>
      <c r="G21" s="108"/>
    </row>
    <row r="22" spans="1:7" x14ac:dyDescent="0.3">
      <c r="A22" s="191"/>
      <c r="B22" s="158"/>
      <c r="C22" s="108"/>
      <c r="F22" s="108"/>
      <c r="G22" s="108"/>
    </row>
    <row r="23" spans="1:7" x14ac:dyDescent="0.3">
      <c r="A23" s="191"/>
      <c r="B23" s="158"/>
      <c r="C23" s="108"/>
      <c r="F23" s="108"/>
      <c r="G23" s="108"/>
    </row>
    <row r="24" spans="1:7" x14ac:dyDescent="0.3">
      <c r="A24" s="191"/>
      <c r="B24" s="158"/>
      <c r="C24" s="108"/>
      <c r="F24" s="108"/>
    </row>
    <row r="25" spans="1:7" x14ac:dyDescent="0.3">
      <c r="A25" s="191"/>
      <c r="B25" s="158"/>
      <c r="C25" s="108"/>
      <c r="F25" s="108"/>
    </row>
    <row r="26" spans="1:7" x14ac:dyDescent="0.3">
      <c r="A26" s="191"/>
      <c r="B26" s="158"/>
      <c r="C26" s="108"/>
      <c r="F26" s="108"/>
    </row>
    <row r="27" spans="1:7" x14ac:dyDescent="0.3">
      <c r="A27" s="191"/>
      <c r="B27" s="158"/>
      <c r="C27" s="108"/>
      <c r="F27" s="108"/>
    </row>
    <row r="28" spans="1:7" x14ac:dyDescent="0.3">
      <c r="A28" s="191"/>
      <c r="B28" s="158"/>
      <c r="C28" s="108"/>
      <c r="F28" s="108"/>
    </row>
    <row r="29" spans="1:7" x14ac:dyDescent="0.3">
      <c r="A29" s="191"/>
      <c r="B29" s="158"/>
      <c r="C29" s="108"/>
      <c r="F29" s="108"/>
    </row>
    <row r="30" spans="1:7" x14ac:dyDescent="0.3">
      <c r="A30" s="191"/>
      <c r="B30" s="158"/>
      <c r="C30" s="108"/>
      <c r="F30" s="108"/>
    </row>
    <row r="31" spans="1:7" x14ac:dyDescent="0.3">
      <c r="A31" s="191"/>
      <c r="B31" s="158"/>
      <c r="C31" s="108"/>
      <c r="F31" s="108"/>
    </row>
    <row r="32" spans="1:7" x14ac:dyDescent="0.3">
      <c r="A32" s="191"/>
      <c r="B32" s="158"/>
      <c r="C32" s="108"/>
      <c r="F32" s="108"/>
    </row>
    <row r="33" spans="1:6" x14ac:dyDescent="0.3">
      <c r="A33" s="191"/>
      <c r="B33" s="158"/>
      <c r="C33" s="108"/>
      <c r="F33" s="108"/>
    </row>
    <row r="34" spans="1:6" x14ac:dyDescent="0.3">
      <c r="A34" s="191"/>
      <c r="B34" s="158"/>
      <c r="C34" s="108"/>
      <c r="F34" s="108"/>
    </row>
    <row r="35" spans="1:6" x14ac:dyDescent="0.3">
      <c r="A35" s="191"/>
      <c r="B35" s="158"/>
      <c r="C35" s="108"/>
      <c r="F35" s="108"/>
    </row>
    <row r="36" spans="1:6" x14ac:dyDescent="0.3">
      <c r="A36" s="191"/>
      <c r="B36" s="158"/>
      <c r="C36" s="108"/>
      <c r="F36" s="108"/>
    </row>
    <row r="37" spans="1:6" x14ac:dyDescent="0.3">
      <c r="A37" s="191"/>
      <c r="B37" s="158"/>
      <c r="C37" s="108"/>
      <c r="F37" s="108"/>
    </row>
    <row r="38" spans="1:6" x14ac:dyDescent="0.3">
      <c r="A38" s="191"/>
      <c r="B38" s="158"/>
      <c r="C38" s="108"/>
      <c r="F38" s="108"/>
    </row>
    <row r="39" spans="1:6" x14ac:dyDescent="0.3">
      <c r="A39" s="191"/>
      <c r="B39" s="158"/>
      <c r="C39" s="108"/>
      <c r="F39" s="108"/>
    </row>
    <row r="40" spans="1:6" x14ac:dyDescent="0.3">
      <c r="A40" s="191"/>
      <c r="B40" s="158"/>
      <c r="C40" s="108"/>
      <c r="F40" s="108"/>
    </row>
    <row r="41" spans="1:6" x14ac:dyDescent="0.3">
      <c r="A41" s="191"/>
      <c r="B41" s="158"/>
      <c r="C41" s="108"/>
      <c r="F41" s="108"/>
    </row>
    <row r="42" spans="1:6" x14ac:dyDescent="0.3">
      <c r="A42" s="191"/>
      <c r="B42" s="158"/>
      <c r="C42" s="108"/>
      <c r="F42" s="108"/>
    </row>
    <row r="43" spans="1:6" x14ac:dyDescent="0.3">
      <c r="A43" s="191"/>
      <c r="B43" s="158"/>
      <c r="C43" s="108"/>
      <c r="F43" s="108"/>
    </row>
    <row r="44" spans="1:6" x14ac:dyDescent="0.3">
      <c r="A44" s="191"/>
      <c r="B44" s="158"/>
      <c r="C44" s="108"/>
      <c r="F44" s="108"/>
    </row>
    <row r="45" spans="1:6" x14ac:dyDescent="0.3">
      <c r="A45" s="191"/>
      <c r="B45" s="158"/>
      <c r="C45"/>
      <c r="F45" s="108"/>
    </row>
    <row r="46" spans="1:6" x14ac:dyDescent="0.3">
      <c r="A46" s="191"/>
      <c r="B46" s="158"/>
      <c r="C46"/>
      <c r="F46" s="108"/>
    </row>
    <row r="47" spans="1:6" x14ac:dyDescent="0.3">
      <c r="A47" s="191"/>
      <c r="B47" s="158"/>
      <c r="C47"/>
      <c r="F47" s="108"/>
    </row>
    <row r="48" spans="1:6" x14ac:dyDescent="0.3">
      <c r="A48" s="191"/>
      <c r="B48" s="158"/>
      <c r="C48"/>
      <c r="F48" s="108"/>
    </row>
    <row r="49" spans="1:6" x14ac:dyDescent="0.3">
      <c r="A49" s="191"/>
      <c r="B49" s="158"/>
      <c r="C49"/>
      <c r="F49" s="108"/>
    </row>
    <row r="50" spans="1:6" x14ac:dyDescent="0.3">
      <c r="A50" s="191"/>
      <c r="B50" s="158"/>
      <c r="C50"/>
      <c r="F50" s="108"/>
    </row>
    <row r="51" spans="1:6" x14ac:dyDescent="0.3">
      <c r="A51" s="191"/>
      <c r="B51" s="158"/>
      <c r="F51" s="108"/>
    </row>
    <row r="52" spans="1:6" x14ac:dyDescent="0.3">
      <c r="A52" s="191"/>
      <c r="B52" s="158"/>
      <c r="F52" s="108"/>
    </row>
    <row r="53" spans="1:6" x14ac:dyDescent="0.3">
      <c r="A53" s="191"/>
      <c r="B53" s="158"/>
      <c r="F53" s="108"/>
    </row>
    <row r="54" spans="1:6" x14ac:dyDescent="0.3">
      <c r="A54" s="191"/>
      <c r="B54" s="158"/>
      <c r="F54" s="108"/>
    </row>
    <row r="55" spans="1:6" x14ac:dyDescent="0.3">
      <c r="A55" s="191"/>
      <c r="B55" s="158"/>
      <c r="F55" s="108"/>
    </row>
    <row r="56" spans="1:6" x14ac:dyDescent="0.3">
      <c r="A56" s="191"/>
      <c r="B56" s="158"/>
      <c r="F56" s="108"/>
    </row>
    <row r="57" spans="1:6" x14ac:dyDescent="0.3">
      <c r="A57" s="191"/>
      <c r="B57" s="158"/>
      <c r="F57" s="108"/>
    </row>
    <row r="58" spans="1:6" x14ac:dyDescent="0.3">
      <c r="A58" s="191"/>
      <c r="B58" s="158"/>
      <c r="F58" s="108"/>
    </row>
    <row r="59" spans="1:6" x14ac:dyDescent="0.3">
      <c r="A59" s="191"/>
      <c r="B59" s="158"/>
      <c r="F59" s="108"/>
    </row>
    <row r="60" spans="1:6" x14ac:dyDescent="0.3">
      <c r="A60" s="191"/>
      <c r="B60" s="158"/>
      <c r="F60" s="108"/>
    </row>
    <row r="61" spans="1:6" x14ac:dyDescent="0.3">
      <c r="A61" s="191"/>
      <c r="B61" s="158"/>
      <c r="F61" s="108"/>
    </row>
    <row r="62" spans="1:6" x14ac:dyDescent="0.3">
      <c r="A62" s="191"/>
      <c r="B62" s="158"/>
      <c r="F62" s="108"/>
    </row>
    <row r="63" spans="1:6" x14ac:dyDescent="0.3">
      <c r="A63" s="191"/>
      <c r="B63" s="158"/>
      <c r="F63" s="108"/>
    </row>
    <row r="64" spans="1:6" x14ac:dyDescent="0.3">
      <c r="A64" s="191"/>
      <c r="B64" s="158"/>
      <c r="F64" s="108"/>
    </row>
    <row r="65" spans="1:6" x14ac:dyDescent="0.3">
      <c r="A65" s="191"/>
      <c r="B65" s="158"/>
      <c r="F65" s="108"/>
    </row>
    <row r="66" spans="1:6" x14ac:dyDescent="0.3">
      <c r="A66" s="191"/>
      <c r="B66" s="158"/>
      <c r="F66" s="108"/>
    </row>
    <row r="67" spans="1:6" x14ac:dyDescent="0.3">
      <c r="A67" s="191"/>
      <c r="B67" s="158"/>
      <c r="F67" s="108"/>
    </row>
    <row r="68" spans="1:6" x14ac:dyDescent="0.3">
      <c r="A68" s="191"/>
      <c r="B68" s="158"/>
      <c r="F68" s="108"/>
    </row>
    <row r="69" spans="1:6" x14ac:dyDescent="0.3">
      <c r="A69" s="191"/>
      <c r="B69" s="158"/>
      <c r="F69" s="108"/>
    </row>
    <row r="70" spans="1:6" x14ac:dyDescent="0.3">
      <c r="A70" s="191"/>
      <c r="B70" s="158"/>
      <c r="F70" s="108"/>
    </row>
    <row r="71" spans="1:6" x14ac:dyDescent="0.3">
      <c r="A71" s="191"/>
      <c r="B71" s="158"/>
      <c r="F71" s="108"/>
    </row>
    <row r="72" spans="1:6" x14ac:dyDescent="0.3">
      <c r="A72" s="191"/>
      <c r="B72" s="158"/>
      <c r="F72" s="108"/>
    </row>
    <row r="73" spans="1:6" x14ac:dyDescent="0.3">
      <c r="A73" s="191"/>
      <c r="B73" s="158"/>
      <c r="F73" s="108"/>
    </row>
    <row r="74" spans="1:6" x14ac:dyDescent="0.3">
      <c r="A74" s="191"/>
      <c r="B74" s="158"/>
      <c r="F74" s="108"/>
    </row>
    <row r="75" spans="1:6" x14ac:dyDescent="0.3">
      <c r="A75" s="191"/>
      <c r="B75" s="158"/>
      <c r="F75" s="108"/>
    </row>
    <row r="76" spans="1:6" x14ac:dyDescent="0.3">
      <c r="A76" s="191"/>
      <c r="B76" s="158"/>
      <c r="F76" s="108"/>
    </row>
    <row r="77" spans="1:6" x14ac:dyDescent="0.3">
      <c r="A77" s="191"/>
      <c r="B77" s="158"/>
      <c r="F77" s="108"/>
    </row>
    <row r="78" spans="1:6" x14ac:dyDescent="0.3">
      <c r="A78" s="191"/>
      <c r="B78" s="158"/>
      <c r="F78" s="108"/>
    </row>
    <row r="79" spans="1:6" x14ac:dyDescent="0.3">
      <c r="A79" s="191"/>
      <c r="B79" s="158"/>
      <c r="F79" s="108"/>
    </row>
    <row r="80" spans="1:6" x14ac:dyDescent="0.3">
      <c r="A80" s="191"/>
      <c r="B80" s="158"/>
      <c r="F80" s="108"/>
    </row>
    <row r="81" spans="1:6" x14ac:dyDescent="0.3">
      <c r="A81" s="191"/>
      <c r="B81" s="158"/>
      <c r="F81" s="108"/>
    </row>
    <row r="82" spans="1:6" x14ac:dyDescent="0.3">
      <c r="A82" s="191"/>
      <c r="B82" s="158"/>
      <c r="F82" s="108"/>
    </row>
    <row r="83" spans="1:6" x14ac:dyDescent="0.3">
      <c r="A83" s="191"/>
      <c r="B83" s="158"/>
      <c r="F83" s="108"/>
    </row>
    <row r="84" spans="1:6" x14ac:dyDescent="0.3">
      <c r="A84" s="191"/>
      <c r="B84" s="158"/>
      <c r="F84" s="108"/>
    </row>
    <row r="85" spans="1:6" x14ac:dyDescent="0.3">
      <c r="A85" s="191"/>
      <c r="B85" s="158"/>
      <c r="F85" s="108"/>
    </row>
    <row r="86" spans="1:6" x14ac:dyDescent="0.3">
      <c r="A86" s="191"/>
      <c r="B86" s="158"/>
      <c r="F86" s="108"/>
    </row>
    <row r="87" spans="1:6" x14ac:dyDescent="0.3">
      <c r="A87" s="191"/>
      <c r="B87" s="158"/>
      <c r="F87" s="108"/>
    </row>
    <row r="88" spans="1:6" x14ac:dyDescent="0.3">
      <c r="A88" s="191"/>
      <c r="B88" s="158"/>
      <c r="F88" s="108"/>
    </row>
    <row r="89" spans="1:6" x14ac:dyDescent="0.3">
      <c r="A89" s="191"/>
      <c r="B89" s="158"/>
      <c r="F89" s="108"/>
    </row>
    <row r="90" spans="1:6" x14ac:dyDescent="0.3">
      <c r="A90" s="191"/>
      <c r="B90" s="158"/>
      <c r="F90" s="108"/>
    </row>
    <row r="91" spans="1:6" x14ac:dyDescent="0.3">
      <c r="A91" s="191"/>
      <c r="B91" s="158"/>
      <c r="F91" s="108"/>
    </row>
    <row r="92" spans="1:6" x14ac:dyDescent="0.3">
      <c r="A92" s="191"/>
      <c r="B92" s="158"/>
      <c r="F92" s="108"/>
    </row>
    <row r="93" spans="1:6" x14ac:dyDescent="0.3">
      <c r="A93" s="191"/>
      <c r="B93" s="158"/>
      <c r="F93" s="108"/>
    </row>
    <row r="94" spans="1:6" x14ac:dyDescent="0.3">
      <c r="A94" s="191"/>
      <c r="B94" s="158"/>
      <c r="F94" s="108"/>
    </row>
    <row r="95" spans="1:6" x14ac:dyDescent="0.3">
      <c r="A95" s="191"/>
      <c r="B95" s="158"/>
      <c r="F95" s="108"/>
    </row>
    <row r="96" spans="1:6" x14ac:dyDescent="0.3">
      <c r="A96" s="191"/>
      <c r="B96" s="158"/>
      <c r="F96" s="108"/>
    </row>
    <row r="97" spans="1:6" x14ac:dyDescent="0.3">
      <c r="A97" s="191"/>
      <c r="B97" s="158"/>
      <c r="F97" s="108"/>
    </row>
    <row r="98" spans="1:6" x14ac:dyDescent="0.3">
      <c r="A98" s="191"/>
      <c r="B98" s="158"/>
      <c r="F98" s="108"/>
    </row>
    <row r="99" spans="1:6" x14ac:dyDescent="0.3">
      <c r="A99" s="191"/>
      <c r="B99" s="158"/>
      <c r="F99" s="108"/>
    </row>
    <row r="100" spans="1:6" x14ac:dyDescent="0.3">
      <c r="A100" s="191"/>
      <c r="B100" s="158"/>
      <c r="F100" s="108"/>
    </row>
    <row r="101" spans="1:6" x14ac:dyDescent="0.3">
      <c r="A101" s="191"/>
      <c r="B101" s="158"/>
      <c r="F101" s="108"/>
    </row>
    <row r="102" spans="1:6" x14ac:dyDescent="0.3">
      <c r="A102" s="191"/>
      <c r="B102" s="158"/>
      <c r="F102" s="108"/>
    </row>
    <row r="103" spans="1:6" x14ac:dyDescent="0.3">
      <c r="A103" s="191"/>
      <c r="B103" s="158"/>
      <c r="F103" s="108"/>
    </row>
    <row r="104" spans="1:6" x14ac:dyDescent="0.3">
      <c r="A104" s="191"/>
      <c r="B104" s="158"/>
      <c r="F104" s="108"/>
    </row>
    <row r="105" spans="1:6" x14ac:dyDescent="0.3">
      <c r="A105" s="191"/>
      <c r="B105" s="158"/>
      <c r="F105" s="108"/>
    </row>
    <row r="106" spans="1:6" x14ac:dyDescent="0.3">
      <c r="A106" s="191"/>
      <c r="B106" s="158"/>
      <c r="F106" s="108"/>
    </row>
    <row r="107" spans="1:6" x14ac:dyDescent="0.3">
      <c r="A107" s="191"/>
      <c r="B107" s="158"/>
      <c r="F107" s="108"/>
    </row>
    <row r="108" spans="1:6" x14ac:dyDescent="0.3">
      <c r="A108" s="191"/>
      <c r="B108" s="158"/>
      <c r="F108" s="108"/>
    </row>
    <row r="109" spans="1:6" x14ac:dyDescent="0.3">
      <c r="A109" s="191"/>
      <c r="B109" s="158"/>
      <c r="F109" s="108"/>
    </row>
    <row r="110" spans="1:6" x14ac:dyDescent="0.3">
      <c r="A110" s="191"/>
      <c r="B110" s="158"/>
      <c r="F110" s="108"/>
    </row>
    <row r="111" spans="1:6" x14ac:dyDescent="0.3">
      <c r="A111" s="191"/>
      <c r="B111" s="158"/>
      <c r="F111" s="108"/>
    </row>
    <row r="112" spans="1:6" x14ac:dyDescent="0.3">
      <c r="A112" s="191"/>
      <c r="B112" s="158"/>
      <c r="F112" s="108"/>
    </row>
    <row r="113" spans="1:6" x14ac:dyDescent="0.3">
      <c r="A113" s="191"/>
      <c r="B113" s="158"/>
      <c r="F113" s="108"/>
    </row>
    <row r="114" spans="1:6" x14ac:dyDescent="0.3">
      <c r="A114" s="191"/>
      <c r="B114" s="158"/>
      <c r="F114" s="108"/>
    </row>
    <row r="115" spans="1:6" x14ac:dyDescent="0.3">
      <c r="A115" s="191"/>
      <c r="B115" s="158"/>
      <c r="F115" s="108"/>
    </row>
    <row r="116" spans="1:6" x14ac:dyDescent="0.3">
      <c r="A116" s="191"/>
      <c r="B116" s="158"/>
      <c r="F116" s="108"/>
    </row>
    <row r="117" spans="1:6" x14ac:dyDescent="0.3">
      <c r="A117" s="191"/>
      <c r="B117" s="158"/>
      <c r="F117" s="108"/>
    </row>
    <row r="118" spans="1:6" x14ac:dyDescent="0.3">
      <c r="A118" s="191"/>
      <c r="B118" s="158"/>
      <c r="F118" s="108"/>
    </row>
    <row r="119" spans="1:6" x14ac:dyDescent="0.3">
      <c r="A119" s="191"/>
      <c r="B119" s="158"/>
      <c r="F119" s="108"/>
    </row>
    <row r="120" spans="1:6" x14ac:dyDescent="0.3">
      <c r="A120" s="191"/>
      <c r="B120" s="158"/>
      <c r="F120" s="108"/>
    </row>
    <row r="121" spans="1:6" x14ac:dyDescent="0.3">
      <c r="A121" s="191"/>
      <c r="B121" s="158"/>
      <c r="F121" s="108"/>
    </row>
    <row r="122" spans="1:6" x14ac:dyDescent="0.3">
      <c r="A122" s="191"/>
      <c r="B122" s="158"/>
      <c r="F122" s="108"/>
    </row>
    <row r="123" spans="1:6" x14ac:dyDescent="0.3">
      <c r="A123" s="191"/>
      <c r="B123" s="158"/>
      <c r="F123" s="108"/>
    </row>
    <row r="124" spans="1:6" x14ac:dyDescent="0.3">
      <c r="A124" s="191"/>
      <c r="B124" s="158"/>
      <c r="F124" s="108"/>
    </row>
    <row r="125" spans="1:6" x14ac:dyDescent="0.3">
      <c r="A125" s="191"/>
      <c r="B125" s="158"/>
      <c r="F125" s="108"/>
    </row>
    <row r="126" spans="1:6" x14ac:dyDescent="0.3">
      <c r="A126" s="191"/>
      <c r="B126" s="158"/>
      <c r="F126" s="108"/>
    </row>
    <row r="127" spans="1:6" x14ac:dyDescent="0.3">
      <c r="A127" s="191"/>
      <c r="B127" s="158"/>
      <c r="F127" s="108"/>
    </row>
    <row r="128" spans="1:6" x14ac:dyDescent="0.3">
      <c r="A128" s="191"/>
      <c r="B128" s="158"/>
      <c r="F128" s="108"/>
    </row>
    <row r="129" spans="1:6" x14ac:dyDescent="0.3">
      <c r="A129" s="191"/>
      <c r="B129" s="158"/>
      <c r="F129" s="108"/>
    </row>
    <row r="130" spans="1:6" x14ac:dyDescent="0.3">
      <c r="A130" s="191"/>
      <c r="B130" s="158"/>
      <c r="F130" s="108"/>
    </row>
    <row r="131" spans="1:6" x14ac:dyDescent="0.3">
      <c r="A131" s="191"/>
      <c r="B131" s="158"/>
    </row>
    <row r="132" spans="1:6" x14ac:dyDescent="0.3">
      <c r="A132" s="191"/>
      <c r="B132" s="158"/>
    </row>
    <row r="133" spans="1:6" x14ac:dyDescent="0.3">
      <c r="A133" s="191"/>
      <c r="B133" s="158"/>
    </row>
    <row r="134" spans="1:6" x14ac:dyDescent="0.3">
      <c r="A134" s="191"/>
      <c r="B134" s="158"/>
    </row>
    <row r="135" spans="1:6" x14ac:dyDescent="0.3">
      <c r="A135" s="191"/>
      <c r="B135" s="158"/>
    </row>
    <row r="136" spans="1:6" x14ac:dyDescent="0.3">
      <c r="A136" s="191"/>
      <c r="B136" s="158"/>
    </row>
    <row r="137" spans="1:6" x14ac:dyDescent="0.3">
      <c r="A137" s="191"/>
      <c r="B137" s="158"/>
    </row>
    <row r="138" spans="1:6" x14ac:dyDescent="0.3">
      <c r="A138" s="191"/>
      <c r="B138" s="158"/>
    </row>
    <row r="139" spans="1:6" x14ac:dyDescent="0.3">
      <c r="A139" s="191"/>
      <c r="B139" s="158"/>
    </row>
    <row r="140" spans="1:6" x14ac:dyDescent="0.3">
      <c r="A140" s="191"/>
      <c r="B140" s="158"/>
    </row>
    <row r="141" spans="1:6" x14ac:dyDescent="0.3">
      <c r="A141" s="191"/>
      <c r="B141" s="158"/>
    </row>
    <row r="142" spans="1:6" x14ac:dyDescent="0.3">
      <c r="A142" s="191"/>
      <c r="B142" s="158"/>
    </row>
    <row r="143" spans="1:6" x14ac:dyDescent="0.3">
      <c r="A143" s="191"/>
      <c r="B143" s="158"/>
    </row>
    <row r="144" spans="1:6" x14ac:dyDescent="0.3">
      <c r="A144" s="191"/>
      <c r="B144" s="158"/>
    </row>
    <row r="145" spans="1:2" x14ac:dyDescent="0.3">
      <c r="A145" s="191"/>
      <c r="B145" s="158"/>
    </row>
    <row r="146" spans="1:2" x14ac:dyDescent="0.3">
      <c r="A146" s="191"/>
      <c r="B146" s="158"/>
    </row>
    <row r="147" spans="1:2" x14ac:dyDescent="0.3">
      <c r="A147" s="191"/>
      <c r="B147" s="158"/>
    </row>
    <row r="148" spans="1:2" x14ac:dyDescent="0.3">
      <c r="A148" s="191"/>
      <c r="B148" s="158"/>
    </row>
    <row r="149" spans="1:2" x14ac:dyDescent="0.3">
      <c r="A149" s="191"/>
      <c r="B149" s="158"/>
    </row>
    <row r="150" spans="1:2" x14ac:dyDescent="0.3">
      <c r="A150" s="191"/>
      <c r="B150" s="158"/>
    </row>
    <row r="151" spans="1:2" x14ac:dyDescent="0.3">
      <c r="A151" s="191"/>
      <c r="B151" s="158"/>
    </row>
    <row r="152" spans="1:2" x14ac:dyDescent="0.3">
      <c r="A152" s="191"/>
      <c r="B152" s="158"/>
    </row>
    <row r="153" spans="1:2" x14ac:dyDescent="0.3">
      <c r="A153" s="191"/>
      <c r="B153" s="158"/>
    </row>
    <row r="154" spans="1:2" x14ac:dyDescent="0.3">
      <c r="A154" s="191"/>
      <c r="B154" s="158"/>
    </row>
    <row r="155" spans="1:2" x14ac:dyDescent="0.3">
      <c r="A155" s="191"/>
      <c r="B155" s="158"/>
    </row>
    <row r="156" spans="1:2" x14ac:dyDescent="0.3">
      <c r="B156" s="158"/>
    </row>
    <row r="157" spans="1:2" x14ac:dyDescent="0.3">
      <c r="B157" s="158"/>
    </row>
    <row r="158" spans="1:2" x14ac:dyDescent="0.3">
      <c r="B158" s="158"/>
    </row>
    <row r="159" spans="1:2" x14ac:dyDescent="0.3">
      <c r="B159" s="158"/>
    </row>
    <row r="160" spans="1:2" x14ac:dyDescent="0.3">
      <c r="B160" s="158"/>
    </row>
    <row r="161" spans="2:2" x14ac:dyDescent="0.3">
      <c r="B161" s="158"/>
    </row>
    <row r="162" spans="2:2" x14ac:dyDescent="0.3">
      <c r="B162" s="158"/>
    </row>
    <row r="163" spans="2:2" x14ac:dyDescent="0.3">
      <c r="B163" s="158"/>
    </row>
    <row r="164" spans="2:2" x14ac:dyDescent="0.3">
      <c r="B164" s="158"/>
    </row>
    <row r="165" spans="2:2" x14ac:dyDescent="0.3">
      <c r="B165" s="158"/>
    </row>
    <row r="166" spans="2:2" x14ac:dyDescent="0.3">
      <c r="B166" s="158"/>
    </row>
    <row r="167" spans="2:2" x14ac:dyDescent="0.3">
      <c r="B167" s="158"/>
    </row>
    <row r="168" spans="2:2" x14ac:dyDescent="0.3">
      <c r="B168" s="158"/>
    </row>
    <row r="169" spans="2:2" x14ac:dyDescent="0.3">
      <c r="B169" s="158"/>
    </row>
    <row r="170" spans="2:2" x14ac:dyDescent="0.3">
      <c r="B170" s="158"/>
    </row>
    <row r="171" spans="2:2" x14ac:dyDescent="0.3">
      <c r="B171" s="158"/>
    </row>
    <row r="172" spans="2:2" x14ac:dyDescent="0.3">
      <c r="B172" s="158"/>
    </row>
    <row r="173" spans="2:2" x14ac:dyDescent="0.3">
      <c r="B173" s="158"/>
    </row>
    <row r="174" spans="2:2" x14ac:dyDescent="0.3">
      <c r="B174" s="158"/>
    </row>
    <row r="175" spans="2:2" x14ac:dyDescent="0.3">
      <c r="B175" s="158"/>
    </row>
    <row r="176" spans="2:2" x14ac:dyDescent="0.3">
      <c r="B176" s="158"/>
    </row>
    <row r="177" spans="2:2" x14ac:dyDescent="0.3">
      <c r="B177" s="158"/>
    </row>
    <row r="178" spans="2:2" x14ac:dyDescent="0.3">
      <c r="B178" s="158"/>
    </row>
    <row r="179" spans="2:2" x14ac:dyDescent="0.3">
      <c r="B179" s="158"/>
    </row>
    <row r="180" spans="2:2" x14ac:dyDescent="0.3">
      <c r="B180" s="158"/>
    </row>
    <row r="181" spans="2:2" x14ac:dyDescent="0.3">
      <c r="B181" s="158"/>
    </row>
    <row r="182" spans="2:2" x14ac:dyDescent="0.3">
      <c r="B182" s="158"/>
    </row>
    <row r="183" spans="2:2" x14ac:dyDescent="0.3">
      <c r="B183" s="158"/>
    </row>
    <row r="184" spans="2:2" x14ac:dyDescent="0.3">
      <c r="B184" s="158"/>
    </row>
    <row r="185" spans="2:2" x14ac:dyDescent="0.3">
      <c r="B185" s="158"/>
    </row>
    <row r="186" spans="2:2" x14ac:dyDescent="0.3">
      <c r="B186" s="158"/>
    </row>
    <row r="187" spans="2:2" x14ac:dyDescent="0.3">
      <c r="B187" s="158"/>
    </row>
    <row r="188" spans="2:2" x14ac:dyDescent="0.3">
      <c r="B188" s="158"/>
    </row>
    <row r="189" spans="2:2" x14ac:dyDescent="0.3">
      <c r="B189" s="158"/>
    </row>
    <row r="190" spans="2:2" x14ac:dyDescent="0.3">
      <c r="B190" s="158"/>
    </row>
    <row r="191" spans="2:2" x14ac:dyDescent="0.3">
      <c r="B191" s="158"/>
    </row>
    <row r="192" spans="2:2" x14ac:dyDescent="0.3">
      <c r="B192" s="158"/>
    </row>
    <row r="193" spans="2:2" x14ac:dyDescent="0.3">
      <c r="B193" s="158"/>
    </row>
    <row r="194" spans="2:2" x14ac:dyDescent="0.3">
      <c r="B194" s="158"/>
    </row>
    <row r="195" spans="2:2" x14ac:dyDescent="0.3">
      <c r="B195" s="158"/>
    </row>
    <row r="196" spans="2:2" x14ac:dyDescent="0.3">
      <c r="B196" s="158"/>
    </row>
    <row r="197" spans="2:2" x14ac:dyDescent="0.3">
      <c r="B197" s="158"/>
    </row>
    <row r="198" spans="2:2" x14ac:dyDescent="0.3">
      <c r="B198" s="158"/>
    </row>
    <row r="199" spans="2:2" x14ac:dyDescent="0.3">
      <c r="B199" s="158"/>
    </row>
    <row r="200" spans="2:2" x14ac:dyDescent="0.3">
      <c r="B200" s="158"/>
    </row>
    <row r="201" spans="2:2" x14ac:dyDescent="0.3">
      <c r="B201" s="158"/>
    </row>
    <row r="202" spans="2:2" x14ac:dyDescent="0.3">
      <c r="B202" s="158"/>
    </row>
    <row r="203" spans="2:2" x14ac:dyDescent="0.3">
      <c r="B203" s="158"/>
    </row>
    <row r="204" spans="2:2" x14ac:dyDescent="0.3">
      <c r="B204" s="158"/>
    </row>
    <row r="205" spans="2:2" x14ac:dyDescent="0.3">
      <c r="B205" s="158"/>
    </row>
    <row r="206" spans="2:2" x14ac:dyDescent="0.3">
      <c r="B206" s="158"/>
    </row>
    <row r="207" spans="2:2" x14ac:dyDescent="0.3">
      <c r="B207" s="158"/>
    </row>
    <row r="208" spans="2:2" x14ac:dyDescent="0.3">
      <c r="B208" s="158"/>
    </row>
    <row r="209" spans="2:2" x14ac:dyDescent="0.3">
      <c r="B209" s="158"/>
    </row>
    <row r="210" spans="2:2" x14ac:dyDescent="0.3">
      <c r="B210" s="158"/>
    </row>
    <row r="211" spans="2:2" x14ac:dyDescent="0.3">
      <c r="B211" s="158"/>
    </row>
    <row r="212" spans="2:2" x14ac:dyDescent="0.3">
      <c r="B212" s="158"/>
    </row>
    <row r="213" spans="2:2" x14ac:dyDescent="0.3">
      <c r="B213" s="158"/>
    </row>
    <row r="214" spans="2:2" x14ac:dyDescent="0.3">
      <c r="B214" s="158"/>
    </row>
    <row r="215" spans="2:2" x14ac:dyDescent="0.3">
      <c r="B215" s="158"/>
    </row>
    <row r="216" spans="2:2" x14ac:dyDescent="0.3">
      <c r="B216" s="158"/>
    </row>
    <row r="217" spans="2:2" x14ac:dyDescent="0.3">
      <c r="B217" s="158"/>
    </row>
    <row r="218" spans="2:2" x14ac:dyDescent="0.3">
      <c r="B218" s="158"/>
    </row>
    <row r="219" spans="2:2" x14ac:dyDescent="0.3">
      <c r="B219" s="158"/>
    </row>
    <row r="220" spans="2:2" x14ac:dyDescent="0.3">
      <c r="B220" s="158"/>
    </row>
    <row r="221" spans="2:2" x14ac:dyDescent="0.3">
      <c r="B221" s="158"/>
    </row>
    <row r="222" spans="2:2" x14ac:dyDescent="0.3">
      <c r="B222" s="158"/>
    </row>
    <row r="223" spans="2:2" x14ac:dyDescent="0.3">
      <c r="B223" s="158"/>
    </row>
    <row r="224" spans="2:2" x14ac:dyDescent="0.3">
      <c r="B224" s="158"/>
    </row>
    <row r="225" spans="2:2" x14ac:dyDescent="0.3">
      <c r="B225" s="158"/>
    </row>
    <row r="226" spans="2:2" x14ac:dyDescent="0.3">
      <c r="B226" s="158"/>
    </row>
    <row r="227" spans="2:2" x14ac:dyDescent="0.3">
      <c r="B227" s="158"/>
    </row>
    <row r="228" spans="2:2" x14ac:dyDescent="0.3">
      <c r="B228" s="158"/>
    </row>
    <row r="229" spans="2:2" x14ac:dyDescent="0.3">
      <c r="B229" s="158"/>
    </row>
    <row r="230" spans="2:2" x14ac:dyDescent="0.3">
      <c r="B230" s="158"/>
    </row>
    <row r="231" spans="2:2" x14ac:dyDescent="0.3">
      <c r="B231" s="158"/>
    </row>
    <row r="232" spans="2:2" x14ac:dyDescent="0.3">
      <c r="B232" s="158"/>
    </row>
    <row r="233" spans="2:2" x14ac:dyDescent="0.3">
      <c r="B233" s="158"/>
    </row>
    <row r="234" spans="2:2" x14ac:dyDescent="0.3">
      <c r="B234" s="158"/>
    </row>
    <row r="235" spans="2:2" x14ac:dyDescent="0.3">
      <c r="B235" s="158"/>
    </row>
    <row r="236" spans="2:2" x14ac:dyDescent="0.3">
      <c r="B236" s="158"/>
    </row>
    <row r="237" spans="2:2" x14ac:dyDescent="0.3">
      <c r="B237" s="158"/>
    </row>
    <row r="238" spans="2:2" x14ac:dyDescent="0.3">
      <c r="B238" s="158"/>
    </row>
    <row r="239" spans="2:2" x14ac:dyDescent="0.3">
      <c r="B239" s="158"/>
    </row>
    <row r="240" spans="2:2" x14ac:dyDescent="0.3">
      <c r="B240" s="158"/>
    </row>
    <row r="241" spans="2:2" x14ac:dyDescent="0.3">
      <c r="B241" s="158"/>
    </row>
    <row r="242" spans="2:2" x14ac:dyDescent="0.3">
      <c r="B242" s="158"/>
    </row>
    <row r="243" spans="2:2" x14ac:dyDescent="0.3">
      <c r="B243" s="158"/>
    </row>
    <row r="244" spans="2:2" x14ac:dyDescent="0.3">
      <c r="B244" s="158"/>
    </row>
    <row r="245" spans="2:2" x14ac:dyDescent="0.3">
      <c r="B245" s="158"/>
    </row>
    <row r="246" spans="2:2" x14ac:dyDescent="0.3">
      <c r="B246" s="158"/>
    </row>
    <row r="247" spans="2:2" x14ac:dyDescent="0.3">
      <c r="B247" s="158"/>
    </row>
    <row r="248" spans="2:2" x14ac:dyDescent="0.3">
      <c r="B248" s="158"/>
    </row>
    <row r="249" spans="2:2" x14ac:dyDescent="0.3">
      <c r="B249" s="158"/>
    </row>
    <row r="250" spans="2:2" x14ac:dyDescent="0.3">
      <c r="B250" s="158"/>
    </row>
    <row r="251" spans="2:2" x14ac:dyDescent="0.3">
      <c r="B251" s="158"/>
    </row>
    <row r="252" spans="2:2" x14ac:dyDescent="0.3">
      <c r="B252" s="158"/>
    </row>
    <row r="253" spans="2:2" x14ac:dyDescent="0.3">
      <c r="B253" s="158"/>
    </row>
    <row r="254" spans="2:2" x14ac:dyDescent="0.3">
      <c r="B254" s="158"/>
    </row>
    <row r="255" spans="2:2" x14ac:dyDescent="0.3">
      <c r="B255" s="158"/>
    </row>
    <row r="256" spans="2:2" x14ac:dyDescent="0.3">
      <c r="B256" s="158"/>
    </row>
    <row r="257" spans="2:2" x14ac:dyDescent="0.3">
      <c r="B257" s="158"/>
    </row>
    <row r="258" spans="2:2" x14ac:dyDescent="0.3">
      <c r="B258" s="158"/>
    </row>
    <row r="259" spans="2:2" x14ac:dyDescent="0.3">
      <c r="B259" s="158"/>
    </row>
    <row r="260" spans="2:2" x14ac:dyDescent="0.3">
      <c r="B260" s="158"/>
    </row>
    <row r="261" spans="2:2" x14ac:dyDescent="0.3">
      <c r="B261" s="158"/>
    </row>
    <row r="262" spans="2:2" x14ac:dyDescent="0.3">
      <c r="B262" s="158"/>
    </row>
    <row r="263" spans="2:2" x14ac:dyDescent="0.3">
      <c r="B263" s="158"/>
    </row>
    <row r="264" spans="2:2" x14ac:dyDescent="0.3">
      <c r="B264" s="158"/>
    </row>
    <row r="265" spans="2:2" x14ac:dyDescent="0.3">
      <c r="B265" s="158"/>
    </row>
    <row r="266" spans="2:2" x14ac:dyDescent="0.3">
      <c r="B266" s="158"/>
    </row>
    <row r="267" spans="2:2" x14ac:dyDescent="0.3">
      <c r="B267" s="158"/>
    </row>
    <row r="268" spans="2:2" x14ac:dyDescent="0.3">
      <c r="B268" s="158"/>
    </row>
    <row r="269" spans="2:2" x14ac:dyDescent="0.3">
      <c r="B269" s="158"/>
    </row>
    <row r="270" spans="2:2" x14ac:dyDescent="0.3">
      <c r="B270" s="158"/>
    </row>
    <row r="271" spans="2:2" x14ac:dyDescent="0.3">
      <c r="B271" s="158"/>
    </row>
    <row r="272" spans="2:2" x14ac:dyDescent="0.3">
      <c r="B272" s="158"/>
    </row>
    <row r="273" spans="2:2" x14ac:dyDescent="0.3">
      <c r="B273" s="158"/>
    </row>
    <row r="274" spans="2:2" x14ac:dyDescent="0.3">
      <c r="B274" s="158"/>
    </row>
    <row r="275" spans="2:2" x14ac:dyDescent="0.3">
      <c r="B275" s="158"/>
    </row>
    <row r="276" spans="2:2" x14ac:dyDescent="0.3">
      <c r="B276" s="158"/>
    </row>
    <row r="277" spans="2:2" x14ac:dyDescent="0.3">
      <c r="B277" s="158"/>
    </row>
    <row r="278" spans="2:2" x14ac:dyDescent="0.3">
      <c r="B278" s="158"/>
    </row>
    <row r="279" spans="2:2" x14ac:dyDescent="0.3">
      <c r="B279" s="158"/>
    </row>
    <row r="280" spans="2:2" x14ac:dyDescent="0.3">
      <c r="B280" s="158"/>
    </row>
    <row r="281" spans="2:2" x14ac:dyDescent="0.3">
      <c r="B281" s="158"/>
    </row>
    <row r="282" spans="2:2" x14ac:dyDescent="0.3">
      <c r="B282" s="158"/>
    </row>
    <row r="283" spans="2:2" x14ac:dyDescent="0.3">
      <c r="B283" s="158"/>
    </row>
    <row r="284" spans="2:2" x14ac:dyDescent="0.3">
      <c r="B284" s="158"/>
    </row>
    <row r="285" spans="2:2" x14ac:dyDescent="0.3">
      <c r="B285" s="158"/>
    </row>
    <row r="286" spans="2:2" x14ac:dyDescent="0.3">
      <c r="B286" s="158"/>
    </row>
    <row r="287" spans="2:2" x14ac:dyDescent="0.3">
      <c r="B287" s="158"/>
    </row>
    <row r="288" spans="2:2" x14ac:dyDescent="0.3">
      <c r="B288" s="158"/>
    </row>
    <row r="289" spans="2:2" x14ac:dyDescent="0.3">
      <c r="B289" s="158"/>
    </row>
    <row r="290" spans="2:2" x14ac:dyDescent="0.3">
      <c r="B290" s="158"/>
    </row>
    <row r="291" spans="2:2" x14ac:dyDescent="0.3">
      <c r="B291" s="158"/>
    </row>
    <row r="292" spans="2:2" x14ac:dyDescent="0.3">
      <c r="B292" s="158"/>
    </row>
    <row r="293" spans="2:2" x14ac:dyDescent="0.3">
      <c r="B293" s="158"/>
    </row>
    <row r="294" spans="2:2" x14ac:dyDescent="0.3">
      <c r="B294" s="158"/>
    </row>
    <row r="295" spans="2:2" x14ac:dyDescent="0.3">
      <c r="B295" s="158"/>
    </row>
    <row r="296" spans="2:2" x14ac:dyDescent="0.3">
      <c r="B296" s="158"/>
    </row>
    <row r="297" spans="2:2" x14ac:dyDescent="0.3">
      <c r="B297" s="158"/>
    </row>
    <row r="298" spans="2:2" x14ac:dyDescent="0.3">
      <c r="B298" s="158"/>
    </row>
    <row r="299" spans="2:2" x14ac:dyDescent="0.3">
      <c r="B299" s="158"/>
    </row>
    <row r="300" spans="2:2" x14ac:dyDescent="0.3">
      <c r="B300" s="158"/>
    </row>
    <row r="301" spans="2:2" x14ac:dyDescent="0.3">
      <c r="B301" s="158"/>
    </row>
    <row r="302" spans="2:2" x14ac:dyDescent="0.3">
      <c r="B302" s="158"/>
    </row>
    <row r="303" spans="2:2" x14ac:dyDescent="0.3">
      <c r="B303" s="158"/>
    </row>
    <row r="304" spans="2:2" x14ac:dyDescent="0.3">
      <c r="B304" s="158"/>
    </row>
    <row r="305" spans="2:2" x14ac:dyDescent="0.3">
      <c r="B305" s="158"/>
    </row>
    <row r="306" spans="2:2" x14ac:dyDescent="0.3">
      <c r="B306" s="158"/>
    </row>
    <row r="307" spans="2:2" x14ac:dyDescent="0.3">
      <c r="B307" s="158"/>
    </row>
    <row r="308" spans="2:2" x14ac:dyDescent="0.3">
      <c r="B308" s="158"/>
    </row>
    <row r="309" spans="2:2" x14ac:dyDescent="0.3">
      <c r="B309" s="158"/>
    </row>
    <row r="310" spans="2:2" x14ac:dyDescent="0.3">
      <c r="B310" s="158"/>
    </row>
    <row r="311" spans="2:2" x14ac:dyDescent="0.3">
      <c r="B311" s="158"/>
    </row>
    <row r="312" spans="2:2" x14ac:dyDescent="0.3">
      <c r="B312" s="158"/>
    </row>
    <row r="313" spans="2:2" x14ac:dyDescent="0.3">
      <c r="B313" s="158"/>
    </row>
    <row r="314" spans="2:2" x14ac:dyDescent="0.3">
      <c r="B314" s="158"/>
    </row>
    <row r="315" spans="2:2" x14ac:dyDescent="0.3">
      <c r="B315" s="158"/>
    </row>
    <row r="316" spans="2:2" x14ac:dyDescent="0.3">
      <c r="B316" s="158"/>
    </row>
    <row r="317" spans="2:2" x14ac:dyDescent="0.3">
      <c r="B317" s="158"/>
    </row>
    <row r="318" spans="2:2" x14ac:dyDescent="0.3">
      <c r="B318" s="158"/>
    </row>
    <row r="319" spans="2:2" x14ac:dyDescent="0.3">
      <c r="B319" s="158"/>
    </row>
    <row r="320" spans="2:2" x14ac:dyDescent="0.3">
      <c r="B320" s="158"/>
    </row>
    <row r="321" spans="2:2" x14ac:dyDescent="0.3">
      <c r="B321" s="158"/>
    </row>
    <row r="322" spans="2:2" x14ac:dyDescent="0.3">
      <c r="B322" s="158"/>
    </row>
    <row r="323" spans="2:2" x14ac:dyDescent="0.3">
      <c r="B323" s="158"/>
    </row>
    <row r="324" spans="2:2" x14ac:dyDescent="0.3">
      <c r="B324" s="158"/>
    </row>
    <row r="325" spans="2:2" x14ac:dyDescent="0.3">
      <c r="B325" s="158"/>
    </row>
    <row r="326" spans="2:2" x14ac:dyDescent="0.3">
      <c r="B326" s="158"/>
    </row>
    <row r="327" spans="2:2" x14ac:dyDescent="0.3">
      <c r="B327" s="158"/>
    </row>
    <row r="328" spans="2:2" x14ac:dyDescent="0.3">
      <c r="B328" s="158"/>
    </row>
    <row r="329" spans="2:2" x14ac:dyDescent="0.3">
      <c r="B329" s="158"/>
    </row>
    <row r="330" spans="2:2" x14ac:dyDescent="0.3">
      <c r="B330" s="158"/>
    </row>
    <row r="331" spans="2:2" x14ac:dyDescent="0.3">
      <c r="B331" s="158"/>
    </row>
    <row r="332" spans="2:2" x14ac:dyDescent="0.3">
      <c r="B332" s="158"/>
    </row>
    <row r="333" spans="2:2" x14ac:dyDescent="0.3">
      <c r="B333" s="158"/>
    </row>
    <row r="334" spans="2:2" x14ac:dyDescent="0.3">
      <c r="B334" s="158"/>
    </row>
    <row r="335" spans="2:2" x14ac:dyDescent="0.3">
      <c r="B335" s="158"/>
    </row>
    <row r="336" spans="2:2" x14ac:dyDescent="0.3">
      <c r="B336" s="158"/>
    </row>
    <row r="337" spans="2:2" x14ac:dyDescent="0.3">
      <c r="B337" s="158"/>
    </row>
    <row r="338" spans="2:2" x14ac:dyDescent="0.3">
      <c r="B338" s="158"/>
    </row>
    <row r="339" spans="2:2" x14ac:dyDescent="0.3">
      <c r="B339" s="158"/>
    </row>
    <row r="340" spans="2:2" x14ac:dyDescent="0.3">
      <c r="B340" s="158"/>
    </row>
    <row r="341" spans="2:2" x14ac:dyDescent="0.3">
      <c r="B341" s="158"/>
    </row>
    <row r="342" spans="2:2" x14ac:dyDescent="0.3">
      <c r="B342" s="158"/>
    </row>
    <row r="343" spans="2:2" x14ac:dyDescent="0.3">
      <c r="B343" s="158"/>
    </row>
    <row r="344" spans="2:2" x14ac:dyDescent="0.3">
      <c r="B344" s="158"/>
    </row>
    <row r="345" spans="2:2" x14ac:dyDescent="0.3">
      <c r="B345" s="158"/>
    </row>
    <row r="346" spans="2:2" x14ac:dyDescent="0.3">
      <c r="B346" s="158"/>
    </row>
    <row r="347" spans="2:2" x14ac:dyDescent="0.3">
      <c r="B347" s="158"/>
    </row>
    <row r="348" spans="2:2" x14ac:dyDescent="0.3">
      <c r="B348" s="158"/>
    </row>
    <row r="349" spans="2:2" x14ac:dyDescent="0.3">
      <c r="B349" s="158"/>
    </row>
    <row r="350" spans="2:2" x14ac:dyDescent="0.3">
      <c r="B350" s="158"/>
    </row>
    <row r="351" spans="2:2" x14ac:dyDescent="0.3">
      <c r="B351" s="158"/>
    </row>
    <row r="352" spans="2:2" x14ac:dyDescent="0.3">
      <c r="B352" s="158"/>
    </row>
    <row r="353" spans="2:2" x14ac:dyDescent="0.3">
      <c r="B353" s="158"/>
    </row>
    <row r="354" spans="2:2" x14ac:dyDescent="0.3">
      <c r="B354" s="158"/>
    </row>
    <row r="355" spans="2:2" x14ac:dyDescent="0.3">
      <c r="B355" s="158"/>
    </row>
    <row r="356" spans="2:2" x14ac:dyDescent="0.3">
      <c r="B356" s="158"/>
    </row>
    <row r="357" spans="2:2" x14ac:dyDescent="0.3">
      <c r="B357" s="158"/>
    </row>
    <row r="358" spans="2:2" x14ac:dyDescent="0.3">
      <c r="B358" s="158"/>
    </row>
    <row r="359" spans="2:2" x14ac:dyDescent="0.3">
      <c r="B359" s="158"/>
    </row>
    <row r="360" spans="2:2" x14ac:dyDescent="0.3">
      <c r="B360" s="158"/>
    </row>
    <row r="361" spans="2:2" x14ac:dyDescent="0.3">
      <c r="B361" s="158"/>
    </row>
    <row r="362" spans="2:2" x14ac:dyDescent="0.3">
      <c r="B362" s="158"/>
    </row>
    <row r="363" spans="2:2" x14ac:dyDescent="0.3">
      <c r="B363" s="158"/>
    </row>
    <row r="364" spans="2:2" x14ac:dyDescent="0.3">
      <c r="B364" s="158"/>
    </row>
    <row r="365" spans="2:2" x14ac:dyDescent="0.3">
      <c r="B365" s="158"/>
    </row>
    <row r="366" spans="2:2" x14ac:dyDescent="0.3">
      <c r="B366" s="158"/>
    </row>
    <row r="367" spans="2:2" x14ac:dyDescent="0.3">
      <c r="B367" s="158"/>
    </row>
    <row r="368" spans="2:2" x14ac:dyDescent="0.3">
      <c r="B368" s="158"/>
    </row>
    <row r="369" spans="2:2" x14ac:dyDescent="0.3">
      <c r="B369" s="158"/>
    </row>
    <row r="370" spans="2:2" x14ac:dyDescent="0.3">
      <c r="B370" s="158"/>
    </row>
    <row r="371" spans="2:2" x14ac:dyDescent="0.3">
      <c r="B371" s="158"/>
    </row>
    <row r="372" spans="2:2" x14ac:dyDescent="0.3">
      <c r="B372" s="158"/>
    </row>
    <row r="373" spans="2:2" x14ac:dyDescent="0.3">
      <c r="B373" s="158"/>
    </row>
    <row r="374" spans="2:2" x14ac:dyDescent="0.3">
      <c r="B374" s="158"/>
    </row>
    <row r="375" spans="2:2" x14ac:dyDescent="0.3">
      <c r="B375" s="158"/>
    </row>
    <row r="376" spans="2:2" x14ac:dyDescent="0.3">
      <c r="B376" s="158"/>
    </row>
    <row r="377" spans="2:2" x14ac:dyDescent="0.3">
      <c r="B377" s="158"/>
    </row>
    <row r="378" spans="2:2" x14ac:dyDescent="0.3">
      <c r="B378" s="158"/>
    </row>
    <row r="379" spans="2:2" x14ac:dyDescent="0.3">
      <c r="B379" s="158"/>
    </row>
    <row r="380" spans="2:2" x14ac:dyDescent="0.3">
      <c r="B380" s="158"/>
    </row>
    <row r="381" spans="2:2" x14ac:dyDescent="0.3">
      <c r="B381" s="158"/>
    </row>
    <row r="382" spans="2:2" x14ac:dyDescent="0.3">
      <c r="B382" s="158"/>
    </row>
    <row r="383" spans="2:2" x14ac:dyDescent="0.3">
      <c r="B383" s="158"/>
    </row>
    <row r="384" spans="2:2" x14ac:dyDescent="0.3">
      <c r="B384" s="158"/>
    </row>
    <row r="385" spans="2:2" x14ac:dyDescent="0.3">
      <c r="B385" s="158"/>
    </row>
    <row r="386" spans="2:2" x14ac:dyDescent="0.3">
      <c r="B386" s="158"/>
    </row>
    <row r="387" spans="2:2" x14ac:dyDescent="0.3">
      <c r="B387" s="158"/>
    </row>
    <row r="388" spans="2:2" x14ac:dyDescent="0.3">
      <c r="B388" s="158"/>
    </row>
    <row r="389" spans="2:2" x14ac:dyDescent="0.3">
      <c r="B389" s="158"/>
    </row>
    <row r="390" spans="2:2" x14ac:dyDescent="0.3">
      <c r="B390" s="158"/>
    </row>
    <row r="391" spans="2:2" x14ac:dyDescent="0.3">
      <c r="B391" s="158"/>
    </row>
    <row r="392" spans="2:2" x14ac:dyDescent="0.3">
      <c r="B392" s="158"/>
    </row>
    <row r="393" spans="2:2" x14ac:dyDescent="0.3">
      <c r="B393" s="158"/>
    </row>
    <row r="394" spans="2:2" x14ac:dyDescent="0.3">
      <c r="B394" s="158"/>
    </row>
    <row r="395" spans="2:2" x14ac:dyDescent="0.3">
      <c r="B395" s="158"/>
    </row>
    <row r="396" spans="2:2" x14ac:dyDescent="0.3">
      <c r="B396" s="158"/>
    </row>
    <row r="397" spans="2:2" x14ac:dyDescent="0.3">
      <c r="B397" s="158"/>
    </row>
    <row r="398" spans="2:2" x14ac:dyDescent="0.3">
      <c r="B398" s="158"/>
    </row>
    <row r="399" spans="2:2" x14ac:dyDescent="0.3">
      <c r="B399" s="158"/>
    </row>
    <row r="400" spans="2:2" x14ac:dyDescent="0.3">
      <c r="B400" s="158"/>
    </row>
    <row r="401" spans="2:2" x14ac:dyDescent="0.3">
      <c r="B401" s="158"/>
    </row>
    <row r="402" spans="2:2" x14ac:dyDescent="0.3">
      <c r="B402" s="158"/>
    </row>
    <row r="403" spans="2:2" x14ac:dyDescent="0.3">
      <c r="B403" s="158"/>
    </row>
    <row r="404" spans="2:2" x14ac:dyDescent="0.3">
      <c r="B404" s="158"/>
    </row>
    <row r="405" spans="2:2" x14ac:dyDescent="0.3">
      <c r="B405" s="158"/>
    </row>
    <row r="406" spans="2:2" x14ac:dyDescent="0.3">
      <c r="B406" s="158"/>
    </row>
    <row r="407" spans="2:2" x14ac:dyDescent="0.3">
      <c r="B407" s="158"/>
    </row>
    <row r="408" spans="2:2" x14ac:dyDescent="0.3">
      <c r="B408" s="158"/>
    </row>
    <row r="409" spans="2:2" x14ac:dyDescent="0.3">
      <c r="B409" s="158"/>
    </row>
    <row r="410" spans="2:2" x14ac:dyDescent="0.3">
      <c r="B410" s="158"/>
    </row>
    <row r="411" spans="2:2" x14ac:dyDescent="0.3">
      <c r="B411" s="158"/>
    </row>
    <row r="412" spans="2:2" x14ac:dyDescent="0.3">
      <c r="B412" s="158"/>
    </row>
    <row r="413" spans="2:2" x14ac:dyDescent="0.3">
      <c r="B413" s="158"/>
    </row>
    <row r="414" spans="2:2" x14ac:dyDescent="0.3">
      <c r="B414" s="158"/>
    </row>
    <row r="415" spans="2:2" x14ac:dyDescent="0.3">
      <c r="B415" s="158"/>
    </row>
    <row r="416" spans="2:2" x14ac:dyDescent="0.3">
      <c r="B416" s="158"/>
    </row>
    <row r="417" spans="2:2" x14ac:dyDescent="0.3">
      <c r="B417" s="158"/>
    </row>
    <row r="418" spans="2:2" x14ac:dyDescent="0.3">
      <c r="B418" s="158"/>
    </row>
    <row r="419" spans="2:2" x14ac:dyDescent="0.3">
      <c r="B419" s="158"/>
    </row>
    <row r="420" spans="2:2" x14ac:dyDescent="0.3">
      <c r="B420" s="158"/>
    </row>
    <row r="421" spans="2:2" x14ac:dyDescent="0.3">
      <c r="B421" s="158"/>
    </row>
    <row r="422" spans="2:2" x14ac:dyDescent="0.3">
      <c r="B422" s="158"/>
    </row>
    <row r="423" spans="2:2" x14ac:dyDescent="0.3">
      <c r="B423" s="158"/>
    </row>
    <row r="424" spans="2:2" x14ac:dyDescent="0.3">
      <c r="B424" s="158"/>
    </row>
    <row r="425" spans="2:2" x14ac:dyDescent="0.3">
      <c r="B425" s="158"/>
    </row>
    <row r="426" spans="2:2" x14ac:dyDescent="0.3">
      <c r="B426" s="158"/>
    </row>
    <row r="427" spans="2:2" x14ac:dyDescent="0.3">
      <c r="B427" s="158"/>
    </row>
    <row r="428" spans="2:2" x14ac:dyDescent="0.3">
      <c r="B428" s="158"/>
    </row>
    <row r="429" spans="2:2" x14ac:dyDescent="0.3">
      <c r="B429" s="158"/>
    </row>
    <row r="430" spans="2:2" x14ac:dyDescent="0.3">
      <c r="B430" s="158"/>
    </row>
    <row r="431" spans="2:2" x14ac:dyDescent="0.3">
      <c r="B431" s="158"/>
    </row>
    <row r="432" spans="2:2" x14ac:dyDescent="0.3">
      <c r="B432" s="158"/>
    </row>
    <row r="433" spans="2:2" x14ac:dyDescent="0.3">
      <c r="B433" s="158"/>
    </row>
    <row r="434" spans="2:2" x14ac:dyDescent="0.3">
      <c r="B434" s="158"/>
    </row>
    <row r="435" spans="2:2" x14ac:dyDescent="0.3">
      <c r="B435" s="158"/>
    </row>
    <row r="436" spans="2:2" x14ac:dyDescent="0.3">
      <c r="B436" s="158"/>
    </row>
    <row r="437" spans="2:2" x14ac:dyDescent="0.3">
      <c r="B437" s="158"/>
    </row>
    <row r="438" spans="2:2" x14ac:dyDescent="0.3">
      <c r="B438" s="158"/>
    </row>
    <row r="439" spans="2:2" x14ac:dyDescent="0.3">
      <c r="B439" s="158"/>
    </row>
    <row r="440" spans="2:2" x14ac:dyDescent="0.3">
      <c r="B440" s="158"/>
    </row>
    <row r="441" spans="2:2" x14ac:dyDescent="0.3">
      <c r="B441" s="158"/>
    </row>
    <row r="442" spans="2:2" x14ac:dyDescent="0.3">
      <c r="B442" s="158"/>
    </row>
    <row r="443" spans="2:2" x14ac:dyDescent="0.3">
      <c r="B443" s="158"/>
    </row>
    <row r="444" spans="2:2" x14ac:dyDescent="0.3">
      <c r="B444" s="158"/>
    </row>
    <row r="445" spans="2:2" x14ac:dyDescent="0.3">
      <c r="B445" s="158"/>
    </row>
    <row r="446" spans="2:2" x14ac:dyDescent="0.3">
      <c r="B446" s="158"/>
    </row>
    <row r="447" spans="2:2" x14ac:dyDescent="0.3">
      <c r="B447" s="158"/>
    </row>
    <row r="448" spans="2:2" x14ac:dyDescent="0.3">
      <c r="B448" s="158"/>
    </row>
    <row r="449" spans="2:2" x14ac:dyDescent="0.3">
      <c r="B449" s="158"/>
    </row>
    <row r="450" spans="2:2" x14ac:dyDescent="0.3">
      <c r="B450" s="158"/>
    </row>
    <row r="451" spans="2:2" x14ac:dyDescent="0.3">
      <c r="B451" s="158"/>
    </row>
    <row r="452" spans="2:2" x14ac:dyDescent="0.3">
      <c r="B452" s="158"/>
    </row>
    <row r="453" spans="2:2" x14ac:dyDescent="0.3">
      <c r="B453" s="158"/>
    </row>
    <row r="454" spans="2:2" x14ac:dyDescent="0.3">
      <c r="B454" s="158"/>
    </row>
    <row r="455" spans="2:2" x14ac:dyDescent="0.3">
      <c r="B455" s="158"/>
    </row>
    <row r="456" spans="2:2" x14ac:dyDescent="0.3">
      <c r="B456" s="158"/>
    </row>
    <row r="457" spans="2:2" x14ac:dyDescent="0.3">
      <c r="B457" s="158"/>
    </row>
    <row r="458" spans="2:2" x14ac:dyDescent="0.3">
      <c r="B458" s="158"/>
    </row>
    <row r="459" spans="2:2" x14ac:dyDescent="0.3">
      <c r="B459" s="158"/>
    </row>
    <row r="460" spans="2:2" x14ac:dyDescent="0.3">
      <c r="B460" s="158"/>
    </row>
    <row r="461" spans="2:2" x14ac:dyDescent="0.3">
      <c r="B461" s="158"/>
    </row>
    <row r="462" spans="2:2" x14ac:dyDescent="0.3">
      <c r="B462" s="158"/>
    </row>
    <row r="463" spans="2:2" x14ac:dyDescent="0.3">
      <c r="B463" s="158"/>
    </row>
    <row r="464" spans="2:2" x14ac:dyDescent="0.3">
      <c r="B464" s="158"/>
    </row>
    <row r="465" spans="2:2" x14ac:dyDescent="0.3">
      <c r="B465" s="158"/>
    </row>
    <row r="466" spans="2:2" x14ac:dyDescent="0.3">
      <c r="B466" s="158"/>
    </row>
    <row r="467" spans="2:2" x14ac:dyDescent="0.3">
      <c r="B467" s="158"/>
    </row>
    <row r="468" spans="2:2" x14ac:dyDescent="0.3">
      <c r="B468" s="158"/>
    </row>
    <row r="469" spans="2:2" x14ac:dyDescent="0.3">
      <c r="B469" s="158"/>
    </row>
    <row r="470" spans="2:2" x14ac:dyDescent="0.3">
      <c r="B470" s="158"/>
    </row>
    <row r="471" spans="2:2" x14ac:dyDescent="0.3">
      <c r="B471" s="158"/>
    </row>
    <row r="472" spans="2:2" x14ac:dyDescent="0.3">
      <c r="B472" s="158"/>
    </row>
    <row r="473" spans="2:2" x14ac:dyDescent="0.3">
      <c r="B473" s="158"/>
    </row>
    <row r="474" spans="2:2" x14ac:dyDescent="0.3">
      <c r="B474" s="158"/>
    </row>
    <row r="475" spans="2:2" x14ac:dyDescent="0.3">
      <c r="B475" s="158"/>
    </row>
    <row r="476" spans="2:2" x14ac:dyDescent="0.3">
      <c r="B476" s="158"/>
    </row>
    <row r="477" spans="2:2" x14ac:dyDescent="0.3">
      <c r="B477" s="158"/>
    </row>
    <row r="478" spans="2:2" x14ac:dyDescent="0.3">
      <c r="B478" s="158"/>
    </row>
    <row r="479" spans="2:2" x14ac:dyDescent="0.3">
      <c r="B479" s="158"/>
    </row>
    <row r="480" spans="2:2" x14ac:dyDescent="0.3">
      <c r="B480" s="158"/>
    </row>
    <row r="481" spans="2:2" x14ac:dyDescent="0.3">
      <c r="B481" s="158"/>
    </row>
    <row r="482" spans="2:2" x14ac:dyDescent="0.3">
      <c r="B482" s="158"/>
    </row>
    <row r="483" spans="2:2" x14ac:dyDescent="0.3">
      <c r="B483" s="158"/>
    </row>
    <row r="484" spans="2:2" x14ac:dyDescent="0.3">
      <c r="B484" s="158"/>
    </row>
    <row r="485" spans="2:2" x14ac:dyDescent="0.3">
      <c r="B485" s="158"/>
    </row>
    <row r="486" spans="2:2" x14ac:dyDescent="0.3">
      <c r="B486" s="158"/>
    </row>
    <row r="487" spans="2:2" x14ac:dyDescent="0.3">
      <c r="B487" s="158"/>
    </row>
    <row r="488" spans="2:2" x14ac:dyDescent="0.3">
      <c r="B488" s="158"/>
    </row>
    <row r="489" spans="2:2" x14ac:dyDescent="0.3">
      <c r="B489" s="158"/>
    </row>
    <row r="490" spans="2:2" x14ac:dyDescent="0.3">
      <c r="B490" s="158"/>
    </row>
    <row r="491" spans="2:2" x14ac:dyDescent="0.3">
      <c r="B491" s="158"/>
    </row>
    <row r="492" spans="2:2" x14ac:dyDescent="0.3">
      <c r="B492" s="158"/>
    </row>
    <row r="493" spans="2:2" x14ac:dyDescent="0.3">
      <c r="B493" s="158"/>
    </row>
    <row r="494" spans="2:2" x14ac:dyDescent="0.3">
      <c r="B494" s="158"/>
    </row>
    <row r="495" spans="2:2" x14ac:dyDescent="0.3">
      <c r="B495" s="158"/>
    </row>
    <row r="496" spans="2:2" x14ac:dyDescent="0.3">
      <c r="B496" s="158"/>
    </row>
    <row r="497" spans="2:2" x14ac:dyDescent="0.3">
      <c r="B497" s="158"/>
    </row>
    <row r="498" spans="2:2" x14ac:dyDescent="0.3">
      <c r="B498" s="158"/>
    </row>
    <row r="499" spans="2:2" x14ac:dyDescent="0.3">
      <c r="B499" s="158"/>
    </row>
    <row r="500" spans="2:2" x14ac:dyDescent="0.3">
      <c r="B500" s="158"/>
    </row>
    <row r="501" spans="2:2" x14ac:dyDescent="0.3">
      <c r="B501" s="158"/>
    </row>
    <row r="502" spans="2:2" x14ac:dyDescent="0.3">
      <c r="B502" s="158"/>
    </row>
    <row r="503" spans="2:2" x14ac:dyDescent="0.3">
      <c r="B503" s="158"/>
    </row>
    <row r="504" spans="2:2" x14ac:dyDescent="0.3">
      <c r="B504" s="158"/>
    </row>
    <row r="505" spans="2:2" x14ac:dyDescent="0.3">
      <c r="B505" s="158"/>
    </row>
    <row r="506" spans="2:2" x14ac:dyDescent="0.3">
      <c r="B506" s="158"/>
    </row>
    <row r="507" spans="2:2" x14ac:dyDescent="0.3">
      <c r="B507" s="158"/>
    </row>
    <row r="508" spans="2:2" x14ac:dyDescent="0.3">
      <c r="B508" s="158"/>
    </row>
    <row r="509" spans="2:2" x14ac:dyDescent="0.3">
      <c r="B509" s="158"/>
    </row>
    <row r="510" spans="2:2" x14ac:dyDescent="0.3">
      <c r="B510" s="158"/>
    </row>
    <row r="511" spans="2:2" x14ac:dyDescent="0.3">
      <c r="B511" s="158"/>
    </row>
    <row r="512" spans="2:2" x14ac:dyDescent="0.3">
      <c r="B512" s="158"/>
    </row>
    <row r="513" spans="2:2" x14ac:dyDescent="0.3">
      <c r="B513" s="158"/>
    </row>
    <row r="514" spans="2:2" x14ac:dyDescent="0.3">
      <c r="B514" s="158"/>
    </row>
    <row r="515" spans="2:2" x14ac:dyDescent="0.3">
      <c r="B515" s="158"/>
    </row>
    <row r="516" spans="2:2" x14ac:dyDescent="0.3">
      <c r="B516" s="158"/>
    </row>
    <row r="517" spans="2:2" x14ac:dyDescent="0.3">
      <c r="B517" s="158"/>
    </row>
    <row r="518" spans="2:2" x14ac:dyDescent="0.3">
      <c r="B518" s="158"/>
    </row>
    <row r="519" spans="2:2" x14ac:dyDescent="0.3">
      <c r="B519" s="158"/>
    </row>
    <row r="520" spans="2:2" x14ac:dyDescent="0.3">
      <c r="B520" s="158"/>
    </row>
    <row r="521" spans="2:2" x14ac:dyDescent="0.3">
      <c r="B521" s="158"/>
    </row>
    <row r="522" spans="2:2" x14ac:dyDescent="0.3">
      <c r="B522" s="158"/>
    </row>
    <row r="523" spans="2:2" x14ac:dyDescent="0.3">
      <c r="B523" s="158"/>
    </row>
    <row r="524" spans="2:2" x14ac:dyDescent="0.3">
      <c r="B524" s="158"/>
    </row>
    <row r="525" spans="2:2" x14ac:dyDescent="0.3">
      <c r="B525" s="158"/>
    </row>
    <row r="526" spans="2:2" x14ac:dyDescent="0.3">
      <c r="B526" s="158"/>
    </row>
    <row r="527" spans="2:2" x14ac:dyDescent="0.3">
      <c r="B527" s="158"/>
    </row>
    <row r="528" spans="2:2" x14ac:dyDescent="0.3">
      <c r="B528" s="158"/>
    </row>
    <row r="529" spans="2:2" x14ac:dyDescent="0.3">
      <c r="B529" s="158"/>
    </row>
    <row r="530" spans="2:2" x14ac:dyDescent="0.3">
      <c r="B530" s="158"/>
    </row>
    <row r="531" spans="2:2" x14ac:dyDescent="0.3">
      <c r="B531" s="158"/>
    </row>
    <row r="532" spans="2:2" x14ac:dyDescent="0.3">
      <c r="B532" s="158"/>
    </row>
    <row r="533" spans="2:2" x14ac:dyDescent="0.3">
      <c r="B533" s="158"/>
    </row>
    <row r="534" spans="2:2" x14ac:dyDescent="0.3">
      <c r="B534" s="158"/>
    </row>
    <row r="535" spans="2:2" x14ac:dyDescent="0.3">
      <c r="B535" s="158"/>
    </row>
    <row r="536" spans="2:2" x14ac:dyDescent="0.3">
      <c r="B536" s="158"/>
    </row>
    <row r="537" spans="2:2" x14ac:dyDescent="0.3">
      <c r="B537" s="158"/>
    </row>
    <row r="538" spans="2:2" x14ac:dyDescent="0.3">
      <c r="B538" s="158"/>
    </row>
    <row r="539" spans="2:2" x14ac:dyDescent="0.3">
      <c r="B539" s="158"/>
    </row>
    <row r="540" spans="2:2" x14ac:dyDescent="0.3">
      <c r="B540" s="158"/>
    </row>
    <row r="541" spans="2:2" x14ac:dyDescent="0.3">
      <c r="B541" s="158"/>
    </row>
    <row r="542" spans="2:2" x14ac:dyDescent="0.3">
      <c r="B542" s="158"/>
    </row>
    <row r="543" spans="2:2" x14ac:dyDescent="0.3">
      <c r="B543" s="158"/>
    </row>
    <row r="544" spans="2:2" x14ac:dyDescent="0.3">
      <c r="B544" s="158"/>
    </row>
    <row r="545" spans="2:2" x14ac:dyDescent="0.3">
      <c r="B545" s="158"/>
    </row>
    <row r="546" spans="2:2" x14ac:dyDescent="0.3">
      <c r="B546" s="158"/>
    </row>
    <row r="547" spans="2:2" x14ac:dyDescent="0.3">
      <c r="B547" s="158"/>
    </row>
    <row r="548" spans="2:2" x14ac:dyDescent="0.3">
      <c r="B548" s="158"/>
    </row>
    <row r="549" spans="2:2" x14ac:dyDescent="0.3">
      <c r="B549" s="158"/>
    </row>
    <row r="550" spans="2:2" x14ac:dyDescent="0.3">
      <c r="B550" s="158"/>
    </row>
    <row r="551" spans="2:2" x14ac:dyDescent="0.3">
      <c r="B551" s="158"/>
    </row>
    <row r="552" spans="2:2" x14ac:dyDescent="0.3">
      <c r="B552" s="158"/>
    </row>
    <row r="553" spans="2:2" x14ac:dyDescent="0.3">
      <c r="B553" s="158"/>
    </row>
    <row r="554" spans="2:2" x14ac:dyDescent="0.3">
      <c r="B554" s="158"/>
    </row>
    <row r="555" spans="2:2" x14ac:dyDescent="0.3">
      <c r="B555" s="158"/>
    </row>
    <row r="556" spans="2:2" x14ac:dyDescent="0.3">
      <c r="B556" s="158"/>
    </row>
    <row r="557" spans="2:2" x14ac:dyDescent="0.3">
      <c r="B557" s="158"/>
    </row>
    <row r="558" spans="2:2" x14ac:dyDescent="0.3">
      <c r="B558" s="158"/>
    </row>
    <row r="559" spans="2:2" x14ac:dyDescent="0.3">
      <c r="B559" s="158"/>
    </row>
    <row r="560" spans="2:2" x14ac:dyDescent="0.3">
      <c r="B560" s="158"/>
    </row>
    <row r="561" spans="2:2" x14ac:dyDescent="0.3">
      <c r="B561" s="158"/>
    </row>
    <row r="562" spans="2:2" x14ac:dyDescent="0.3">
      <c r="B562" s="158"/>
    </row>
    <row r="563" spans="2:2" x14ac:dyDescent="0.3">
      <c r="B563" s="158"/>
    </row>
    <row r="564" spans="2:2" x14ac:dyDescent="0.3">
      <c r="B564" s="158"/>
    </row>
    <row r="565" spans="2:2" x14ac:dyDescent="0.3">
      <c r="B565" s="158"/>
    </row>
    <row r="566" spans="2:2" x14ac:dyDescent="0.3">
      <c r="B566" s="158"/>
    </row>
    <row r="567" spans="2:2" x14ac:dyDescent="0.3">
      <c r="B567" s="158"/>
    </row>
    <row r="568" spans="2:2" x14ac:dyDescent="0.3">
      <c r="B568" s="158"/>
    </row>
    <row r="569" spans="2:2" x14ac:dyDescent="0.3">
      <c r="B569" s="158"/>
    </row>
    <row r="570" spans="2:2" x14ac:dyDescent="0.3">
      <c r="B570" s="158"/>
    </row>
    <row r="571" spans="2:2" x14ac:dyDescent="0.3">
      <c r="B571" s="158"/>
    </row>
    <row r="572" spans="2:2" x14ac:dyDescent="0.3">
      <c r="B572" s="158"/>
    </row>
    <row r="573" spans="2:2" x14ac:dyDescent="0.3">
      <c r="B573" s="158"/>
    </row>
    <row r="574" spans="2:2" x14ac:dyDescent="0.3">
      <c r="B574" s="158"/>
    </row>
    <row r="575" spans="2:2" x14ac:dyDescent="0.3">
      <c r="B575" s="158"/>
    </row>
    <row r="576" spans="2:2" x14ac:dyDescent="0.3">
      <c r="B576" s="158"/>
    </row>
    <row r="577" spans="2:2" x14ac:dyDescent="0.3">
      <c r="B577" s="158"/>
    </row>
    <row r="578" spans="2:2" x14ac:dyDescent="0.3">
      <c r="B578" s="158"/>
    </row>
    <row r="579" spans="2:2" x14ac:dyDescent="0.3">
      <c r="B579" s="158"/>
    </row>
    <row r="580" spans="2:2" x14ac:dyDescent="0.3">
      <c r="B580" s="158"/>
    </row>
    <row r="581" spans="2:2" x14ac:dyDescent="0.3">
      <c r="B581" s="158"/>
    </row>
    <row r="582" spans="2:2" x14ac:dyDescent="0.3">
      <c r="B582" s="158"/>
    </row>
    <row r="583" spans="2:2" x14ac:dyDescent="0.3">
      <c r="B583" s="158"/>
    </row>
    <row r="584" spans="2:2" x14ac:dyDescent="0.3">
      <c r="B584" s="158"/>
    </row>
    <row r="585" spans="2:2" x14ac:dyDescent="0.3">
      <c r="B585" s="158"/>
    </row>
    <row r="586" spans="2:2" x14ac:dyDescent="0.3">
      <c r="B586" s="158"/>
    </row>
    <row r="587" spans="2:2" x14ac:dyDescent="0.3">
      <c r="B587" s="158"/>
    </row>
    <row r="588" spans="2:2" x14ac:dyDescent="0.3">
      <c r="B588" s="158"/>
    </row>
    <row r="589" spans="2:2" x14ac:dyDescent="0.3">
      <c r="B589" s="158"/>
    </row>
    <row r="590" spans="2:2" x14ac:dyDescent="0.3">
      <c r="B590" s="158"/>
    </row>
    <row r="591" spans="2:2" x14ac:dyDescent="0.3">
      <c r="B591" s="158"/>
    </row>
    <row r="592" spans="2:2" x14ac:dyDescent="0.3">
      <c r="B592" s="158"/>
    </row>
    <row r="593" spans="2:2" x14ac:dyDescent="0.3">
      <c r="B593" s="158"/>
    </row>
    <row r="594" spans="2:2" x14ac:dyDescent="0.3">
      <c r="B594" s="158"/>
    </row>
    <row r="595" spans="2:2" x14ac:dyDescent="0.3">
      <c r="B595" s="158"/>
    </row>
    <row r="596" spans="2:2" x14ac:dyDescent="0.3">
      <c r="B596" s="158"/>
    </row>
    <row r="597" spans="2:2" x14ac:dyDescent="0.3">
      <c r="B597" s="158"/>
    </row>
    <row r="598" spans="2:2" x14ac:dyDescent="0.3">
      <c r="B598" s="158"/>
    </row>
    <row r="599" spans="2:2" x14ac:dyDescent="0.3">
      <c r="B599" s="158"/>
    </row>
    <row r="600" spans="2:2" x14ac:dyDescent="0.3">
      <c r="B600" s="158"/>
    </row>
    <row r="601" spans="2:2" x14ac:dyDescent="0.3">
      <c r="B601" s="158"/>
    </row>
    <row r="602" spans="2:2" x14ac:dyDescent="0.3">
      <c r="B602" s="158"/>
    </row>
    <row r="603" spans="2:2" x14ac:dyDescent="0.3">
      <c r="B603" s="158"/>
    </row>
    <row r="604" spans="2:2" x14ac:dyDescent="0.3">
      <c r="B604" s="158"/>
    </row>
    <row r="605" spans="2:2" x14ac:dyDescent="0.3">
      <c r="B605" s="158"/>
    </row>
    <row r="606" spans="2:2" x14ac:dyDescent="0.3">
      <c r="B606" s="158"/>
    </row>
    <row r="607" spans="2:2" x14ac:dyDescent="0.3">
      <c r="B607" s="158"/>
    </row>
    <row r="608" spans="2:2" x14ac:dyDescent="0.3">
      <c r="B608" s="158"/>
    </row>
    <row r="609" spans="2:2" x14ac:dyDescent="0.3">
      <c r="B609" s="158"/>
    </row>
    <row r="610" spans="2:2" x14ac:dyDescent="0.3">
      <c r="B610" s="158"/>
    </row>
    <row r="611" spans="2:2" x14ac:dyDescent="0.3">
      <c r="B611" s="158"/>
    </row>
    <row r="612" spans="2:2" x14ac:dyDescent="0.3">
      <c r="B612" s="158"/>
    </row>
    <row r="613" spans="2:2" x14ac:dyDescent="0.3">
      <c r="B613" s="158"/>
    </row>
    <row r="614" spans="2:2" x14ac:dyDescent="0.3">
      <c r="B614" s="158"/>
    </row>
    <row r="615" spans="2:2" x14ac:dyDescent="0.3">
      <c r="B615" s="158"/>
    </row>
    <row r="616" spans="2:2" x14ac:dyDescent="0.3">
      <c r="B616" s="158"/>
    </row>
    <row r="617" spans="2:2" x14ac:dyDescent="0.3">
      <c r="B617" s="158"/>
    </row>
    <row r="618" spans="2:2" x14ac:dyDescent="0.3">
      <c r="B618" s="158"/>
    </row>
    <row r="619" spans="2:2" x14ac:dyDescent="0.3">
      <c r="B619" s="158"/>
    </row>
    <row r="620" spans="2:2" x14ac:dyDescent="0.3">
      <c r="B620" s="158"/>
    </row>
    <row r="621" spans="2:2" x14ac:dyDescent="0.3">
      <c r="B621" s="158"/>
    </row>
    <row r="622" spans="2:2" x14ac:dyDescent="0.3">
      <c r="B622" s="158"/>
    </row>
    <row r="623" spans="2:2" x14ac:dyDescent="0.3">
      <c r="B623" s="158"/>
    </row>
    <row r="624" spans="2:2" x14ac:dyDescent="0.3">
      <c r="B624" s="158"/>
    </row>
    <row r="625" spans="2:2" x14ac:dyDescent="0.3">
      <c r="B625" s="158"/>
    </row>
    <row r="626" spans="2:2" x14ac:dyDescent="0.3">
      <c r="B626" s="158"/>
    </row>
    <row r="627" spans="2:2" x14ac:dyDescent="0.3">
      <c r="B627" s="158"/>
    </row>
    <row r="628" spans="2:2" x14ac:dyDescent="0.3">
      <c r="B628" s="158"/>
    </row>
    <row r="629" spans="2:2" x14ac:dyDescent="0.3">
      <c r="B629" s="158"/>
    </row>
    <row r="630" spans="2:2" x14ac:dyDescent="0.3">
      <c r="B630" s="158"/>
    </row>
    <row r="631" spans="2:2" x14ac:dyDescent="0.3">
      <c r="B631" s="158"/>
    </row>
    <row r="632" spans="2:2" x14ac:dyDescent="0.3">
      <c r="B632" s="158"/>
    </row>
    <row r="633" spans="2:2" x14ac:dyDescent="0.3">
      <c r="B633" s="158"/>
    </row>
    <row r="634" spans="2:2" x14ac:dyDescent="0.3">
      <c r="B634" s="158"/>
    </row>
    <row r="635" spans="2:2" x14ac:dyDescent="0.3">
      <c r="B635" s="158"/>
    </row>
    <row r="636" spans="2:2" x14ac:dyDescent="0.3">
      <c r="B636" s="158"/>
    </row>
    <row r="637" spans="2:2" x14ac:dyDescent="0.3">
      <c r="B637" s="158"/>
    </row>
    <row r="638" spans="2:2" x14ac:dyDescent="0.3">
      <c r="B638" s="158"/>
    </row>
    <row r="639" spans="2:2" x14ac:dyDescent="0.3">
      <c r="B639" s="158"/>
    </row>
    <row r="640" spans="2:2" x14ac:dyDescent="0.3">
      <c r="B640" s="158"/>
    </row>
    <row r="641" spans="2:2" x14ac:dyDescent="0.3">
      <c r="B641" s="158"/>
    </row>
    <row r="642" spans="2:2" x14ac:dyDescent="0.3">
      <c r="B642" s="158"/>
    </row>
    <row r="643" spans="2:2" x14ac:dyDescent="0.3">
      <c r="B643" s="158"/>
    </row>
    <row r="644" spans="2:2" x14ac:dyDescent="0.3">
      <c r="B644" s="158"/>
    </row>
    <row r="645" spans="2:2" x14ac:dyDescent="0.3">
      <c r="B645" s="158"/>
    </row>
    <row r="646" spans="2:2" x14ac:dyDescent="0.3">
      <c r="B646" s="158"/>
    </row>
    <row r="647" spans="2:2" x14ac:dyDescent="0.3">
      <c r="B647" s="158"/>
    </row>
    <row r="648" spans="2:2" x14ac:dyDescent="0.3">
      <c r="B648" s="158"/>
    </row>
    <row r="649" spans="2:2" x14ac:dyDescent="0.3">
      <c r="B649" s="158"/>
    </row>
    <row r="650" spans="2:2" x14ac:dyDescent="0.3">
      <c r="B650" s="158"/>
    </row>
    <row r="651" spans="2:2" x14ac:dyDescent="0.3">
      <c r="B651" s="158"/>
    </row>
    <row r="652" spans="2:2" x14ac:dyDescent="0.3">
      <c r="B652" s="158"/>
    </row>
    <row r="653" spans="2:2" x14ac:dyDescent="0.3">
      <c r="B653" s="158"/>
    </row>
    <row r="654" spans="2:2" x14ac:dyDescent="0.3">
      <c r="B654" s="158"/>
    </row>
    <row r="655" spans="2:2" x14ac:dyDescent="0.3">
      <c r="B655" s="158"/>
    </row>
    <row r="656" spans="2:2" x14ac:dyDescent="0.3">
      <c r="B656" s="158"/>
    </row>
    <row r="657" spans="2:2" x14ac:dyDescent="0.3">
      <c r="B657" s="158"/>
    </row>
    <row r="658" spans="2:2" x14ac:dyDescent="0.3">
      <c r="B658" s="158"/>
    </row>
    <row r="659" spans="2:2" x14ac:dyDescent="0.3">
      <c r="B659" s="158"/>
    </row>
    <row r="660" spans="2:2" x14ac:dyDescent="0.3">
      <c r="B660" s="158"/>
    </row>
    <row r="661" spans="2:2" x14ac:dyDescent="0.3">
      <c r="B661" s="158"/>
    </row>
    <row r="662" spans="2:2" x14ac:dyDescent="0.3">
      <c r="B662" s="158"/>
    </row>
    <row r="663" spans="2:2" x14ac:dyDescent="0.3">
      <c r="B663" s="158"/>
    </row>
    <row r="664" spans="2:2" x14ac:dyDescent="0.3">
      <c r="B664" s="158"/>
    </row>
    <row r="665" spans="2:2" x14ac:dyDescent="0.3">
      <c r="B665" s="158"/>
    </row>
    <row r="666" spans="2:2" x14ac:dyDescent="0.3">
      <c r="B666" s="158"/>
    </row>
    <row r="667" spans="2:2" x14ac:dyDescent="0.3">
      <c r="B667" s="158"/>
    </row>
    <row r="668" spans="2:2" x14ac:dyDescent="0.3">
      <c r="B668" s="158"/>
    </row>
    <row r="669" spans="2:2" x14ac:dyDescent="0.3">
      <c r="B669" s="158"/>
    </row>
    <row r="670" spans="2:2" x14ac:dyDescent="0.3">
      <c r="B670" s="158"/>
    </row>
    <row r="671" spans="2:2" x14ac:dyDescent="0.3">
      <c r="B671" s="158"/>
    </row>
    <row r="672" spans="2:2" x14ac:dyDescent="0.3">
      <c r="B672" s="158"/>
    </row>
    <row r="673" spans="2:2" x14ac:dyDescent="0.3">
      <c r="B673" s="158"/>
    </row>
    <row r="674" spans="2:2" x14ac:dyDescent="0.3">
      <c r="B674" s="158"/>
    </row>
    <row r="675" spans="2:2" x14ac:dyDescent="0.3">
      <c r="B675" s="158"/>
    </row>
    <row r="676" spans="2:2" x14ac:dyDescent="0.3">
      <c r="B676" s="158"/>
    </row>
    <row r="677" spans="2:2" x14ac:dyDescent="0.3">
      <c r="B677" s="158"/>
    </row>
    <row r="678" spans="2:2" x14ac:dyDescent="0.3">
      <c r="B678" s="158"/>
    </row>
    <row r="679" spans="2:2" x14ac:dyDescent="0.3">
      <c r="B679" s="158"/>
    </row>
    <row r="680" spans="2:2" x14ac:dyDescent="0.3">
      <c r="B680" s="158"/>
    </row>
    <row r="681" spans="2:2" x14ac:dyDescent="0.3">
      <c r="B681" s="158"/>
    </row>
    <row r="682" spans="2:2" x14ac:dyDescent="0.3">
      <c r="B682" s="158"/>
    </row>
    <row r="683" spans="2:2" x14ac:dyDescent="0.3">
      <c r="B683" s="158"/>
    </row>
    <row r="684" spans="2:2" x14ac:dyDescent="0.3">
      <c r="B684" s="158"/>
    </row>
    <row r="685" spans="2:2" x14ac:dyDescent="0.3">
      <c r="B685" s="158"/>
    </row>
    <row r="686" spans="2:2" x14ac:dyDescent="0.3">
      <c r="B686" s="158"/>
    </row>
    <row r="687" spans="2:2" x14ac:dyDescent="0.3">
      <c r="B687" s="158"/>
    </row>
    <row r="688" spans="2:2" x14ac:dyDescent="0.3">
      <c r="B688" s="158"/>
    </row>
    <row r="689" spans="2:2" x14ac:dyDescent="0.3">
      <c r="B689" s="158"/>
    </row>
    <row r="690" spans="2:2" x14ac:dyDescent="0.3">
      <c r="B690" s="158"/>
    </row>
    <row r="691" spans="2:2" x14ac:dyDescent="0.3">
      <c r="B691" s="158"/>
    </row>
    <row r="692" spans="2:2" x14ac:dyDescent="0.3">
      <c r="B692" s="158"/>
    </row>
    <row r="693" spans="2:2" x14ac:dyDescent="0.3">
      <c r="B693" s="158"/>
    </row>
    <row r="694" spans="2:2" x14ac:dyDescent="0.3">
      <c r="B694" s="158"/>
    </row>
    <row r="695" spans="2:2" x14ac:dyDescent="0.3">
      <c r="B695" s="158"/>
    </row>
    <row r="696" spans="2:2" x14ac:dyDescent="0.3">
      <c r="B696" s="158"/>
    </row>
    <row r="697" spans="2:2" x14ac:dyDescent="0.3">
      <c r="B697" s="158"/>
    </row>
    <row r="698" spans="2:2" x14ac:dyDescent="0.3">
      <c r="B698" s="158"/>
    </row>
    <row r="699" spans="2:2" x14ac:dyDescent="0.3">
      <c r="B699" s="158"/>
    </row>
    <row r="700" spans="2:2" x14ac:dyDescent="0.3">
      <c r="B700" s="158"/>
    </row>
    <row r="701" spans="2:2" x14ac:dyDescent="0.3">
      <c r="B701" s="158"/>
    </row>
    <row r="702" spans="2:2" x14ac:dyDescent="0.3">
      <c r="B702" s="158"/>
    </row>
    <row r="703" spans="2:2" x14ac:dyDescent="0.3">
      <c r="B703" s="158"/>
    </row>
    <row r="704" spans="2:2" x14ac:dyDescent="0.3">
      <c r="B704" s="158"/>
    </row>
    <row r="705" spans="2:2" x14ac:dyDescent="0.3">
      <c r="B705" s="158"/>
    </row>
    <row r="706" spans="2:2" x14ac:dyDescent="0.3">
      <c r="B706" s="158"/>
    </row>
    <row r="707" spans="2:2" x14ac:dyDescent="0.3">
      <c r="B707" s="158"/>
    </row>
    <row r="708" spans="2:2" x14ac:dyDescent="0.3">
      <c r="B708" s="158"/>
    </row>
    <row r="709" spans="2:2" x14ac:dyDescent="0.3">
      <c r="B709" s="158"/>
    </row>
    <row r="710" spans="2:2" x14ac:dyDescent="0.3">
      <c r="B710" s="158"/>
    </row>
    <row r="711" spans="2:2" x14ac:dyDescent="0.3">
      <c r="B711" s="158"/>
    </row>
    <row r="712" spans="2:2" x14ac:dyDescent="0.3">
      <c r="B712" s="158"/>
    </row>
    <row r="713" spans="2:2" x14ac:dyDescent="0.3">
      <c r="B713" s="158"/>
    </row>
    <row r="714" spans="2:2" x14ac:dyDescent="0.3">
      <c r="B714" s="158"/>
    </row>
    <row r="715" spans="2:2" x14ac:dyDescent="0.3">
      <c r="B715" s="158"/>
    </row>
    <row r="716" spans="2:2" x14ac:dyDescent="0.3">
      <c r="B716" s="158"/>
    </row>
    <row r="717" spans="2:2" x14ac:dyDescent="0.3">
      <c r="B717" s="158"/>
    </row>
    <row r="718" spans="2:2" x14ac:dyDescent="0.3">
      <c r="B718" s="158"/>
    </row>
    <row r="719" spans="2:2" x14ac:dyDescent="0.3">
      <c r="B719" s="158"/>
    </row>
    <row r="720" spans="2:2" x14ac:dyDescent="0.3">
      <c r="B720" s="158"/>
    </row>
    <row r="721" spans="2:2" x14ac:dyDescent="0.3">
      <c r="B721" s="158"/>
    </row>
    <row r="722" spans="2:2" x14ac:dyDescent="0.3">
      <c r="B722" s="158"/>
    </row>
    <row r="723" spans="2:2" x14ac:dyDescent="0.3">
      <c r="B723" s="158"/>
    </row>
    <row r="724" spans="2:2" x14ac:dyDescent="0.3">
      <c r="B724" s="158"/>
    </row>
    <row r="725" spans="2:2" x14ac:dyDescent="0.3">
      <c r="B725" s="158"/>
    </row>
    <row r="726" spans="2:2" x14ac:dyDescent="0.3">
      <c r="B726" s="158"/>
    </row>
    <row r="727" spans="2:2" x14ac:dyDescent="0.3">
      <c r="B727" s="158"/>
    </row>
    <row r="728" spans="2:2" x14ac:dyDescent="0.3">
      <c r="B728" s="158"/>
    </row>
    <row r="729" spans="2:2" x14ac:dyDescent="0.3">
      <c r="B729" s="158"/>
    </row>
    <row r="730" spans="2:2" x14ac:dyDescent="0.3">
      <c r="B730" s="158"/>
    </row>
    <row r="731" spans="2:2" x14ac:dyDescent="0.3">
      <c r="B731" s="158"/>
    </row>
    <row r="732" spans="2:2" x14ac:dyDescent="0.3">
      <c r="B732" s="158"/>
    </row>
    <row r="733" spans="2:2" x14ac:dyDescent="0.3">
      <c r="B733" s="158"/>
    </row>
    <row r="734" spans="2:2" x14ac:dyDescent="0.3">
      <c r="B734" s="158"/>
    </row>
    <row r="735" spans="2:2" x14ac:dyDescent="0.3">
      <c r="B735" s="158"/>
    </row>
    <row r="736" spans="2:2" x14ac:dyDescent="0.3">
      <c r="B736" s="158"/>
    </row>
    <row r="737" spans="2:2" x14ac:dyDescent="0.3">
      <c r="B737" s="158"/>
    </row>
    <row r="738" spans="2:2" x14ac:dyDescent="0.3">
      <c r="B738" s="158"/>
    </row>
    <row r="739" spans="2:2" x14ac:dyDescent="0.3">
      <c r="B739" s="158"/>
    </row>
    <row r="740" spans="2:2" x14ac:dyDescent="0.3">
      <c r="B740" s="158"/>
    </row>
    <row r="741" spans="2:2" x14ac:dyDescent="0.3">
      <c r="B741" s="158"/>
    </row>
    <row r="742" spans="2:2" x14ac:dyDescent="0.3">
      <c r="B742" s="158"/>
    </row>
    <row r="743" spans="2:2" x14ac:dyDescent="0.3">
      <c r="B743" s="158"/>
    </row>
    <row r="744" spans="2:2" x14ac:dyDescent="0.3">
      <c r="B744" s="158"/>
    </row>
    <row r="745" spans="2:2" x14ac:dyDescent="0.3">
      <c r="B745" s="158"/>
    </row>
    <row r="746" spans="2:2" x14ac:dyDescent="0.3">
      <c r="B746" s="158"/>
    </row>
    <row r="747" spans="2:2" x14ac:dyDescent="0.3">
      <c r="B747" s="158"/>
    </row>
    <row r="748" spans="2:2" x14ac:dyDescent="0.3">
      <c r="B748" s="158"/>
    </row>
    <row r="749" spans="2:2" x14ac:dyDescent="0.3">
      <c r="B749" s="158"/>
    </row>
    <row r="750" spans="2:2" x14ac:dyDescent="0.3">
      <c r="B750" s="158"/>
    </row>
    <row r="751" spans="2:2" x14ac:dyDescent="0.3">
      <c r="B751" s="158"/>
    </row>
    <row r="752" spans="2:2" x14ac:dyDescent="0.3">
      <c r="B752" s="158"/>
    </row>
    <row r="753" spans="2:2" x14ac:dyDescent="0.3">
      <c r="B753" s="158"/>
    </row>
    <row r="754" spans="2:2" x14ac:dyDescent="0.3">
      <c r="B754" s="158"/>
    </row>
    <row r="755" spans="2:2" x14ac:dyDescent="0.3">
      <c r="B755" s="158"/>
    </row>
    <row r="756" spans="2:2" x14ac:dyDescent="0.3">
      <c r="B756" s="158"/>
    </row>
    <row r="757" spans="2:2" x14ac:dyDescent="0.3">
      <c r="B757" s="158"/>
    </row>
    <row r="758" spans="2:2" x14ac:dyDescent="0.3">
      <c r="B758" s="158"/>
    </row>
    <row r="759" spans="2:2" x14ac:dyDescent="0.3">
      <c r="B759" s="158"/>
    </row>
    <row r="760" spans="2:2" x14ac:dyDescent="0.3">
      <c r="B760" s="158"/>
    </row>
    <row r="761" spans="2:2" x14ac:dyDescent="0.3">
      <c r="B761" s="158"/>
    </row>
    <row r="762" spans="2:2" x14ac:dyDescent="0.3">
      <c r="B762" s="158"/>
    </row>
    <row r="763" spans="2:2" x14ac:dyDescent="0.3">
      <c r="B763" s="158"/>
    </row>
    <row r="764" spans="2:2" x14ac:dyDescent="0.3">
      <c r="B764" s="158"/>
    </row>
    <row r="765" spans="2:2" x14ac:dyDescent="0.3">
      <c r="B765" s="158"/>
    </row>
    <row r="766" spans="2:2" x14ac:dyDescent="0.3">
      <c r="B766" s="158"/>
    </row>
    <row r="767" spans="2:2" x14ac:dyDescent="0.3">
      <c r="B767" s="158"/>
    </row>
    <row r="768" spans="2:2" x14ac:dyDescent="0.3">
      <c r="B768" s="158"/>
    </row>
    <row r="769" spans="2:2" x14ac:dyDescent="0.3">
      <c r="B769" s="158"/>
    </row>
    <row r="770" spans="2:2" x14ac:dyDescent="0.3">
      <c r="B770" s="158"/>
    </row>
    <row r="771" spans="2:2" x14ac:dyDescent="0.3">
      <c r="B771" s="158"/>
    </row>
    <row r="772" spans="2:2" x14ac:dyDescent="0.3">
      <c r="B772" s="158"/>
    </row>
    <row r="773" spans="2:2" x14ac:dyDescent="0.3">
      <c r="B773" s="158"/>
    </row>
    <row r="774" spans="2:2" x14ac:dyDescent="0.3">
      <c r="B774" s="158"/>
    </row>
    <row r="775" spans="2:2" x14ac:dyDescent="0.3">
      <c r="B775" s="158"/>
    </row>
    <row r="776" spans="2:2" x14ac:dyDescent="0.3">
      <c r="B776" s="158"/>
    </row>
    <row r="777" spans="2:2" x14ac:dyDescent="0.3">
      <c r="B777" s="158"/>
    </row>
    <row r="778" spans="2:2" x14ac:dyDescent="0.3">
      <c r="B778" s="158"/>
    </row>
    <row r="779" spans="2:2" x14ac:dyDescent="0.3">
      <c r="B779" s="158"/>
    </row>
    <row r="780" spans="2:2" x14ac:dyDescent="0.3">
      <c r="B780" s="158"/>
    </row>
    <row r="781" spans="2:2" x14ac:dyDescent="0.3">
      <c r="B781" s="158"/>
    </row>
    <row r="782" spans="2:2" x14ac:dyDescent="0.3">
      <c r="B782" s="158"/>
    </row>
    <row r="783" spans="2:2" x14ac:dyDescent="0.3">
      <c r="B783" s="158"/>
    </row>
    <row r="784" spans="2:2" x14ac:dyDescent="0.3">
      <c r="B784" s="158"/>
    </row>
    <row r="785" spans="2:2" x14ac:dyDescent="0.3">
      <c r="B785" s="158"/>
    </row>
    <row r="786" spans="2:2" x14ac:dyDescent="0.3">
      <c r="B786" s="158"/>
    </row>
    <row r="787" spans="2:2" x14ac:dyDescent="0.3">
      <c r="B787" s="158"/>
    </row>
    <row r="788" spans="2:2" x14ac:dyDescent="0.3">
      <c r="B788" s="158"/>
    </row>
    <row r="789" spans="2:2" x14ac:dyDescent="0.3">
      <c r="B789" s="158"/>
    </row>
    <row r="790" spans="2:2" x14ac:dyDescent="0.3">
      <c r="B790" s="158"/>
    </row>
    <row r="791" spans="2:2" x14ac:dyDescent="0.3">
      <c r="B791" s="158"/>
    </row>
    <row r="792" spans="2:2" x14ac:dyDescent="0.3">
      <c r="B792" s="158"/>
    </row>
    <row r="793" spans="2:2" x14ac:dyDescent="0.3">
      <c r="B793" s="158"/>
    </row>
    <row r="794" spans="2:2" x14ac:dyDescent="0.3">
      <c r="B794" s="158"/>
    </row>
    <row r="795" spans="2:2" x14ac:dyDescent="0.3">
      <c r="B795" s="158"/>
    </row>
    <row r="796" spans="2:2" x14ac:dyDescent="0.3">
      <c r="B796" s="158"/>
    </row>
    <row r="797" spans="2:2" x14ac:dyDescent="0.3">
      <c r="B797" s="158"/>
    </row>
    <row r="798" spans="2:2" x14ac:dyDescent="0.3">
      <c r="B798" s="158"/>
    </row>
    <row r="799" spans="2:2" x14ac:dyDescent="0.3">
      <c r="B799" s="158"/>
    </row>
    <row r="800" spans="2:2" x14ac:dyDescent="0.3">
      <c r="B800" s="158"/>
    </row>
    <row r="801" spans="2:2" x14ac:dyDescent="0.3">
      <c r="B801" s="158"/>
    </row>
    <row r="802" spans="2:2" x14ac:dyDescent="0.3">
      <c r="B802" s="158"/>
    </row>
    <row r="803" spans="2:2" x14ac:dyDescent="0.3">
      <c r="B803" s="158"/>
    </row>
    <row r="804" spans="2:2" x14ac:dyDescent="0.3">
      <c r="B804" s="158"/>
    </row>
    <row r="805" spans="2:2" x14ac:dyDescent="0.3">
      <c r="B805" s="158"/>
    </row>
    <row r="806" spans="2:2" x14ac:dyDescent="0.3">
      <c r="B806" s="158"/>
    </row>
    <row r="807" spans="2:2" x14ac:dyDescent="0.3">
      <c r="B807" s="158"/>
    </row>
    <row r="808" spans="2:2" x14ac:dyDescent="0.3">
      <c r="B808" s="158"/>
    </row>
    <row r="809" spans="2:2" x14ac:dyDescent="0.3">
      <c r="B809" s="158"/>
    </row>
    <row r="810" spans="2:2" x14ac:dyDescent="0.3">
      <c r="B810" s="158"/>
    </row>
    <row r="811" spans="2:2" x14ac:dyDescent="0.3">
      <c r="B811" s="158"/>
    </row>
    <row r="812" spans="2:2" x14ac:dyDescent="0.3">
      <c r="B812" s="158"/>
    </row>
    <row r="813" spans="2:2" x14ac:dyDescent="0.3">
      <c r="B813" s="158"/>
    </row>
    <row r="814" spans="2:2" x14ac:dyDescent="0.3">
      <c r="B814" s="158"/>
    </row>
    <row r="815" spans="2:2" x14ac:dyDescent="0.3">
      <c r="B815" s="158"/>
    </row>
    <row r="816" spans="2:2" x14ac:dyDescent="0.3">
      <c r="B816" s="158"/>
    </row>
    <row r="817" spans="2:2" x14ac:dyDescent="0.3">
      <c r="B817" s="158"/>
    </row>
    <row r="818" spans="2:2" x14ac:dyDescent="0.3">
      <c r="B818" s="158"/>
    </row>
    <row r="819" spans="2:2" x14ac:dyDescent="0.3">
      <c r="B819" s="158"/>
    </row>
    <row r="820" spans="2:2" x14ac:dyDescent="0.3">
      <c r="B820" s="158"/>
    </row>
    <row r="821" spans="2:2" x14ac:dyDescent="0.3">
      <c r="B821" s="158"/>
    </row>
    <row r="822" spans="2:2" x14ac:dyDescent="0.3">
      <c r="B822" s="158"/>
    </row>
    <row r="823" spans="2:2" x14ac:dyDescent="0.3">
      <c r="B823" s="158"/>
    </row>
    <row r="824" spans="2:2" x14ac:dyDescent="0.3">
      <c r="B824" s="158"/>
    </row>
    <row r="825" spans="2:2" x14ac:dyDescent="0.3">
      <c r="B825" s="158"/>
    </row>
    <row r="826" spans="2:2" x14ac:dyDescent="0.3">
      <c r="B826" s="158"/>
    </row>
    <row r="827" spans="2:2" x14ac:dyDescent="0.3">
      <c r="B827" s="158"/>
    </row>
    <row r="828" spans="2:2" x14ac:dyDescent="0.3">
      <c r="B828" s="158"/>
    </row>
    <row r="829" spans="2:2" x14ac:dyDescent="0.3">
      <c r="B829" s="158"/>
    </row>
    <row r="830" spans="2:2" x14ac:dyDescent="0.3">
      <c r="B830" s="158"/>
    </row>
    <row r="831" spans="2:2" x14ac:dyDescent="0.3">
      <c r="B831" s="158"/>
    </row>
    <row r="832" spans="2:2" x14ac:dyDescent="0.3">
      <c r="B832" s="158"/>
    </row>
    <row r="833" spans="2:2" x14ac:dyDescent="0.3">
      <c r="B833" s="158"/>
    </row>
    <row r="834" spans="2:2" x14ac:dyDescent="0.3">
      <c r="B834" s="158"/>
    </row>
    <row r="835" spans="2:2" x14ac:dyDescent="0.3">
      <c r="B835" s="158"/>
    </row>
    <row r="836" spans="2:2" x14ac:dyDescent="0.3">
      <c r="B836" s="158"/>
    </row>
    <row r="837" spans="2:2" x14ac:dyDescent="0.3">
      <c r="B837" s="158"/>
    </row>
    <row r="838" spans="2:2" x14ac:dyDescent="0.3">
      <c r="B838" s="158"/>
    </row>
    <row r="839" spans="2:2" x14ac:dyDescent="0.3">
      <c r="B839" s="158"/>
    </row>
    <row r="840" spans="2:2" x14ac:dyDescent="0.3">
      <c r="B840" s="158"/>
    </row>
    <row r="841" spans="2:2" x14ac:dyDescent="0.3">
      <c r="B841" s="158"/>
    </row>
    <row r="842" spans="2:2" x14ac:dyDescent="0.3">
      <c r="B842" s="158"/>
    </row>
    <row r="843" spans="2:2" x14ac:dyDescent="0.3">
      <c r="B843" s="158"/>
    </row>
    <row r="844" spans="2:2" x14ac:dyDescent="0.3">
      <c r="B844" s="158"/>
    </row>
    <row r="845" spans="2:2" x14ac:dyDescent="0.3">
      <c r="B845" s="158"/>
    </row>
    <row r="846" spans="2:2" x14ac:dyDescent="0.3">
      <c r="B846" s="158"/>
    </row>
    <row r="847" spans="2:2" x14ac:dyDescent="0.3">
      <c r="B847" s="158"/>
    </row>
    <row r="848" spans="2:2" x14ac:dyDescent="0.3">
      <c r="B848" s="158"/>
    </row>
    <row r="849" spans="2:2" x14ac:dyDescent="0.3">
      <c r="B849" s="158"/>
    </row>
    <row r="850" spans="2:2" x14ac:dyDescent="0.3">
      <c r="B850" s="158"/>
    </row>
    <row r="851" spans="2:2" x14ac:dyDescent="0.3">
      <c r="B851" s="158"/>
    </row>
    <row r="852" spans="2:2" x14ac:dyDescent="0.3">
      <c r="B852" s="158"/>
    </row>
    <row r="853" spans="2:2" x14ac:dyDescent="0.3">
      <c r="B853" s="158"/>
    </row>
    <row r="854" spans="2:2" x14ac:dyDescent="0.3">
      <c r="B854" s="158"/>
    </row>
    <row r="855" spans="2:2" x14ac:dyDescent="0.3">
      <c r="B855" s="158"/>
    </row>
    <row r="856" spans="2:2" x14ac:dyDescent="0.3">
      <c r="B856" s="158"/>
    </row>
    <row r="857" spans="2:2" x14ac:dyDescent="0.3">
      <c r="B857" s="158"/>
    </row>
    <row r="858" spans="2:2" x14ac:dyDescent="0.3">
      <c r="B858" s="158"/>
    </row>
    <row r="859" spans="2:2" x14ac:dyDescent="0.3">
      <c r="B859" s="158"/>
    </row>
    <row r="860" spans="2:2" x14ac:dyDescent="0.3">
      <c r="B860" s="158"/>
    </row>
    <row r="861" spans="2:2" x14ac:dyDescent="0.3">
      <c r="B861" s="158"/>
    </row>
    <row r="862" spans="2:2" x14ac:dyDescent="0.3">
      <c r="B862" s="158"/>
    </row>
    <row r="863" spans="2:2" x14ac:dyDescent="0.3">
      <c r="B863" s="158"/>
    </row>
    <row r="864" spans="2:2" x14ac:dyDescent="0.3">
      <c r="B864" s="158"/>
    </row>
    <row r="865" spans="2:2" x14ac:dyDescent="0.3">
      <c r="B865" s="158"/>
    </row>
    <row r="866" spans="2:2" x14ac:dyDescent="0.3">
      <c r="B866" s="158"/>
    </row>
    <row r="867" spans="2:2" x14ac:dyDescent="0.3">
      <c r="B867" s="158"/>
    </row>
    <row r="868" spans="2:2" x14ac:dyDescent="0.3">
      <c r="B868" s="158"/>
    </row>
    <row r="869" spans="2:2" x14ac:dyDescent="0.3">
      <c r="B869" s="158"/>
    </row>
    <row r="870" spans="2:2" x14ac:dyDescent="0.3">
      <c r="B870" s="158"/>
    </row>
    <row r="871" spans="2:2" x14ac:dyDescent="0.3">
      <c r="B871" s="158"/>
    </row>
    <row r="872" spans="2:2" x14ac:dyDescent="0.3">
      <c r="B872" s="158"/>
    </row>
    <row r="873" spans="2:2" x14ac:dyDescent="0.3">
      <c r="B873" s="158"/>
    </row>
    <row r="874" spans="2:2" x14ac:dyDescent="0.3">
      <c r="B874" s="158"/>
    </row>
    <row r="875" spans="2:2" x14ac:dyDescent="0.3">
      <c r="B875" s="158"/>
    </row>
    <row r="876" spans="2:2" x14ac:dyDescent="0.3">
      <c r="B876" s="158"/>
    </row>
    <row r="877" spans="2:2" x14ac:dyDescent="0.3">
      <c r="B877" s="158"/>
    </row>
    <row r="878" spans="2:2" x14ac:dyDescent="0.3">
      <c r="B878" s="158"/>
    </row>
    <row r="879" spans="2:2" x14ac:dyDescent="0.3">
      <c r="B879" s="158"/>
    </row>
    <row r="880" spans="2:2" x14ac:dyDescent="0.3">
      <c r="B880" s="158"/>
    </row>
    <row r="881" spans="2:2" x14ac:dyDescent="0.3">
      <c r="B881" s="158"/>
    </row>
    <row r="882" spans="2:2" x14ac:dyDescent="0.3">
      <c r="B882" s="158"/>
    </row>
    <row r="883" spans="2:2" x14ac:dyDescent="0.3">
      <c r="B883" s="158"/>
    </row>
    <row r="884" spans="2:2" x14ac:dyDescent="0.3">
      <c r="B884" s="158"/>
    </row>
    <row r="885" spans="2:2" x14ac:dyDescent="0.3">
      <c r="B885" s="158"/>
    </row>
    <row r="886" spans="2:2" x14ac:dyDescent="0.3">
      <c r="B886" s="158"/>
    </row>
    <row r="887" spans="2:2" x14ac:dyDescent="0.3">
      <c r="B887" s="158"/>
    </row>
    <row r="888" spans="2:2" x14ac:dyDescent="0.3">
      <c r="B888" s="158"/>
    </row>
    <row r="889" spans="2:2" x14ac:dyDescent="0.3">
      <c r="B889" s="158"/>
    </row>
    <row r="890" spans="2:2" x14ac:dyDescent="0.3">
      <c r="B890" s="158"/>
    </row>
    <row r="891" spans="2:2" x14ac:dyDescent="0.3">
      <c r="B891" s="158"/>
    </row>
    <row r="892" spans="2:2" x14ac:dyDescent="0.3">
      <c r="B892" s="158"/>
    </row>
    <row r="893" spans="2:2" x14ac:dyDescent="0.3">
      <c r="B893" s="158"/>
    </row>
    <row r="894" spans="2:2" x14ac:dyDescent="0.3">
      <c r="B894" s="158"/>
    </row>
    <row r="895" spans="2:2" x14ac:dyDescent="0.3">
      <c r="B895" s="158"/>
    </row>
    <row r="896" spans="2:2" x14ac:dyDescent="0.3">
      <c r="B896" s="158"/>
    </row>
    <row r="897" spans="2:2" x14ac:dyDescent="0.3">
      <c r="B897" s="158"/>
    </row>
    <row r="898" spans="2:2" x14ac:dyDescent="0.3">
      <c r="B898" s="158"/>
    </row>
    <row r="899" spans="2:2" x14ac:dyDescent="0.3">
      <c r="B899" s="158"/>
    </row>
    <row r="900" spans="2:2" x14ac:dyDescent="0.3">
      <c r="B900" s="158"/>
    </row>
    <row r="901" spans="2:2" x14ac:dyDescent="0.3">
      <c r="B901" s="158"/>
    </row>
    <row r="902" spans="2:2" x14ac:dyDescent="0.3">
      <c r="B902" s="158"/>
    </row>
    <row r="903" spans="2:2" x14ac:dyDescent="0.3">
      <c r="B903" s="158"/>
    </row>
    <row r="904" spans="2:2" x14ac:dyDescent="0.3">
      <c r="B904" s="158"/>
    </row>
    <row r="905" spans="2:2" x14ac:dyDescent="0.3">
      <c r="B905" s="158"/>
    </row>
    <row r="906" spans="2:2" x14ac:dyDescent="0.3">
      <c r="B906" s="158"/>
    </row>
    <row r="907" spans="2:2" x14ac:dyDescent="0.3">
      <c r="B907" s="158"/>
    </row>
    <row r="908" spans="2:2" x14ac:dyDescent="0.3">
      <c r="B908" s="158"/>
    </row>
    <row r="909" spans="2:2" x14ac:dyDescent="0.3">
      <c r="B909" s="158"/>
    </row>
    <row r="910" spans="2:2" x14ac:dyDescent="0.3">
      <c r="B910" s="158"/>
    </row>
    <row r="911" spans="2:2" x14ac:dyDescent="0.3">
      <c r="B911" s="158"/>
    </row>
    <row r="912" spans="2:2" x14ac:dyDescent="0.3">
      <c r="B912" s="158"/>
    </row>
    <row r="913" spans="2:2" x14ac:dyDescent="0.3">
      <c r="B913" s="158"/>
    </row>
    <row r="914" spans="2:2" x14ac:dyDescent="0.3">
      <c r="B914" s="158"/>
    </row>
    <row r="915" spans="2:2" x14ac:dyDescent="0.3">
      <c r="B915" s="158"/>
    </row>
    <row r="916" spans="2:2" x14ac:dyDescent="0.3">
      <c r="B916" s="158"/>
    </row>
    <row r="917" spans="2:2" x14ac:dyDescent="0.3">
      <c r="B917" s="158"/>
    </row>
    <row r="918" spans="2:2" x14ac:dyDescent="0.3">
      <c r="B918" s="158"/>
    </row>
    <row r="919" spans="2:2" x14ac:dyDescent="0.3">
      <c r="B919" s="158"/>
    </row>
    <row r="920" spans="2:2" x14ac:dyDescent="0.3">
      <c r="B920" s="158"/>
    </row>
    <row r="921" spans="2:2" x14ac:dyDescent="0.3">
      <c r="B921" s="158"/>
    </row>
    <row r="922" spans="2:2" x14ac:dyDescent="0.3">
      <c r="B922" s="158"/>
    </row>
    <row r="923" spans="2:2" x14ac:dyDescent="0.3">
      <c r="B923" s="158"/>
    </row>
    <row r="924" spans="2:2" x14ac:dyDescent="0.3">
      <c r="B924" s="158"/>
    </row>
    <row r="925" spans="2:2" x14ac:dyDescent="0.3">
      <c r="B925" s="158"/>
    </row>
    <row r="926" spans="2:2" x14ac:dyDescent="0.3">
      <c r="B926" s="158"/>
    </row>
    <row r="927" spans="2:2" x14ac:dyDescent="0.3">
      <c r="B927" s="158"/>
    </row>
    <row r="928" spans="2:2" x14ac:dyDescent="0.3">
      <c r="B928" s="158"/>
    </row>
    <row r="929" spans="2:2" x14ac:dyDescent="0.3">
      <c r="B929" s="158"/>
    </row>
    <row r="930" spans="2:2" x14ac:dyDescent="0.3">
      <c r="B930" s="158"/>
    </row>
    <row r="931" spans="2:2" x14ac:dyDescent="0.3">
      <c r="B931" s="158"/>
    </row>
    <row r="932" spans="2:2" x14ac:dyDescent="0.3">
      <c r="B932" s="158"/>
    </row>
    <row r="933" spans="2:2" x14ac:dyDescent="0.3">
      <c r="B933" s="158"/>
    </row>
    <row r="934" spans="2:2" x14ac:dyDescent="0.3">
      <c r="B934" s="158"/>
    </row>
    <row r="935" spans="2:2" x14ac:dyDescent="0.3">
      <c r="B935" s="158"/>
    </row>
    <row r="936" spans="2:2" x14ac:dyDescent="0.3">
      <c r="B936" s="158"/>
    </row>
    <row r="937" spans="2:2" x14ac:dyDescent="0.3">
      <c r="B937" s="158"/>
    </row>
    <row r="938" spans="2:2" x14ac:dyDescent="0.3">
      <c r="B938" s="158"/>
    </row>
    <row r="939" spans="2:2" x14ac:dyDescent="0.3">
      <c r="B939" s="158"/>
    </row>
    <row r="940" spans="2:2" x14ac:dyDescent="0.3">
      <c r="B940" s="158"/>
    </row>
    <row r="941" spans="2:2" x14ac:dyDescent="0.3">
      <c r="B941" s="158"/>
    </row>
    <row r="942" spans="2:2" x14ac:dyDescent="0.3">
      <c r="B942" s="158"/>
    </row>
    <row r="943" spans="2:2" x14ac:dyDescent="0.3">
      <c r="B943" s="158"/>
    </row>
    <row r="944" spans="2:2" x14ac:dyDescent="0.3">
      <c r="B944" s="158"/>
    </row>
    <row r="945" spans="2:2" x14ac:dyDescent="0.3">
      <c r="B945" s="158"/>
    </row>
    <row r="946" spans="2:2" x14ac:dyDescent="0.3">
      <c r="B946" s="158"/>
    </row>
    <row r="947" spans="2:2" x14ac:dyDescent="0.3">
      <c r="B947" s="158"/>
    </row>
    <row r="948" spans="2:2" x14ac:dyDescent="0.3">
      <c r="B948" s="158"/>
    </row>
    <row r="949" spans="2:2" x14ac:dyDescent="0.3">
      <c r="B949" s="158"/>
    </row>
    <row r="950" spans="2:2" x14ac:dyDescent="0.3">
      <c r="B950" s="158"/>
    </row>
    <row r="951" spans="2:2" x14ac:dyDescent="0.3">
      <c r="B951" s="158"/>
    </row>
    <row r="952" spans="2:2" x14ac:dyDescent="0.3">
      <c r="B952" s="158"/>
    </row>
    <row r="953" spans="2:2" x14ac:dyDescent="0.3">
      <c r="B953" s="158"/>
    </row>
    <row r="954" spans="2:2" x14ac:dyDescent="0.3">
      <c r="B954" s="158"/>
    </row>
    <row r="955" spans="2:2" x14ac:dyDescent="0.3">
      <c r="B955" s="158"/>
    </row>
    <row r="956" spans="2:2" x14ac:dyDescent="0.3">
      <c r="B956" s="158"/>
    </row>
    <row r="957" spans="2:2" x14ac:dyDescent="0.3">
      <c r="B957" s="158"/>
    </row>
    <row r="958" spans="2:2" x14ac:dyDescent="0.3">
      <c r="B958" s="158"/>
    </row>
    <row r="959" spans="2:2" x14ac:dyDescent="0.3">
      <c r="B959" s="158"/>
    </row>
    <row r="960" spans="2:2" x14ac:dyDescent="0.3">
      <c r="B960" s="158"/>
    </row>
    <row r="961" spans="2:2" x14ac:dyDescent="0.3">
      <c r="B961" s="158"/>
    </row>
    <row r="962" spans="2:2" x14ac:dyDescent="0.3">
      <c r="B962" s="158"/>
    </row>
    <row r="963" spans="2:2" x14ac:dyDescent="0.3">
      <c r="B963" s="158"/>
    </row>
    <row r="964" spans="2:2" x14ac:dyDescent="0.3">
      <c r="B964" s="158"/>
    </row>
    <row r="965" spans="2:2" x14ac:dyDescent="0.3">
      <c r="B965" s="158"/>
    </row>
    <row r="966" spans="2:2" x14ac:dyDescent="0.3">
      <c r="B966" s="158"/>
    </row>
    <row r="967" spans="2:2" x14ac:dyDescent="0.3">
      <c r="B967" s="158"/>
    </row>
    <row r="968" spans="2:2" x14ac:dyDescent="0.3">
      <c r="B968" s="158"/>
    </row>
    <row r="969" spans="2:2" x14ac:dyDescent="0.3">
      <c r="B969" s="158"/>
    </row>
    <row r="970" spans="2:2" x14ac:dyDescent="0.3">
      <c r="B970" s="158"/>
    </row>
    <row r="971" spans="2:2" x14ac:dyDescent="0.3">
      <c r="B971" s="158"/>
    </row>
    <row r="972" spans="2:2" x14ac:dyDescent="0.3">
      <c r="B972" s="158"/>
    </row>
    <row r="973" spans="2:2" x14ac:dyDescent="0.3">
      <c r="B973" s="158"/>
    </row>
    <row r="974" spans="2:2" x14ac:dyDescent="0.3">
      <c r="B974" s="158"/>
    </row>
    <row r="975" spans="2:2" x14ac:dyDescent="0.3">
      <c r="B975" s="158"/>
    </row>
    <row r="976" spans="2:2" x14ac:dyDescent="0.3">
      <c r="B976" s="158"/>
    </row>
    <row r="977" spans="2:2" x14ac:dyDescent="0.3">
      <c r="B977" s="158"/>
    </row>
    <row r="978" spans="2:2" x14ac:dyDescent="0.3">
      <c r="B978" s="158"/>
    </row>
    <row r="979" spans="2:2" x14ac:dyDescent="0.3">
      <c r="B979" s="158"/>
    </row>
    <row r="980" spans="2:2" x14ac:dyDescent="0.3">
      <c r="B980" s="158"/>
    </row>
    <row r="981" spans="2:2" x14ac:dyDescent="0.3">
      <c r="B981" s="158"/>
    </row>
    <row r="982" spans="2:2" x14ac:dyDescent="0.3">
      <c r="B982" s="158"/>
    </row>
    <row r="983" spans="2:2" x14ac:dyDescent="0.3">
      <c r="B983" s="158"/>
    </row>
    <row r="984" spans="2:2" x14ac:dyDescent="0.3">
      <c r="B984" s="158"/>
    </row>
    <row r="985" spans="2:2" x14ac:dyDescent="0.3">
      <c r="B985" s="158"/>
    </row>
    <row r="986" spans="2:2" x14ac:dyDescent="0.3">
      <c r="B986" s="158"/>
    </row>
    <row r="987" spans="2:2" x14ac:dyDescent="0.3">
      <c r="B987" s="158"/>
    </row>
    <row r="988" spans="2:2" x14ac:dyDescent="0.3">
      <c r="B988" s="158"/>
    </row>
    <row r="989" spans="2:2" x14ac:dyDescent="0.3">
      <c r="B989" s="158"/>
    </row>
    <row r="990" spans="2:2" x14ac:dyDescent="0.3">
      <c r="B990" s="158"/>
    </row>
    <row r="991" spans="2:2" x14ac:dyDescent="0.3">
      <c r="B991" s="158"/>
    </row>
    <row r="992" spans="2:2" x14ac:dyDescent="0.3">
      <c r="B992" s="158"/>
    </row>
    <row r="993" spans="2:2" x14ac:dyDescent="0.3">
      <c r="B993" s="158"/>
    </row>
    <row r="994" spans="2:2" x14ac:dyDescent="0.3">
      <c r="B994" s="158"/>
    </row>
  </sheetData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95"/>
  <sheetViews>
    <sheetView zoomScaleNormal="100" workbookViewId="0">
      <selection activeCell="F1" sqref="F1:F1048576"/>
    </sheetView>
  </sheetViews>
  <sheetFormatPr defaultColWidth="9.109375" defaultRowHeight="14.4" x14ac:dyDescent="0.3"/>
  <cols>
    <col min="1" max="1" width="14.33203125" style="189" bestFit="1" customWidth="1"/>
    <col min="2" max="2" width="7" style="189" bestFit="1" customWidth="1"/>
    <col min="3" max="3" width="8.88671875" style="189" bestFit="1" customWidth="1"/>
    <col min="4" max="4" width="7.21875" style="189" bestFit="1" customWidth="1"/>
    <col min="5" max="5" width="18.88671875" style="189" bestFit="1" customWidth="1"/>
    <col min="6" max="6" width="28.21875" style="189" bestFit="1" customWidth="1"/>
    <col min="7" max="7" width="11.33203125" style="189" bestFit="1" customWidth="1"/>
    <col min="8" max="8" width="7.109375" style="192" bestFit="1" customWidth="1"/>
    <col min="9" max="9" width="14.5546875" style="192" bestFit="1" customWidth="1"/>
    <col min="10" max="10" width="14.109375" style="192" bestFit="1" customWidth="1"/>
    <col min="11" max="11" width="12.5546875" style="192" bestFit="1" customWidth="1"/>
    <col min="12" max="12" width="28.21875" style="188" bestFit="1" customWidth="1"/>
    <col min="13" max="16384" width="9.109375" style="188"/>
  </cols>
  <sheetData>
    <row r="1" spans="1:13" s="9" customFormat="1" x14ac:dyDescent="0.3">
      <c r="A1" s="107" t="s">
        <v>110</v>
      </c>
      <c r="B1" s="107" t="s">
        <v>111</v>
      </c>
      <c r="C1" s="107" t="s">
        <v>115</v>
      </c>
      <c r="D1" s="107" t="s">
        <v>112</v>
      </c>
      <c r="E1" s="107" t="s">
        <v>116</v>
      </c>
      <c r="F1" s="107" t="s">
        <v>113</v>
      </c>
      <c r="G1" s="107" t="s">
        <v>67</v>
      </c>
      <c r="H1" s="193" t="s">
        <v>114</v>
      </c>
      <c r="I1" s="193" t="s">
        <v>117</v>
      </c>
      <c r="J1" s="193" t="s">
        <v>118</v>
      </c>
      <c r="K1" s="193" t="s">
        <v>119</v>
      </c>
      <c r="L1" s="9" t="s">
        <v>122</v>
      </c>
      <c r="M1" s="9" t="s">
        <v>113</v>
      </c>
    </row>
    <row r="2" spans="1:13" x14ac:dyDescent="0.3">
      <c r="A2" s="108"/>
      <c r="B2" s="108"/>
      <c r="C2" s="108"/>
      <c r="D2" s="108"/>
      <c r="E2" s="108"/>
      <c r="F2" s="108"/>
      <c r="G2" s="108"/>
      <c r="H2" s="194"/>
      <c r="I2" s="194"/>
      <c r="J2" s="176"/>
      <c r="M2" s="188" t="str">
        <f t="shared" ref="M2:M33" si="0">_xlfn.CONCAT(L2," ",F2)</f>
        <v xml:space="preserve"> </v>
      </c>
    </row>
    <row r="3" spans="1:13" x14ac:dyDescent="0.3">
      <c r="A3" s="191"/>
      <c r="B3" s="191"/>
      <c r="C3" s="191"/>
      <c r="D3" s="191"/>
      <c r="E3" s="191"/>
      <c r="F3" s="191"/>
      <c r="G3" s="191"/>
      <c r="H3" s="176"/>
      <c r="I3" s="176"/>
      <c r="J3" s="176"/>
      <c r="K3" s="176"/>
      <c r="M3" s="188" t="str">
        <f t="shared" si="0"/>
        <v xml:space="preserve"> </v>
      </c>
    </row>
    <row r="4" spans="1:13" x14ac:dyDescent="0.3">
      <c r="A4" s="191"/>
      <c r="B4" s="191"/>
      <c r="C4" s="191"/>
      <c r="D4" s="191"/>
      <c r="E4" s="191"/>
      <c r="F4" s="191"/>
      <c r="G4" s="191"/>
      <c r="H4" s="176"/>
      <c r="I4" s="176"/>
      <c r="J4" s="176"/>
      <c r="K4" s="176"/>
      <c r="M4" s="188" t="str">
        <f t="shared" si="0"/>
        <v xml:space="preserve"> </v>
      </c>
    </row>
    <row r="5" spans="1:13" x14ac:dyDescent="0.3">
      <c r="A5" s="191"/>
      <c r="B5" s="191"/>
      <c r="C5" s="191"/>
      <c r="D5" s="191"/>
      <c r="E5" s="191"/>
      <c r="F5" s="191"/>
      <c r="G5" s="191"/>
      <c r="H5" s="176"/>
      <c r="I5" s="176"/>
      <c r="J5" s="176"/>
      <c r="K5" s="176"/>
      <c r="M5" s="188" t="str">
        <f t="shared" si="0"/>
        <v xml:space="preserve"> </v>
      </c>
    </row>
    <row r="6" spans="1:13" x14ac:dyDescent="0.3">
      <c r="A6" s="191"/>
      <c r="B6" s="191"/>
      <c r="C6" s="191"/>
      <c r="D6" s="191"/>
      <c r="E6" s="191"/>
      <c r="F6" s="191"/>
      <c r="G6" s="191"/>
      <c r="H6" s="176"/>
      <c r="I6" s="176"/>
      <c r="J6" s="176"/>
      <c r="K6" s="176"/>
      <c r="M6" s="188" t="str">
        <f t="shared" si="0"/>
        <v xml:space="preserve"> </v>
      </c>
    </row>
    <row r="7" spans="1:13" x14ac:dyDescent="0.3">
      <c r="A7" s="191"/>
      <c r="B7" s="191"/>
      <c r="C7" s="191"/>
      <c r="D7" s="191"/>
      <c r="E7" s="191"/>
      <c r="F7" s="191"/>
      <c r="G7" s="191"/>
      <c r="H7" s="176"/>
      <c r="I7" s="176"/>
      <c r="J7" s="176"/>
      <c r="K7" s="176"/>
      <c r="M7" s="188" t="str">
        <f t="shared" si="0"/>
        <v xml:space="preserve"> </v>
      </c>
    </row>
    <row r="8" spans="1:13" x14ac:dyDescent="0.3">
      <c r="A8" s="191"/>
      <c r="B8" s="191"/>
      <c r="C8" s="191"/>
      <c r="D8" s="191"/>
      <c r="E8" s="191"/>
      <c r="F8" s="191"/>
      <c r="G8" s="191"/>
      <c r="H8" s="176"/>
      <c r="I8" s="176"/>
      <c r="J8" s="176"/>
      <c r="K8" s="176"/>
      <c r="M8" s="188" t="str">
        <f t="shared" si="0"/>
        <v xml:space="preserve"> </v>
      </c>
    </row>
    <row r="9" spans="1:13" x14ac:dyDescent="0.3">
      <c r="A9" s="191"/>
      <c r="B9" s="191"/>
      <c r="C9" s="191"/>
      <c r="D9" s="191"/>
      <c r="E9" s="191"/>
      <c r="F9" s="191"/>
      <c r="G9" s="191"/>
      <c r="H9" s="176"/>
      <c r="I9" s="176"/>
      <c r="J9" s="176"/>
      <c r="K9" s="176"/>
      <c r="M9" s="188" t="str">
        <f t="shared" si="0"/>
        <v xml:space="preserve"> </v>
      </c>
    </row>
    <row r="10" spans="1:13" x14ac:dyDescent="0.3">
      <c r="A10" s="191"/>
      <c r="B10" s="191"/>
      <c r="C10" s="191"/>
      <c r="D10" s="191"/>
      <c r="E10" s="191"/>
      <c r="F10" s="191"/>
      <c r="G10" s="191"/>
      <c r="H10" s="176"/>
      <c r="I10" s="176"/>
      <c r="J10" s="176"/>
      <c r="K10" s="176"/>
      <c r="M10" s="188" t="str">
        <f t="shared" si="0"/>
        <v xml:space="preserve"> </v>
      </c>
    </row>
    <row r="11" spans="1:13" x14ac:dyDescent="0.3">
      <c r="A11" s="191"/>
      <c r="B11" s="191"/>
      <c r="C11" s="191"/>
      <c r="D11" s="191"/>
      <c r="E11" s="191"/>
      <c r="F11" s="191"/>
      <c r="G11" s="191"/>
      <c r="H11" s="176"/>
      <c r="I11" s="176"/>
      <c r="J11" s="176"/>
      <c r="K11" s="176"/>
      <c r="M11" s="188" t="str">
        <f t="shared" si="0"/>
        <v xml:space="preserve"> </v>
      </c>
    </row>
    <row r="12" spans="1:13" x14ac:dyDescent="0.3">
      <c r="A12" s="191"/>
      <c r="B12" s="191"/>
      <c r="C12" s="191"/>
      <c r="D12" s="191"/>
      <c r="E12" s="191"/>
      <c r="F12" s="191"/>
      <c r="G12" s="191"/>
      <c r="H12" s="176"/>
      <c r="I12" s="176"/>
      <c r="J12" s="176"/>
      <c r="K12" s="176"/>
      <c r="M12" s="188" t="str">
        <f t="shared" si="0"/>
        <v xml:space="preserve"> </v>
      </c>
    </row>
    <row r="13" spans="1:13" x14ac:dyDescent="0.3">
      <c r="A13" s="191"/>
      <c r="B13" s="191"/>
      <c r="C13" s="191"/>
      <c r="D13" s="191"/>
      <c r="E13" s="191"/>
      <c r="F13" s="191"/>
      <c r="G13" s="191"/>
      <c r="H13" s="176"/>
      <c r="I13" s="176"/>
      <c r="J13" s="176"/>
      <c r="K13" s="176"/>
      <c r="M13" s="188" t="str">
        <f t="shared" si="0"/>
        <v xml:space="preserve"> </v>
      </c>
    </row>
    <row r="14" spans="1:13" x14ac:dyDescent="0.3">
      <c r="A14" s="191"/>
      <c r="B14" s="191"/>
      <c r="C14" s="191"/>
      <c r="D14" s="191"/>
      <c r="E14" s="191"/>
      <c r="F14" s="191"/>
      <c r="G14" s="191"/>
      <c r="H14" s="176"/>
      <c r="I14" s="176"/>
      <c r="J14" s="176"/>
      <c r="K14" s="176"/>
      <c r="M14" s="188" t="str">
        <f t="shared" si="0"/>
        <v xml:space="preserve"> </v>
      </c>
    </row>
    <row r="15" spans="1:13" x14ac:dyDescent="0.3">
      <c r="A15" s="191"/>
      <c r="B15" s="191"/>
      <c r="C15" s="191"/>
      <c r="D15" s="191"/>
      <c r="E15" s="191"/>
      <c r="F15" s="191"/>
      <c r="G15" s="191"/>
      <c r="H15" s="176"/>
      <c r="I15" s="176"/>
      <c r="J15" s="176"/>
      <c r="K15" s="176"/>
      <c r="M15" s="188" t="str">
        <f t="shared" si="0"/>
        <v xml:space="preserve"> </v>
      </c>
    </row>
    <row r="16" spans="1:13" x14ac:dyDescent="0.3">
      <c r="A16" s="191"/>
      <c r="B16" s="191"/>
      <c r="C16" s="191"/>
      <c r="D16" s="191"/>
      <c r="E16" s="191"/>
      <c r="F16" s="191"/>
      <c r="G16" s="191"/>
      <c r="H16" s="176"/>
      <c r="I16" s="176"/>
      <c r="J16" s="176"/>
      <c r="K16" s="176"/>
      <c r="M16" s="188" t="str">
        <f t="shared" si="0"/>
        <v xml:space="preserve"> </v>
      </c>
    </row>
    <row r="17" spans="1:13" x14ac:dyDescent="0.3">
      <c r="A17" s="191"/>
      <c r="B17" s="191"/>
      <c r="C17" s="191"/>
      <c r="D17" s="191"/>
      <c r="E17" s="191"/>
      <c r="F17" s="191"/>
      <c r="G17" s="191"/>
      <c r="H17" s="176"/>
      <c r="I17" s="176"/>
      <c r="J17" s="176"/>
      <c r="K17" s="176"/>
      <c r="M17" s="188" t="str">
        <f t="shared" si="0"/>
        <v xml:space="preserve"> </v>
      </c>
    </row>
    <row r="18" spans="1:13" x14ac:dyDescent="0.3">
      <c r="A18" s="191"/>
      <c r="B18" s="191"/>
      <c r="C18" s="191"/>
      <c r="D18" s="191"/>
      <c r="E18" s="191"/>
      <c r="F18" s="191"/>
      <c r="G18" s="191"/>
      <c r="H18" s="176"/>
      <c r="I18" s="176"/>
      <c r="J18" s="176"/>
      <c r="K18" s="176"/>
      <c r="M18" s="188" t="str">
        <f t="shared" si="0"/>
        <v xml:space="preserve"> </v>
      </c>
    </row>
    <row r="19" spans="1:13" x14ac:dyDescent="0.3">
      <c r="A19" s="191"/>
      <c r="B19" s="191"/>
      <c r="C19" s="191"/>
      <c r="D19" s="191"/>
      <c r="E19" s="191"/>
      <c r="F19" s="191"/>
      <c r="G19" s="191"/>
      <c r="H19" s="176"/>
      <c r="I19" s="176"/>
      <c r="J19" s="176"/>
      <c r="K19" s="176"/>
      <c r="M19" s="188" t="str">
        <f t="shared" si="0"/>
        <v xml:space="preserve"> </v>
      </c>
    </row>
    <row r="20" spans="1:13" x14ac:dyDescent="0.3">
      <c r="A20" s="191"/>
      <c r="B20" s="191"/>
      <c r="C20" s="191"/>
      <c r="D20" s="191"/>
      <c r="E20" s="191"/>
      <c r="F20" s="191"/>
      <c r="G20" s="191"/>
      <c r="H20" s="176"/>
      <c r="I20" s="176"/>
      <c r="J20" s="176"/>
      <c r="K20" s="176"/>
      <c r="M20" s="188" t="str">
        <f t="shared" si="0"/>
        <v xml:space="preserve"> </v>
      </c>
    </row>
    <row r="21" spans="1:13" x14ac:dyDescent="0.3">
      <c r="A21" s="191"/>
      <c r="B21" s="191"/>
      <c r="C21" s="191"/>
      <c r="D21" s="191"/>
      <c r="E21" s="191"/>
      <c r="F21" s="191"/>
      <c r="G21" s="191"/>
      <c r="H21" s="176"/>
      <c r="I21" s="176"/>
      <c r="J21" s="176"/>
      <c r="K21" s="176"/>
      <c r="M21" s="188" t="str">
        <f t="shared" si="0"/>
        <v xml:space="preserve"> </v>
      </c>
    </row>
    <row r="22" spans="1:13" x14ac:dyDescent="0.3">
      <c r="A22" s="191"/>
      <c r="B22" s="191"/>
      <c r="C22" s="191"/>
      <c r="D22" s="191"/>
      <c r="E22" s="191"/>
      <c r="F22" s="191"/>
      <c r="G22" s="191"/>
      <c r="H22" s="176"/>
      <c r="I22" s="176"/>
      <c r="J22" s="176"/>
      <c r="K22" s="176"/>
      <c r="M22" s="188" t="str">
        <f t="shared" si="0"/>
        <v xml:space="preserve"> </v>
      </c>
    </row>
    <row r="23" spans="1:13" x14ac:dyDescent="0.3">
      <c r="A23" s="191"/>
      <c r="B23" s="191"/>
      <c r="C23" s="191"/>
      <c r="D23" s="191"/>
      <c r="E23" s="191"/>
      <c r="F23" s="191"/>
      <c r="G23" s="191"/>
      <c r="H23" s="176"/>
      <c r="I23" s="176"/>
      <c r="J23" s="176"/>
      <c r="K23" s="176"/>
      <c r="M23" s="188" t="str">
        <f t="shared" si="0"/>
        <v xml:space="preserve"> </v>
      </c>
    </row>
    <row r="24" spans="1:13" x14ac:dyDescent="0.3">
      <c r="A24" s="191"/>
      <c r="B24" s="191"/>
      <c r="C24" s="191"/>
      <c r="D24" s="191"/>
      <c r="E24" s="191"/>
      <c r="F24" s="191"/>
      <c r="G24" s="191"/>
      <c r="H24" s="176"/>
      <c r="I24" s="176"/>
      <c r="J24" s="176"/>
      <c r="K24" s="176"/>
      <c r="M24" s="188" t="str">
        <f t="shared" si="0"/>
        <v xml:space="preserve"> </v>
      </c>
    </row>
    <row r="25" spans="1:13" x14ac:dyDescent="0.3">
      <c r="A25" s="191"/>
      <c r="B25" s="191"/>
      <c r="C25" s="191"/>
      <c r="D25" s="191"/>
      <c r="E25" s="191"/>
      <c r="F25" s="191"/>
      <c r="G25" s="191"/>
      <c r="H25" s="176"/>
      <c r="I25" s="176"/>
      <c r="J25" s="176"/>
      <c r="K25" s="176"/>
      <c r="M25" s="188" t="str">
        <f t="shared" si="0"/>
        <v xml:space="preserve"> </v>
      </c>
    </row>
    <row r="26" spans="1:13" x14ac:dyDescent="0.3">
      <c r="A26" s="191"/>
      <c r="B26" s="191"/>
      <c r="C26" s="191"/>
      <c r="D26" s="191"/>
      <c r="E26" s="191"/>
      <c r="F26" s="191"/>
      <c r="G26" s="191"/>
      <c r="H26" s="176"/>
      <c r="I26" s="176"/>
      <c r="J26" s="176"/>
      <c r="K26" s="176"/>
      <c r="M26" s="188" t="str">
        <f t="shared" si="0"/>
        <v xml:space="preserve"> </v>
      </c>
    </row>
    <row r="27" spans="1:13" x14ac:dyDescent="0.3">
      <c r="A27" s="191"/>
      <c r="B27" s="191"/>
      <c r="C27" s="191"/>
      <c r="D27" s="191"/>
      <c r="E27" s="191"/>
      <c r="F27" s="191"/>
      <c r="G27" s="191"/>
      <c r="H27" s="176"/>
      <c r="I27" s="176"/>
      <c r="J27" s="176"/>
      <c r="K27" s="176"/>
      <c r="M27" s="188" t="str">
        <f t="shared" si="0"/>
        <v xml:space="preserve"> </v>
      </c>
    </row>
    <row r="28" spans="1:13" x14ac:dyDescent="0.3">
      <c r="A28" s="191"/>
      <c r="B28" s="191"/>
      <c r="C28" s="191"/>
      <c r="D28" s="191"/>
      <c r="E28" s="191"/>
      <c r="F28" s="191"/>
      <c r="G28" s="191"/>
      <c r="H28" s="176"/>
      <c r="I28" s="176"/>
      <c r="J28" s="176"/>
      <c r="K28" s="176"/>
      <c r="M28" s="188" t="str">
        <f t="shared" si="0"/>
        <v xml:space="preserve"> </v>
      </c>
    </row>
    <row r="29" spans="1:13" x14ac:dyDescent="0.3">
      <c r="A29" s="191"/>
      <c r="B29" s="191"/>
      <c r="C29" s="191"/>
      <c r="D29" s="191"/>
      <c r="E29" s="191"/>
      <c r="F29" s="191"/>
      <c r="G29" s="191"/>
      <c r="H29" s="176"/>
      <c r="I29" s="176"/>
      <c r="J29" s="176"/>
      <c r="K29" s="176"/>
      <c r="M29" s="188" t="str">
        <f t="shared" si="0"/>
        <v xml:space="preserve"> </v>
      </c>
    </row>
    <row r="30" spans="1:13" x14ac:dyDescent="0.3">
      <c r="A30" s="191"/>
      <c r="B30" s="191"/>
      <c r="C30" s="191"/>
      <c r="D30" s="191"/>
      <c r="E30" s="191"/>
      <c r="F30" s="191"/>
      <c r="G30" s="191"/>
      <c r="H30" s="176"/>
      <c r="I30" s="176"/>
      <c r="J30" s="176"/>
      <c r="K30" s="176"/>
      <c r="M30" s="188" t="str">
        <f t="shared" si="0"/>
        <v xml:space="preserve"> </v>
      </c>
    </row>
    <row r="31" spans="1:13" x14ac:dyDescent="0.3">
      <c r="A31" s="191"/>
      <c r="B31" s="191"/>
      <c r="C31" s="191"/>
      <c r="D31" s="191"/>
      <c r="E31" s="191"/>
      <c r="F31" s="191"/>
      <c r="G31" s="191"/>
      <c r="H31" s="176"/>
      <c r="I31" s="176"/>
      <c r="J31" s="176"/>
      <c r="K31" s="176"/>
      <c r="M31" s="188" t="str">
        <f t="shared" si="0"/>
        <v xml:space="preserve"> </v>
      </c>
    </row>
    <row r="32" spans="1:13" x14ac:dyDescent="0.3">
      <c r="A32" s="191"/>
      <c r="B32" s="191"/>
      <c r="C32" s="191"/>
      <c r="D32" s="191"/>
      <c r="E32" s="191"/>
      <c r="F32" s="191"/>
      <c r="G32" s="191"/>
      <c r="H32" s="176"/>
      <c r="I32" s="176"/>
      <c r="J32" s="176"/>
      <c r="K32" s="176"/>
      <c r="M32" s="188" t="str">
        <f t="shared" si="0"/>
        <v xml:space="preserve"> </v>
      </c>
    </row>
    <row r="33" spans="1:13" x14ac:dyDescent="0.3">
      <c r="A33" s="191"/>
      <c r="B33" s="191"/>
      <c r="C33" s="191"/>
      <c r="D33" s="191"/>
      <c r="E33" s="191"/>
      <c r="F33" s="191"/>
      <c r="G33" s="191"/>
      <c r="H33" s="176"/>
      <c r="I33" s="176"/>
      <c r="J33" s="176"/>
      <c r="K33" s="176"/>
      <c r="M33" s="188" t="str">
        <f t="shared" si="0"/>
        <v xml:space="preserve"> </v>
      </c>
    </row>
    <row r="34" spans="1:13" x14ac:dyDescent="0.3">
      <c r="A34" s="191"/>
      <c r="B34" s="191"/>
      <c r="C34" s="191"/>
      <c r="D34" s="191"/>
      <c r="E34" s="191"/>
      <c r="F34" s="191"/>
      <c r="G34" s="191"/>
      <c r="H34" s="176"/>
      <c r="I34" s="176"/>
      <c r="J34" s="176"/>
      <c r="K34" s="176"/>
      <c r="M34" s="188" t="str">
        <f t="shared" ref="M34:M65" si="1">_xlfn.CONCAT(L34," ",F34)</f>
        <v xml:space="preserve"> </v>
      </c>
    </row>
    <row r="35" spans="1:13" x14ac:dyDescent="0.3">
      <c r="A35" s="191"/>
      <c r="B35" s="191"/>
      <c r="C35" s="191"/>
      <c r="D35" s="191"/>
      <c r="E35" s="191"/>
      <c r="F35" s="191"/>
      <c r="G35" s="191"/>
      <c r="H35" s="176"/>
      <c r="I35" s="176"/>
      <c r="J35" s="176"/>
      <c r="K35" s="176"/>
      <c r="M35" s="188" t="str">
        <f t="shared" si="1"/>
        <v xml:space="preserve"> </v>
      </c>
    </row>
    <row r="36" spans="1:13" x14ac:dyDescent="0.3">
      <c r="A36" s="191"/>
      <c r="B36" s="191"/>
      <c r="C36" s="191"/>
      <c r="D36" s="191"/>
      <c r="E36" s="191"/>
      <c r="F36" s="191"/>
      <c r="G36" s="191"/>
      <c r="H36" s="176"/>
      <c r="I36" s="176"/>
      <c r="J36" s="176"/>
      <c r="K36" s="176"/>
      <c r="M36" s="188" t="str">
        <f t="shared" si="1"/>
        <v xml:space="preserve"> </v>
      </c>
    </row>
    <row r="37" spans="1:13" x14ac:dyDescent="0.3">
      <c r="A37" s="191"/>
      <c r="B37" s="191"/>
      <c r="C37" s="191"/>
      <c r="D37" s="191"/>
      <c r="E37" s="191"/>
      <c r="F37" s="191"/>
      <c r="G37" s="191"/>
      <c r="H37" s="176"/>
      <c r="I37" s="176"/>
      <c r="J37" s="176"/>
      <c r="K37" s="176"/>
      <c r="M37" s="188" t="str">
        <f t="shared" si="1"/>
        <v xml:space="preserve"> </v>
      </c>
    </row>
    <row r="38" spans="1:13" x14ac:dyDescent="0.3">
      <c r="A38" s="191"/>
      <c r="B38" s="191"/>
      <c r="C38" s="191"/>
      <c r="D38" s="191"/>
      <c r="E38" s="191"/>
      <c r="F38" s="191"/>
      <c r="G38" s="191"/>
      <c r="H38" s="176"/>
      <c r="I38" s="176"/>
      <c r="J38" s="176"/>
      <c r="K38" s="176"/>
      <c r="M38" s="188" t="str">
        <f t="shared" si="1"/>
        <v xml:space="preserve"> </v>
      </c>
    </row>
    <row r="39" spans="1:13" x14ac:dyDescent="0.3">
      <c r="A39" s="191"/>
      <c r="B39" s="191"/>
      <c r="C39" s="191"/>
      <c r="D39" s="191"/>
      <c r="E39" s="191"/>
      <c r="F39" s="191"/>
      <c r="G39" s="191"/>
      <c r="H39" s="176"/>
      <c r="I39" s="176"/>
      <c r="J39" s="176"/>
      <c r="K39" s="176"/>
      <c r="M39" s="188" t="str">
        <f t="shared" si="1"/>
        <v xml:space="preserve"> </v>
      </c>
    </row>
    <row r="40" spans="1:13" x14ac:dyDescent="0.3">
      <c r="A40" s="191"/>
      <c r="B40" s="191"/>
      <c r="C40" s="191"/>
      <c r="D40" s="191"/>
      <c r="E40" s="191"/>
      <c r="F40" s="191"/>
      <c r="G40" s="191"/>
      <c r="H40" s="176"/>
      <c r="I40" s="176"/>
      <c r="J40" s="176"/>
      <c r="K40" s="176"/>
      <c r="M40" s="188" t="str">
        <f t="shared" si="1"/>
        <v xml:space="preserve"> </v>
      </c>
    </row>
    <row r="41" spans="1:13" x14ac:dyDescent="0.3">
      <c r="A41" s="191"/>
      <c r="B41" s="191"/>
      <c r="C41" s="191"/>
      <c r="D41" s="191"/>
      <c r="E41" s="191"/>
      <c r="F41" s="191"/>
      <c r="G41" s="191"/>
      <c r="H41" s="176"/>
      <c r="I41" s="176"/>
      <c r="J41" s="176"/>
      <c r="K41" s="176"/>
      <c r="M41" s="188" t="str">
        <f t="shared" si="1"/>
        <v xml:space="preserve"> </v>
      </c>
    </row>
    <row r="42" spans="1:13" x14ac:dyDescent="0.3">
      <c r="A42" s="191"/>
      <c r="B42" s="191"/>
      <c r="C42" s="191"/>
      <c r="D42" s="191"/>
      <c r="E42" s="191"/>
      <c r="F42" s="191"/>
      <c r="G42" s="191"/>
      <c r="H42" s="176"/>
      <c r="I42" s="176"/>
      <c r="J42" s="176"/>
      <c r="K42" s="176"/>
      <c r="M42" s="188" t="str">
        <f t="shared" si="1"/>
        <v xml:space="preserve"> </v>
      </c>
    </row>
    <row r="43" spans="1:13" x14ac:dyDescent="0.3">
      <c r="A43" s="191"/>
      <c r="B43" s="191"/>
      <c r="C43" s="191"/>
      <c r="D43" s="191"/>
      <c r="E43" s="191"/>
      <c r="F43" s="191"/>
      <c r="G43" s="191"/>
      <c r="H43" s="176"/>
      <c r="I43" s="176"/>
      <c r="J43" s="176"/>
      <c r="K43" s="176"/>
      <c r="M43" s="188" t="str">
        <f t="shared" si="1"/>
        <v xml:space="preserve"> </v>
      </c>
    </row>
    <row r="44" spans="1:13" x14ac:dyDescent="0.3">
      <c r="A44" s="191"/>
      <c r="B44" s="191"/>
      <c r="C44" s="191"/>
      <c r="D44" s="191"/>
      <c r="E44" s="191"/>
      <c r="F44" s="191"/>
      <c r="G44" s="191"/>
      <c r="H44" s="176"/>
      <c r="I44" s="176"/>
      <c r="J44" s="176"/>
      <c r="K44" s="176"/>
      <c r="M44" s="188" t="str">
        <f t="shared" si="1"/>
        <v xml:space="preserve"> </v>
      </c>
    </row>
    <row r="45" spans="1:13" x14ac:dyDescent="0.3">
      <c r="A45" s="191"/>
      <c r="B45" s="191"/>
      <c r="C45" s="191"/>
      <c r="D45" s="191"/>
      <c r="E45" s="191"/>
      <c r="F45" s="191"/>
      <c r="G45" s="191"/>
      <c r="H45" s="176"/>
      <c r="I45" s="176"/>
      <c r="J45" s="176"/>
      <c r="K45" s="176"/>
      <c r="M45" s="188" t="str">
        <f t="shared" si="1"/>
        <v xml:space="preserve"> </v>
      </c>
    </row>
    <row r="46" spans="1:13" x14ac:dyDescent="0.3">
      <c r="A46" s="191"/>
      <c r="B46" s="191"/>
      <c r="C46" s="191"/>
      <c r="D46" s="191"/>
      <c r="E46" s="191"/>
      <c r="F46" s="191"/>
      <c r="G46" s="191"/>
      <c r="H46" s="176"/>
      <c r="I46" s="176"/>
      <c r="J46" s="176"/>
      <c r="K46" s="176"/>
      <c r="M46" s="188" t="str">
        <f t="shared" si="1"/>
        <v xml:space="preserve"> </v>
      </c>
    </row>
    <row r="47" spans="1:13" x14ac:dyDescent="0.3">
      <c r="A47" s="191"/>
      <c r="B47" s="191"/>
      <c r="C47" s="191"/>
      <c r="D47" s="191"/>
      <c r="E47" s="191"/>
      <c r="F47" s="191"/>
      <c r="G47" s="191"/>
      <c r="H47" s="176"/>
      <c r="I47" s="176"/>
      <c r="J47" s="176"/>
      <c r="K47" s="176"/>
      <c r="M47" s="188" t="str">
        <f t="shared" si="1"/>
        <v xml:space="preserve"> </v>
      </c>
    </row>
    <row r="48" spans="1:13" x14ac:dyDescent="0.3">
      <c r="A48" s="191"/>
      <c r="B48" s="191"/>
      <c r="C48" s="191"/>
      <c r="D48" s="191"/>
      <c r="E48" s="191"/>
      <c r="F48" s="191"/>
      <c r="G48" s="191"/>
      <c r="H48" s="176"/>
      <c r="I48" s="176"/>
      <c r="J48" s="176"/>
      <c r="K48" s="176"/>
      <c r="M48" s="188" t="str">
        <f t="shared" si="1"/>
        <v xml:space="preserve"> </v>
      </c>
    </row>
    <row r="49" spans="1:13" x14ac:dyDescent="0.3">
      <c r="A49" s="191"/>
      <c r="B49" s="191"/>
      <c r="C49" s="191"/>
      <c r="D49" s="191"/>
      <c r="E49" s="191"/>
      <c r="F49" s="191"/>
      <c r="G49" s="191"/>
      <c r="H49" s="176"/>
      <c r="I49" s="176"/>
      <c r="J49" s="176"/>
      <c r="K49" s="176"/>
      <c r="M49" s="188" t="str">
        <f t="shared" si="1"/>
        <v xml:space="preserve"> </v>
      </c>
    </row>
    <row r="50" spans="1:13" x14ac:dyDescent="0.3">
      <c r="A50" s="191"/>
      <c r="B50" s="191"/>
      <c r="C50" s="191"/>
      <c r="D50" s="191"/>
      <c r="E50" s="191"/>
      <c r="F50" s="191"/>
      <c r="G50" s="191"/>
      <c r="H50" s="176"/>
      <c r="I50" s="176"/>
      <c r="J50" s="176"/>
      <c r="K50" s="176"/>
      <c r="M50" s="188" t="str">
        <f t="shared" si="1"/>
        <v xml:space="preserve"> </v>
      </c>
    </row>
    <row r="51" spans="1:13" x14ac:dyDescent="0.3">
      <c r="A51" s="191"/>
      <c r="B51" s="191"/>
      <c r="C51" s="191"/>
      <c r="D51" s="191"/>
      <c r="E51" s="191"/>
      <c r="F51" s="191"/>
      <c r="G51" s="191"/>
      <c r="H51" s="176"/>
      <c r="I51" s="176"/>
      <c r="J51" s="176"/>
      <c r="K51" s="176"/>
      <c r="M51" s="188" t="str">
        <f t="shared" si="1"/>
        <v xml:space="preserve"> </v>
      </c>
    </row>
    <row r="52" spans="1:13" x14ac:dyDescent="0.3">
      <c r="A52" s="191"/>
      <c r="B52" s="191"/>
      <c r="C52" s="191"/>
      <c r="D52" s="191"/>
      <c r="E52" s="191"/>
      <c r="F52" s="191"/>
      <c r="G52" s="191"/>
      <c r="H52" s="176"/>
      <c r="I52" s="176"/>
      <c r="J52" s="176"/>
      <c r="K52" s="176"/>
      <c r="M52" s="188" t="str">
        <f t="shared" si="1"/>
        <v xml:space="preserve"> </v>
      </c>
    </row>
    <row r="53" spans="1:13" x14ac:dyDescent="0.3">
      <c r="A53" s="191"/>
      <c r="B53" s="191"/>
      <c r="C53" s="191"/>
      <c r="D53" s="191"/>
      <c r="E53" s="191"/>
      <c r="F53" s="191"/>
      <c r="G53" s="191"/>
      <c r="H53" s="176"/>
      <c r="I53" s="176"/>
      <c r="J53" s="176"/>
      <c r="K53" s="176"/>
      <c r="M53" s="188" t="str">
        <f t="shared" si="1"/>
        <v xml:space="preserve"> </v>
      </c>
    </row>
    <row r="54" spans="1:13" x14ac:dyDescent="0.3">
      <c r="A54" s="191"/>
      <c r="B54" s="191"/>
      <c r="C54" s="191"/>
      <c r="D54" s="191"/>
      <c r="E54" s="191"/>
      <c r="F54" s="191"/>
      <c r="G54" s="191"/>
      <c r="H54" s="176"/>
      <c r="I54" s="176"/>
      <c r="J54" s="176"/>
      <c r="K54" s="176"/>
      <c r="M54" s="188" t="str">
        <f t="shared" si="1"/>
        <v xml:space="preserve"> </v>
      </c>
    </row>
    <row r="55" spans="1:13" x14ac:dyDescent="0.3">
      <c r="A55" s="191"/>
      <c r="B55" s="191"/>
      <c r="C55" s="191"/>
      <c r="D55" s="191"/>
      <c r="E55" s="191"/>
      <c r="F55" s="191"/>
      <c r="G55" s="191"/>
      <c r="H55" s="176"/>
      <c r="I55" s="176"/>
      <c r="J55" s="176"/>
      <c r="K55" s="176"/>
      <c r="M55" s="188" t="str">
        <f t="shared" si="1"/>
        <v xml:space="preserve"> </v>
      </c>
    </row>
    <row r="56" spans="1:13" x14ac:dyDescent="0.3">
      <c r="A56" s="191"/>
      <c r="B56" s="191"/>
      <c r="C56" s="191"/>
      <c r="D56" s="191"/>
      <c r="E56" s="191"/>
      <c r="F56" s="191"/>
      <c r="G56" s="191"/>
      <c r="H56" s="176"/>
      <c r="I56" s="176"/>
      <c r="J56" s="176"/>
      <c r="K56" s="176"/>
      <c r="M56" s="188" t="str">
        <f t="shared" si="1"/>
        <v xml:space="preserve"> </v>
      </c>
    </row>
    <row r="57" spans="1:13" x14ac:dyDescent="0.3">
      <c r="A57" s="191"/>
      <c r="B57" s="191"/>
      <c r="C57" s="191"/>
      <c r="D57" s="191"/>
      <c r="E57" s="191"/>
      <c r="F57" s="191"/>
      <c r="G57" s="191"/>
      <c r="H57" s="176"/>
      <c r="I57" s="176"/>
      <c r="J57" s="176"/>
      <c r="K57" s="176"/>
      <c r="M57" s="188" t="str">
        <f t="shared" si="1"/>
        <v xml:space="preserve"> </v>
      </c>
    </row>
    <row r="58" spans="1:13" x14ac:dyDescent="0.3">
      <c r="A58" s="191"/>
      <c r="B58" s="191"/>
      <c r="C58" s="191"/>
      <c r="D58" s="191"/>
      <c r="E58" s="191"/>
      <c r="F58" s="191"/>
      <c r="G58" s="191"/>
      <c r="H58" s="176"/>
      <c r="I58" s="176"/>
      <c r="J58" s="176"/>
      <c r="K58" s="176"/>
      <c r="M58" s="188" t="str">
        <f t="shared" si="1"/>
        <v xml:space="preserve"> </v>
      </c>
    </row>
    <row r="59" spans="1:13" x14ac:dyDescent="0.3">
      <c r="A59" s="191"/>
      <c r="B59" s="191"/>
      <c r="C59" s="191"/>
      <c r="D59" s="191"/>
      <c r="E59" s="191"/>
      <c r="F59" s="191"/>
      <c r="G59" s="191"/>
      <c r="H59" s="176"/>
      <c r="I59" s="176"/>
      <c r="J59" s="176"/>
      <c r="K59" s="176"/>
      <c r="M59" s="188" t="str">
        <f t="shared" si="1"/>
        <v xml:space="preserve"> </v>
      </c>
    </row>
    <row r="60" spans="1:13" x14ac:dyDescent="0.3">
      <c r="A60" s="191"/>
      <c r="B60" s="191"/>
      <c r="C60" s="191"/>
      <c r="D60" s="191"/>
      <c r="E60" s="191"/>
      <c r="F60" s="191"/>
      <c r="G60" s="191"/>
      <c r="H60" s="176"/>
      <c r="I60" s="176"/>
      <c r="J60" s="176"/>
      <c r="K60" s="176"/>
      <c r="M60" s="188" t="str">
        <f t="shared" si="1"/>
        <v xml:space="preserve"> </v>
      </c>
    </row>
    <row r="61" spans="1:13" x14ac:dyDescent="0.3">
      <c r="A61" s="191"/>
      <c r="B61" s="191"/>
      <c r="C61" s="191"/>
      <c r="D61" s="191"/>
      <c r="E61" s="191"/>
      <c r="F61" s="191"/>
      <c r="G61" s="191"/>
      <c r="H61" s="176"/>
      <c r="I61" s="176"/>
      <c r="J61" s="176"/>
      <c r="K61" s="176"/>
      <c r="M61" s="188" t="str">
        <f t="shared" si="1"/>
        <v xml:space="preserve"> </v>
      </c>
    </row>
    <row r="62" spans="1:13" x14ac:dyDescent="0.3">
      <c r="A62" s="191"/>
      <c r="B62" s="191"/>
      <c r="C62" s="191"/>
      <c r="D62" s="191"/>
      <c r="E62" s="191"/>
      <c r="F62" s="191"/>
      <c r="G62" s="191"/>
      <c r="H62" s="176"/>
      <c r="I62" s="176"/>
      <c r="J62" s="176"/>
      <c r="K62" s="176"/>
      <c r="M62" s="188" t="str">
        <f t="shared" si="1"/>
        <v xml:space="preserve"> </v>
      </c>
    </row>
    <row r="63" spans="1:13" x14ac:dyDescent="0.3">
      <c r="A63" s="191"/>
      <c r="B63" s="191"/>
      <c r="C63" s="191"/>
      <c r="D63" s="191"/>
      <c r="E63" s="191"/>
      <c r="F63" s="191"/>
      <c r="G63" s="191"/>
      <c r="H63" s="176"/>
      <c r="I63" s="176"/>
      <c r="J63" s="176"/>
      <c r="K63" s="176"/>
      <c r="M63" s="188" t="str">
        <f t="shared" si="1"/>
        <v xml:space="preserve"> </v>
      </c>
    </row>
    <row r="64" spans="1:13" x14ac:dyDescent="0.3">
      <c r="A64" s="191"/>
      <c r="B64" s="191"/>
      <c r="C64" s="191"/>
      <c r="D64" s="191"/>
      <c r="E64" s="191"/>
      <c r="F64" s="191"/>
      <c r="G64" s="191"/>
      <c r="H64" s="176"/>
      <c r="I64" s="176"/>
      <c r="J64" s="176"/>
      <c r="K64" s="176"/>
      <c r="M64" s="188" t="str">
        <f t="shared" si="1"/>
        <v xml:space="preserve"> </v>
      </c>
    </row>
    <row r="65" spans="1:13" x14ac:dyDescent="0.3">
      <c r="A65" s="191"/>
      <c r="B65" s="191"/>
      <c r="C65" s="191"/>
      <c r="D65" s="191"/>
      <c r="E65" s="191"/>
      <c r="F65" s="191"/>
      <c r="G65" s="191"/>
      <c r="H65" s="176"/>
      <c r="I65" s="176"/>
      <c r="J65" s="176"/>
      <c r="K65" s="176"/>
      <c r="M65" s="188" t="str">
        <f t="shared" si="1"/>
        <v xml:space="preserve"> </v>
      </c>
    </row>
    <row r="66" spans="1:13" x14ac:dyDescent="0.3">
      <c r="A66" s="191"/>
      <c r="B66" s="191"/>
      <c r="C66" s="191"/>
      <c r="D66" s="191"/>
      <c r="E66" s="191"/>
      <c r="F66" s="191"/>
      <c r="G66" s="191"/>
      <c r="H66" s="176"/>
      <c r="I66" s="176"/>
      <c r="J66" s="176"/>
      <c r="K66" s="176"/>
      <c r="M66" s="188" t="str">
        <f t="shared" ref="M66:M97" si="2">_xlfn.CONCAT(L66," ",F66)</f>
        <v xml:space="preserve"> </v>
      </c>
    </row>
    <row r="67" spans="1:13" x14ac:dyDescent="0.3">
      <c r="A67" s="191"/>
      <c r="B67" s="191"/>
      <c r="C67" s="191"/>
      <c r="D67" s="191"/>
      <c r="E67" s="191"/>
      <c r="F67" s="191"/>
      <c r="G67" s="191"/>
      <c r="H67" s="176"/>
      <c r="I67" s="176"/>
      <c r="J67" s="176"/>
      <c r="K67" s="176"/>
      <c r="M67" s="188" t="str">
        <f t="shared" si="2"/>
        <v xml:space="preserve"> </v>
      </c>
    </row>
    <row r="68" spans="1:13" x14ac:dyDescent="0.3">
      <c r="A68" s="191"/>
      <c r="B68" s="191"/>
      <c r="C68" s="191"/>
      <c r="D68" s="191"/>
      <c r="E68" s="191"/>
      <c r="F68" s="191"/>
      <c r="G68" s="191"/>
      <c r="H68" s="176"/>
      <c r="I68" s="176"/>
      <c r="J68" s="176"/>
      <c r="K68" s="176"/>
      <c r="M68" s="188" t="str">
        <f t="shared" si="2"/>
        <v xml:space="preserve"> </v>
      </c>
    </row>
    <row r="69" spans="1:13" x14ac:dyDescent="0.3">
      <c r="A69" s="191"/>
      <c r="B69" s="191"/>
      <c r="C69" s="191"/>
      <c r="D69" s="191"/>
      <c r="E69" s="191"/>
      <c r="F69" s="191"/>
      <c r="G69" s="191"/>
      <c r="H69" s="176"/>
      <c r="I69" s="176"/>
      <c r="J69" s="176"/>
      <c r="K69" s="176"/>
      <c r="M69" s="188" t="str">
        <f t="shared" si="2"/>
        <v xml:space="preserve"> </v>
      </c>
    </row>
    <row r="70" spans="1:13" x14ac:dyDescent="0.3">
      <c r="A70" s="191"/>
      <c r="B70" s="191"/>
      <c r="C70" s="191"/>
      <c r="D70" s="191"/>
      <c r="E70" s="191"/>
      <c r="F70" s="191"/>
      <c r="G70" s="191"/>
      <c r="H70" s="176"/>
      <c r="I70" s="176"/>
      <c r="J70" s="176"/>
      <c r="K70" s="176"/>
      <c r="M70" s="188" t="str">
        <f t="shared" si="2"/>
        <v xml:space="preserve"> </v>
      </c>
    </row>
    <row r="71" spans="1:13" x14ac:dyDescent="0.3">
      <c r="A71" s="191"/>
      <c r="B71" s="191"/>
      <c r="C71" s="191"/>
      <c r="D71" s="191"/>
      <c r="E71" s="191"/>
      <c r="F71" s="191"/>
      <c r="G71" s="191"/>
      <c r="H71" s="176"/>
      <c r="I71" s="176"/>
      <c r="J71" s="176"/>
      <c r="K71" s="176"/>
      <c r="M71" s="188" t="str">
        <f t="shared" si="2"/>
        <v xml:space="preserve"> </v>
      </c>
    </row>
    <row r="72" spans="1:13" x14ac:dyDescent="0.3">
      <c r="A72" s="191"/>
      <c r="B72" s="191"/>
      <c r="C72" s="191"/>
      <c r="D72" s="191"/>
      <c r="E72" s="191"/>
      <c r="F72" s="191"/>
      <c r="G72" s="191"/>
      <c r="H72" s="176"/>
      <c r="I72" s="176"/>
      <c r="J72" s="176"/>
      <c r="K72" s="176"/>
      <c r="M72" s="188" t="str">
        <f t="shared" si="2"/>
        <v xml:space="preserve"> </v>
      </c>
    </row>
    <row r="73" spans="1:13" x14ac:dyDescent="0.3">
      <c r="A73" s="191"/>
      <c r="B73" s="191"/>
      <c r="C73" s="191"/>
      <c r="D73" s="191"/>
      <c r="E73" s="191"/>
      <c r="F73" s="191"/>
      <c r="G73" s="191"/>
      <c r="H73" s="176"/>
      <c r="I73" s="176"/>
      <c r="J73" s="176"/>
      <c r="K73" s="176"/>
      <c r="M73" s="188" t="str">
        <f t="shared" si="2"/>
        <v xml:space="preserve"> </v>
      </c>
    </row>
    <row r="74" spans="1:13" x14ac:dyDescent="0.3">
      <c r="A74" s="191"/>
      <c r="B74" s="191"/>
      <c r="C74" s="191"/>
      <c r="D74" s="191"/>
      <c r="E74" s="191"/>
      <c r="F74" s="191"/>
      <c r="G74" s="191"/>
      <c r="H74" s="176"/>
      <c r="I74" s="176"/>
      <c r="J74" s="176"/>
      <c r="K74" s="176"/>
      <c r="M74" s="188" t="str">
        <f t="shared" si="2"/>
        <v xml:space="preserve"> </v>
      </c>
    </row>
    <row r="75" spans="1:13" x14ac:dyDescent="0.3">
      <c r="A75" s="191"/>
      <c r="B75" s="191"/>
      <c r="C75" s="191"/>
      <c r="D75" s="191"/>
      <c r="E75" s="191"/>
      <c r="F75" s="191"/>
      <c r="G75" s="191"/>
      <c r="H75" s="176"/>
      <c r="I75" s="176"/>
      <c r="J75" s="176"/>
      <c r="K75" s="176"/>
      <c r="M75" s="188" t="str">
        <f t="shared" si="2"/>
        <v xml:space="preserve"> </v>
      </c>
    </row>
    <row r="76" spans="1:13" x14ac:dyDescent="0.3">
      <c r="A76" s="191"/>
      <c r="B76" s="191"/>
      <c r="C76" s="191"/>
      <c r="D76" s="191"/>
      <c r="E76" s="191"/>
      <c r="F76" s="191"/>
      <c r="G76" s="191"/>
      <c r="H76" s="176"/>
      <c r="I76" s="176"/>
      <c r="J76" s="176"/>
      <c r="K76" s="176"/>
      <c r="M76" s="188" t="str">
        <f t="shared" si="2"/>
        <v xml:space="preserve"> </v>
      </c>
    </row>
    <row r="77" spans="1:13" x14ac:dyDescent="0.3">
      <c r="A77" s="191"/>
      <c r="B77" s="191"/>
      <c r="C77" s="191"/>
      <c r="D77" s="191"/>
      <c r="E77" s="191"/>
      <c r="F77" s="191"/>
      <c r="G77" s="191"/>
      <c r="H77" s="176"/>
      <c r="I77" s="176"/>
      <c r="J77" s="176"/>
      <c r="K77" s="176"/>
      <c r="M77" s="188" t="str">
        <f t="shared" si="2"/>
        <v xml:space="preserve"> </v>
      </c>
    </row>
    <row r="78" spans="1:13" x14ac:dyDescent="0.3">
      <c r="A78" s="191"/>
      <c r="B78" s="191"/>
      <c r="C78" s="191"/>
      <c r="D78" s="191"/>
      <c r="E78" s="191"/>
      <c r="F78" s="191"/>
      <c r="G78" s="191"/>
      <c r="H78" s="176"/>
      <c r="I78" s="176"/>
      <c r="J78" s="176"/>
      <c r="K78" s="176"/>
      <c r="M78" s="188" t="str">
        <f t="shared" si="2"/>
        <v xml:space="preserve"> </v>
      </c>
    </row>
    <row r="79" spans="1:13" x14ac:dyDescent="0.3">
      <c r="A79" s="191"/>
      <c r="B79" s="191"/>
      <c r="C79" s="191"/>
      <c r="D79" s="191"/>
      <c r="E79" s="191"/>
      <c r="F79" s="191"/>
      <c r="G79" s="191"/>
      <c r="H79" s="176"/>
      <c r="I79" s="176"/>
      <c r="J79" s="176"/>
      <c r="K79" s="176"/>
      <c r="M79" s="188" t="str">
        <f t="shared" si="2"/>
        <v xml:space="preserve"> </v>
      </c>
    </row>
    <row r="80" spans="1:13" x14ac:dyDescent="0.3">
      <c r="A80" s="191"/>
      <c r="B80" s="191"/>
      <c r="C80" s="191"/>
      <c r="D80" s="191"/>
      <c r="E80" s="191"/>
      <c r="F80" s="191"/>
      <c r="G80" s="191"/>
      <c r="H80" s="176"/>
      <c r="I80" s="176"/>
      <c r="J80" s="176"/>
      <c r="K80" s="176"/>
      <c r="M80" s="188" t="str">
        <f t="shared" si="2"/>
        <v xml:space="preserve"> </v>
      </c>
    </row>
    <row r="81" spans="1:13" x14ac:dyDescent="0.3">
      <c r="A81" s="191"/>
      <c r="B81" s="191"/>
      <c r="C81" s="191"/>
      <c r="D81" s="191"/>
      <c r="E81" s="191"/>
      <c r="F81" s="191"/>
      <c r="G81" s="191"/>
      <c r="H81" s="176"/>
      <c r="I81" s="176"/>
      <c r="J81" s="176"/>
      <c r="K81" s="176"/>
      <c r="M81" s="188" t="str">
        <f t="shared" si="2"/>
        <v xml:space="preserve"> </v>
      </c>
    </row>
    <row r="82" spans="1:13" x14ac:dyDescent="0.3">
      <c r="A82" s="191"/>
      <c r="B82" s="191"/>
      <c r="C82" s="191"/>
      <c r="D82" s="191"/>
      <c r="E82" s="191"/>
      <c r="F82" s="191"/>
      <c r="G82" s="191"/>
      <c r="H82" s="176"/>
      <c r="I82" s="176"/>
      <c r="J82" s="176"/>
      <c r="K82" s="176"/>
      <c r="M82" s="188" t="str">
        <f t="shared" si="2"/>
        <v xml:space="preserve"> </v>
      </c>
    </row>
    <row r="83" spans="1:13" x14ac:dyDescent="0.3">
      <c r="A83" s="191"/>
      <c r="B83" s="191"/>
      <c r="C83" s="191"/>
      <c r="D83" s="191"/>
      <c r="E83" s="191"/>
      <c r="F83" s="191"/>
      <c r="G83" s="191"/>
      <c r="H83" s="176"/>
      <c r="I83" s="176"/>
      <c r="J83" s="176"/>
      <c r="K83" s="176"/>
      <c r="M83" s="188" t="str">
        <f t="shared" si="2"/>
        <v xml:space="preserve"> </v>
      </c>
    </row>
    <row r="84" spans="1:13" x14ac:dyDescent="0.3">
      <c r="A84" s="191"/>
      <c r="B84" s="191"/>
      <c r="C84" s="191"/>
      <c r="D84" s="191"/>
      <c r="E84" s="191"/>
      <c r="F84" s="191"/>
      <c r="G84" s="191"/>
      <c r="H84" s="176"/>
      <c r="I84" s="176"/>
      <c r="J84" s="176"/>
      <c r="K84" s="176"/>
      <c r="M84" s="188" t="str">
        <f t="shared" si="2"/>
        <v xml:space="preserve"> </v>
      </c>
    </row>
    <row r="85" spans="1:13" x14ac:dyDescent="0.3">
      <c r="A85" s="191"/>
      <c r="B85" s="191"/>
      <c r="C85" s="191"/>
      <c r="D85" s="191"/>
      <c r="E85" s="191"/>
      <c r="F85" s="191"/>
      <c r="G85" s="191"/>
      <c r="H85" s="176"/>
      <c r="I85" s="176"/>
      <c r="J85" s="176"/>
      <c r="K85" s="176"/>
      <c r="M85" s="188" t="str">
        <f t="shared" si="2"/>
        <v xml:space="preserve"> </v>
      </c>
    </row>
    <row r="86" spans="1:13" x14ac:dyDescent="0.3">
      <c r="A86" s="191"/>
      <c r="B86" s="191"/>
      <c r="C86" s="191"/>
      <c r="D86" s="191"/>
      <c r="E86" s="191"/>
      <c r="F86" s="191"/>
      <c r="G86" s="191"/>
      <c r="H86" s="176"/>
      <c r="I86" s="176"/>
      <c r="J86" s="176"/>
      <c r="K86" s="176"/>
      <c r="M86" s="188" t="str">
        <f t="shared" si="2"/>
        <v xml:space="preserve"> </v>
      </c>
    </row>
    <row r="87" spans="1:13" x14ac:dyDescent="0.3">
      <c r="A87" s="191"/>
      <c r="B87" s="191"/>
      <c r="C87" s="191"/>
      <c r="D87" s="191"/>
      <c r="E87" s="191"/>
      <c r="F87" s="191"/>
      <c r="G87" s="191"/>
      <c r="H87" s="176"/>
      <c r="I87" s="176"/>
      <c r="J87" s="176"/>
      <c r="K87" s="176"/>
      <c r="M87" s="188" t="str">
        <f t="shared" si="2"/>
        <v xml:space="preserve"> </v>
      </c>
    </row>
    <row r="88" spans="1:13" x14ac:dyDescent="0.3">
      <c r="A88" s="191"/>
      <c r="B88" s="191"/>
      <c r="C88" s="191"/>
      <c r="D88" s="191"/>
      <c r="E88" s="191"/>
      <c r="F88" s="191"/>
      <c r="G88" s="191"/>
      <c r="H88" s="176"/>
      <c r="I88" s="176"/>
      <c r="J88" s="176"/>
      <c r="K88" s="176"/>
      <c r="M88" s="188" t="str">
        <f t="shared" si="2"/>
        <v xml:space="preserve"> </v>
      </c>
    </row>
    <row r="89" spans="1:13" x14ac:dyDescent="0.3">
      <c r="A89" s="191"/>
      <c r="B89" s="191"/>
      <c r="C89" s="191"/>
      <c r="D89" s="191"/>
      <c r="E89" s="191"/>
      <c r="F89" s="191"/>
      <c r="G89" s="191"/>
      <c r="H89" s="176"/>
      <c r="I89" s="176"/>
      <c r="J89" s="176"/>
      <c r="K89" s="176"/>
      <c r="M89" s="188" t="str">
        <f t="shared" si="2"/>
        <v xml:space="preserve"> </v>
      </c>
    </row>
    <row r="90" spans="1:13" x14ac:dyDescent="0.3">
      <c r="A90" s="191"/>
      <c r="B90" s="191"/>
      <c r="C90" s="191"/>
      <c r="D90" s="191"/>
      <c r="E90" s="191"/>
      <c r="F90" s="191"/>
      <c r="G90" s="191"/>
      <c r="H90" s="176"/>
      <c r="I90" s="176"/>
      <c r="J90" s="176"/>
      <c r="K90" s="176"/>
      <c r="M90" s="188" t="str">
        <f t="shared" si="2"/>
        <v xml:space="preserve"> </v>
      </c>
    </row>
    <row r="91" spans="1:13" x14ac:dyDescent="0.3">
      <c r="A91" s="191"/>
      <c r="B91" s="191"/>
      <c r="C91" s="191"/>
      <c r="D91" s="191"/>
      <c r="E91" s="191"/>
      <c r="F91" s="191"/>
      <c r="G91" s="191"/>
      <c r="H91" s="176"/>
      <c r="I91" s="176"/>
      <c r="J91" s="176"/>
      <c r="K91" s="176"/>
      <c r="M91" s="188" t="str">
        <f t="shared" si="2"/>
        <v xml:space="preserve"> </v>
      </c>
    </row>
    <row r="92" spans="1:13" x14ac:dyDescent="0.3">
      <c r="A92" s="191"/>
      <c r="B92" s="191"/>
      <c r="C92" s="191"/>
      <c r="D92" s="191"/>
      <c r="E92" s="191"/>
      <c r="F92" s="191"/>
      <c r="G92" s="191"/>
      <c r="H92" s="176"/>
      <c r="I92" s="176"/>
      <c r="J92" s="176"/>
      <c r="K92" s="176"/>
      <c r="M92" s="188" t="str">
        <f t="shared" si="2"/>
        <v xml:space="preserve"> </v>
      </c>
    </row>
    <row r="93" spans="1:13" x14ac:dyDescent="0.3">
      <c r="A93" s="191"/>
      <c r="B93" s="191"/>
      <c r="C93" s="191"/>
      <c r="D93" s="191"/>
      <c r="E93" s="191"/>
      <c r="F93" s="191"/>
      <c r="G93" s="191"/>
      <c r="H93" s="176"/>
      <c r="I93" s="176"/>
      <c r="J93" s="176"/>
      <c r="K93" s="176"/>
      <c r="M93" s="188" t="str">
        <f t="shared" si="2"/>
        <v xml:space="preserve"> </v>
      </c>
    </row>
    <row r="94" spans="1:13" x14ac:dyDescent="0.3">
      <c r="A94" s="191"/>
      <c r="B94" s="191"/>
      <c r="C94" s="191"/>
      <c r="D94" s="191"/>
      <c r="E94" s="191"/>
      <c r="F94" s="191"/>
      <c r="G94" s="191"/>
      <c r="H94" s="176"/>
      <c r="I94" s="176"/>
      <c r="J94" s="176"/>
      <c r="K94" s="176"/>
      <c r="M94" s="188" t="str">
        <f t="shared" si="2"/>
        <v xml:space="preserve"> </v>
      </c>
    </row>
    <row r="95" spans="1:13" x14ac:dyDescent="0.3">
      <c r="A95" s="191"/>
      <c r="B95" s="191"/>
      <c r="C95" s="191"/>
      <c r="D95" s="191"/>
      <c r="E95" s="191"/>
      <c r="F95" s="191"/>
      <c r="G95" s="191"/>
      <c r="H95" s="176"/>
      <c r="I95" s="176"/>
      <c r="J95" s="176"/>
      <c r="K95" s="176"/>
      <c r="M95" s="188" t="str">
        <f t="shared" si="2"/>
        <v xml:space="preserve"> </v>
      </c>
    </row>
    <row r="96" spans="1:13" x14ac:dyDescent="0.3">
      <c r="A96" s="191"/>
      <c r="B96" s="191"/>
      <c r="C96" s="191"/>
      <c r="D96" s="191"/>
      <c r="E96" s="191"/>
      <c r="F96" s="191"/>
      <c r="G96" s="191"/>
      <c r="H96" s="176"/>
      <c r="I96" s="176"/>
      <c r="J96" s="176"/>
      <c r="K96" s="176"/>
      <c r="M96" s="188" t="str">
        <f t="shared" si="2"/>
        <v xml:space="preserve"> </v>
      </c>
    </row>
    <row r="97" spans="1:13" x14ac:dyDescent="0.3">
      <c r="A97" s="191"/>
      <c r="B97" s="191"/>
      <c r="C97" s="191"/>
      <c r="D97" s="191"/>
      <c r="E97" s="191"/>
      <c r="F97" s="191"/>
      <c r="G97" s="191"/>
      <c r="H97" s="176"/>
      <c r="I97" s="176"/>
      <c r="J97" s="176"/>
      <c r="K97" s="176"/>
      <c r="M97" s="188" t="str">
        <f t="shared" si="2"/>
        <v xml:space="preserve"> </v>
      </c>
    </row>
    <row r="98" spans="1:13" x14ac:dyDescent="0.3">
      <c r="A98" s="191"/>
      <c r="B98" s="191"/>
      <c r="C98" s="191"/>
      <c r="D98" s="191"/>
      <c r="E98" s="191"/>
      <c r="F98" s="191"/>
      <c r="G98" s="191"/>
      <c r="H98" s="176"/>
      <c r="I98" s="176"/>
      <c r="J98" s="176"/>
      <c r="K98" s="176"/>
      <c r="M98" s="188" t="str">
        <f t="shared" ref="M98:M129" si="3">_xlfn.CONCAT(L98," ",F98)</f>
        <v xml:space="preserve"> </v>
      </c>
    </row>
    <row r="99" spans="1:13" x14ac:dyDescent="0.3">
      <c r="A99" s="191"/>
      <c r="B99" s="191"/>
      <c r="C99" s="191"/>
      <c r="D99" s="191"/>
      <c r="E99" s="191"/>
      <c r="F99" s="191"/>
      <c r="G99" s="191"/>
      <c r="H99" s="176"/>
      <c r="I99" s="176"/>
      <c r="J99" s="176"/>
      <c r="K99" s="176"/>
      <c r="M99" s="188" t="str">
        <f t="shared" si="3"/>
        <v xml:space="preserve"> </v>
      </c>
    </row>
    <row r="100" spans="1:13" x14ac:dyDescent="0.3">
      <c r="A100" s="191"/>
      <c r="B100" s="191"/>
      <c r="C100" s="191"/>
      <c r="D100" s="191"/>
      <c r="E100" s="191"/>
      <c r="F100" s="191"/>
      <c r="G100" s="191"/>
      <c r="H100" s="176"/>
      <c r="I100" s="176"/>
      <c r="J100" s="176"/>
      <c r="K100" s="176"/>
      <c r="M100" s="188" t="str">
        <f t="shared" si="3"/>
        <v xml:space="preserve"> </v>
      </c>
    </row>
    <row r="101" spans="1:13" x14ac:dyDescent="0.3">
      <c r="A101" s="191"/>
      <c r="B101" s="191"/>
      <c r="C101" s="191"/>
      <c r="D101" s="191"/>
      <c r="E101" s="191"/>
      <c r="F101" s="191"/>
      <c r="G101" s="191"/>
      <c r="H101" s="176"/>
      <c r="I101" s="176"/>
      <c r="J101" s="176"/>
      <c r="K101" s="176"/>
      <c r="M101" s="188" t="str">
        <f t="shared" si="3"/>
        <v xml:space="preserve"> </v>
      </c>
    </row>
    <row r="102" spans="1:13" x14ac:dyDescent="0.3">
      <c r="A102" s="191"/>
      <c r="B102" s="191"/>
      <c r="C102" s="191"/>
      <c r="D102" s="191"/>
      <c r="E102" s="191"/>
      <c r="F102" s="191"/>
      <c r="G102" s="191"/>
      <c r="H102" s="176"/>
      <c r="I102" s="176"/>
      <c r="J102" s="176"/>
      <c r="K102" s="176"/>
      <c r="M102" s="188" t="str">
        <f t="shared" si="3"/>
        <v xml:space="preserve"> </v>
      </c>
    </row>
    <row r="103" spans="1:13" x14ac:dyDescent="0.3">
      <c r="A103" s="191"/>
      <c r="B103" s="191"/>
      <c r="C103" s="191"/>
      <c r="D103" s="191"/>
      <c r="E103" s="191"/>
      <c r="F103" s="191"/>
      <c r="G103" s="191"/>
      <c r="H103" s="176"/>
      <c r="I103" s="176"/>
      <c r="J103" s="176"/>
      <c r="K103" s="176"/>
      <c r="M103" s="188" t="str">
        <f t="shared" si="3"/>
        <v xml:space="preserve"> </v>
      </c>
    </row>
    <row r="104" spans="1:13" x14ac:dyDescent="0.3">
      <c r="A104" s="191"/>
      <c r="B104" s="191"/>
      <c r="C104" s="191"/>
      <c r="D104" s="191"/>
      <c r="E104" s="191"/>
      <c r="F104" s="191"/>
      <c r="G104" s="191"/>
      <c r="H104" s="176"/>
      <c r="I104" s="176"/>
      <c r="J104" s="176"/>
      <c r="K104" s="176"/>
      <c r="M104" s="188" t="str">
        <f t="shared" si="3"/>
        <v xml:space="preserve"> </v>
      </c>
    </row>
    <row r="105" spans="1:13" x14ac:dyDescent="0.3">
      <c r="A105" s="191"/>
      <c r="B105" s="191"/>
      <c r="C105" s="191"/>
      <c r="D105" s="191"/>
      <c r="E105" s="191"/>
      <c r="F105" s="191"/>
      <c r="G105" s="191"/>
      <c r="H105" s="176"/>
      <c r="I105" s="176"/>
      <c r="J105" s="176"/>
      <c r="K105" s="176"/>
      <c r="M105" s="188" t="str">
        <f t="shared" si="3"/>
        <v xml:space="preserve"> </v>
      </c>
    </row>
    <row r="106" spans="1:13" x14ac:dyDescent="0.3">
      <c r="A106" s="191"/>
      <c r="B106" s="191"/>
      <c r="C106" s="191"/>
      <c r="D106" s="191"/>
      <c r="E106" s="191"/>
      <c r="F106" s="191"/>
      <c r="G106" s="191"/>
      <c r="H106" s="176"/>
      <c r="I106" s="176"/>
      <c r="J106" s="176"/>
      <c r="K106" s="176"/>
      <c r="M106" s="188" t="str">
        <f t="shared" si="3"/>
        <v xml:space="preserve"> </v>
      </c>
    </row>
    <row r="107" spans="1:13" x14ac:dyDescent="0.3">
      <c r="A107" s="191"/>
      <c r="B107" s="191"/>
      <c r="C107" s="191"/>
      <c r="D107" s="191"/>
      <c r="E107" s="191"/>
      <c r="F107" s="191"/>
      <c r="G107" s="191"/>
      <c r="H107" s="176"/>
      <c r="I107" s="176"/>
      <c r="J107" s="176"/>
      <c r="K107" s="176"/>
      <c r="M107" s="188" t="str">
        <f t="shared" si="3"/>
        <v xml:space="preserve"> </v>
      </c>
    </row>
    <row r="108" spans="1:13" x14ac:dyDescent="0.3">
      <c r="A108" s="191"/>
      <c r="B108" s="191"/>
      <c r="C108" s="191"/>
      <c r="D108" s="191"/>
      <c r="E108" s="191"/>
      <c r="F108" s="191"/>
      <c r="G108" s="191"/>
      <c r="H108" s="176"/>
      <c r="I108" s="176"/>
      <c r="J108" s="176"/>
      <c r="K108" s="176"/>
      <c r="M108" s="188" t="str">
        <f t="shared" si="3"/>
        <v xml:space="preserve"> </v>
      </c>
    </row>
    <row r="109" spans="1:13" x14ac:dyDescent="0.3">
      <c r="A109" s="191"/>
      <c r="B109" s="191"/>
      <c r="C109" s="191"/>
      <c r="D109" s="191"/>
      <c r="E109" s="191"/>
      <c r="F109" s="191"/>
      <c r="G109" s="191"/>
      <c r="H109" s="176"/>
      <c r="I109" s="176"/>
      <c r="J109" s="176"/>
      <c r="K109" s="176"/>
      <c r="M109" s="188" t="str">
        <f t="shared" si="3"/>
        <v xml:space="preserve"> </v>
      </c>
    </row>
    <row r="110" spans="1:13" x14ac:dyDescent="0.3">
      <c r="A110" s="191"/>
      <c r="B110" s="191"/>
      <c r="C110" s="191"/>
      <c r="D110" s="191"/>
      <c r="E110" s="191"/>
      <c r="F110" s="191"/>
      <c r="G110" s="191"/>
      <c r="H110" s="176"/>
      <c r="I110" s="176"/>
      <c r="J110" s="176"/>
      <c r="K110" s="176"/>
      <c r="M110" s="188" t="str">
        <f t="shared" si="3"/>
        <v xml:space="preserve"> </v>
      </c>
    </row>
    <row r="111" spans="1:13" x14ac:dyDescent="0.3">
      <c r="A111" s="191"/>
      <c r="B111" s="191"/>
      <c r="C111" s="191"/>
      <c r="D111" s="191"/>
      <c r="E111" s="191"/>
      <c r="F111" s="191"/>
      <c r="G111" s="191"/>
      <c r="H111" s="176"/>
      <c r="I111" s="176"/>
      <c r="J111" s="176"/>
      <c r="K111" s="176"/>
      <c r="M111" s="188" t="str">
        <f t="shared" si="3"/>
        <v xml:space="preserve"> </v>
      </c>
    </row>
    <row r="112" spans="1:13" x14ac:dyDescent="0.3">
      <c r="A112" s="191"/>
      <c r="B112" s="191"/>
      <c r="C112" s="191"/>
      <c r="D112" s="191"/>
      <c r="E112" s="191"/>
      <c r="F112" s="191"/>
      <c r="G112" s="191"/>
      <c r="H112" s="176"/>
      <c r="I112" s="176"/>
      <c r="J112" s="176"/>
      <c r="K112" s="176"/>
      <c r="M112" s="188" t="str">
        <f t="shared" si="3"/>
        <v xml:space="preserve"> </v>
      </c>
    </row>
    <row r="113" spans="1:13" x14ac:dyDescent="0.3">
      <c r="A113" s="191"/>
      <c r="B113" s="191"/>
      <c r="C113" s="191"/>
      <c r="D113" s="191"/>
      <c r="E113" s="191"/>
      <c r="F113" s="191"/>
      <c r="G113" s="191"/>
      <c r="H113" s="176"/>
      <c r="I113" s="176"/>
      <c r="J113" s="176"/>
      <c r="K113" s="176"/>
      <c r="M113" s="188" t="str">
        <f t="shared" si="3"/>
        <v xml:space="preserve"> </v>
      </c>
    </row>
    <row r="114" spans="1:13" x14ac:dyDescent="0.3">
      <c r="A114" s="191"/>
      <c r="B114" s="191"/>
      <c r="C114" s="191"/>
      <c r="D114" s="191"/>
      <c r="E114" s="191"/>
      <c r="F114" s="191"/>
      <c r="G114" s="191"/>
      <c r="H114" s="176"/>
      <c r="I114" s="176"/>
      <c r="J114" s="176"/>
      <c r="K114" s="176"/>
      <c r="M114" s="188" t="str">
        <f t="shared" si="3"/>
        <v xml:space="preserve"> </v>
      </c>
    </row>
    <row r="115" spans="1:13" x14ac:dyDescent="0.3">
      <c r="A115" s="191"/>
      <c r="B115" s="191"/>
      <c r="C115" s="191"/>
      <c r="D115" s="191"/>
      <c r="E115" s="191"/>
      <c r="F115" s="191"/>
      <c r="G115" s="191"/>
      <c r="H115" s="176"/>
      <c r="I115" s="176"/>
      <c r="J115" s="176"/>
      <c r="K115" s="176"/>
      <c r="M115" s="188" t="str">
        <f t="shared" si="3"/>
        <v xml:space="preserve"> </v>
      </c>
    </row>
    <row r="116" spans="1:13" x14ac:dyDescent="0.3">
      <c r="A116" s="191"/>
      <c r="B116" s="191"/>
      <c r="C116" s="191"/>
      <c r="D116" s="191"/>
      <c r="E116" s="191"/>
      <c r="F116" s="191"/>
      <c r="G116" s="191"/>
      <c r="H116" s="176"/>
      <c r="I116" s="176"/>
      <c r="J116" s="176"/>
      <c r="K116" s="176"/>
      <c r="M116" s="188" t="str">
        <f t="shared" si="3"/>
        <v xml:space="preserve"> </v>
      </c>
    </row>
    <row r="117" spans="1:13" x14ac:dyDescent="0.3">
      <c r="A117" s="191"/>
      <c r="B117" s="191"/>
      <c r="C117" s="191"/>
      <c r="D117" s="191"/>
      <c r="E117" s="191"/>
      <c r="F117" s="191"/>
      <c r="G117" s="191"/>
      <c r="H117" s="176"/>
      <c r="I117" s="176"/>
      <c r="J117" s="176"/>
      <c r="K117" s="176"/>
      <c r="M117" s="188" t="str">
        <f t="shared" si="3"/>
        <v xml:space="preserve"> </v>
      </c>
    </row>
    <row r="118" spans="1:13" x14ac:dyDescent="0.3">
      <c r="A118" s="191"/>
      <c r="B118" s="191"/>
      <c r="C118" s="191"/>
      <c r="D118" s="191"/>
      <c r="E118" s="191"/>
      <c r="F118" s="191"/>
      <c r="G118" s="191"/>
      <c r="H118" s="176"/>
      <c r="I118" s="176"/>
      <c r="J118" s="176"/>
      <c r="K118" s="176"/>
      <c r="M118" s="188" t="str">
        <f t="shared" si="3"/>
        <v xml:space="preserve"> </v>
      </c>
    </row>
    <row r="119" spans="1:13" x14ac:dyDescent="0.3">
      <c r="A119" s="191"/>
      <c r="B119" s="191"/>
      <c r="C119" s="191"/>
      <c r="D119" s="191"/>
      <c r="E119" s="191"/>
      <c r="F119" s="191"/>
      <c r="G119" s="191"/>
      <c r="H119" s="176"/>
      <c r="I119" s="176"/>
      <c r="J119" s="176"/>
      <c r="K119" s="176"/>
      <c r="M119" s="188" t="str">
        <f t="shared" si="3"/>
        <v xml:space="preserve"> </v>
      </c>
    </row>
    <row r="120" spans="1:13" x14ac:dyDescent="0.3">
      <c r="A120" s="191"/>
      <c r="B120" s="191"/>
      <c r="C120" s="191"/>
      <c r="D120" s="191"/>
      <c r="E120" s="191"/>
      <c r="F120" s="191"/>
      <c r="G120" s="191"/>
      <c r="H120" s="176"/>
      <c r="I120" s="176"/>
      <c r="J120" s="176"/>
      <c r="K120" s="176"/>
      <c r="M120" s="188" t="str">
        <f t="shared" si="3"/>
        <v xml:space="preserve"> </v>
      </c>
    </row>
    <row r="121" spans="1:13" x14ac:dyDescent="0.3">
      <c r="A121" s="191"/>
      <c r="B121" s="191"/>
      <c r="C121" s="191"/>
      <c r="D121" s="191"/>
      <c r="E121" s="191"/>
      <c r="F121" s="191"/>
      <c r="G121" s="191"/>
      <c r="H121" s="176"/>
      <c r="I121" s="176"/>
      <c r="J121" s="176"/>
      <c r="K121" s="176"/>
      <c r="M121" s="188" t="str">
        <f t="shared" si="3"/>
        <v xml:space="preserve"> </v>
      </c>
    </row>
    <row r="122" spans="1:13" x14ac:dyDescent="0.3">
      <c r="A122" s="191"/>
      <c r="B122" s="191"/>
      <c r="C122" s="191"/>
      <c r="D122" s="191"/>
      <c r="E122" s="191"/>
      <c r="F122" s="191"/>
      <c r="G122" s="191"/>
      <c r="H122" s="176"/>
      <c r="I122" s="176"/>
      <c r="J122" s="176"/>
      <c r="K122" s="176"/>
      <c r="M122" s="188" t="str">
        <f t="shared" si="3"/>
        <v xml:space="preserve"> </v>
      </c>
    </row>
    <row r="123" spans="1:13" x14ac:dyDescent="0.3">
      <c r="A123" s="191"/>
      <c r="B123" s="191"/>
      <c r="C123" s="191"/>
      <c r="D123" s="191"/>
      <c r="E123" s="191"/>
      <c r="F123" s="191"/>
      <c r="G123" s="191"/>
      <c r="H123" s="176"/>
      <c r="I123" s="176"/>
      <c r="J123" s="176"/>
      <c r="K123" s="176"/>
      <c r="M123" s="188" t="str">
        <f t="shared" si="3"/>
        <v xml:space="preserve"> </v>
      </c>
    </row>
    <row r="124" spans="1:13" x14ac:dyDescent="0.3">
      <c r="A124" s="191"/>
      <c r="B124" s="191"/>
      <c r="C124" s="191"/>
      <c r="D124" s="191"/>
      <c r="E124" s="191"/>
      <c r="F124" s="191"/>
      <c r="G124" s="191"/>
      <c r="H124" s="176"/>
      <c r="I124" s="176"/>
      <c r="J124" s="176"/>
      <c r="K124" s="176"/>
      <c r="M124" s="188" t="str">
        <f t="shared" si="3"/>
        <v xml:space="preserve"> </v>
      </c>
    </row>
    <row r="125" spans="1:13" x14ac:dyDescent="0.3">
      <c r="A125" s="191"/>
      <c r="B125" s="191"/>
      <c r="C125" s="191"/>
      <c r="D125" s="191"/>
      <c r="E125" s="191"/>
      <c r="F125" s="191"/>
      <c r="G125" s="191"/>
      <c r="H125" s="176"/>
      <c r="I125" s="176"/>
      <c r="J125" s="176"/>
      <c r="K125" s="176"/>
      <c r="M125" s="188" t="str">
        <f t="shared" si="3"/>
        <v xml:space="preserve"> </v>
      </c>
    </row>
    <row r="126" spans="1:13" x14ac:dyDescent="0.3">
      <c r="A126" s="191"/>
      <c r="B126" s="191"/>
      <c r="C126" s="191"/>
      <c r="D126" s="191"/>
      <c r="E126" s="191"/>
      <c r="F126" s="191"/>
      <c r="G126" s="191"/>
      <c r="H126" s="176"/>
      <c r="I126" s="176"/>
      <c r="J126" s="176"/>
      <c r="K126" s="176"/>
      <c r="M126" s="188" t="str">
        <f t="shared" si="3"/>
        <v xml:space="preserve"> </v>
      </c>
    </row>
    <row r="127" spans="1:13" x14ac:dyDescent="0.3">
      <c r="A127" s="191"/>
      <c r="B127" s="191"/>
      <c r="C127" s="191"/>
      <c r="D127" s="191"/>
      <c r="E127" s="191"/>
      <c r="F127" s="191"/>
      <c r="G127" s="191"/>
      <c r="H127" s="176"/>
      <c r="I127" s="176"/>
      <c r="J127" s="176"/>
      <c r="K127" s="176"/>
      <c r="M127" s="188" t="str">
        <f t="shared" si="3"/>
        <v xml:space="preserve"> </v>
      </c>
    </row>
    <row r="128" spans="1:13" x14ac:dyDescent="0.3">
      <c r="A128" s="191"/>
      <c r="B128" s="191"/>
      <c r="C128" s="191"/>
      <c r="D128" s="191"/>
      <c r="E128" s="191"/>
      <c r="F128" s="191"/>
      <c r="G128" s="191"/>
      <c r="H128" s="176"/>
      <c r="I128" s="176"/>
      <c r="J128" s="176"/>
      <c r="K128" s="176"/>
      <c r="M128" s="188" t="str">
        <f t="shared" si="3"/>
        <v xml:space="preserve"> </v>
      </c>
    </row>
    <row r="129" spans="1:13" x14ac:dyDescent="0.3">
      <c r="A129" s="191"/>
      <c r="B129" s="191"/>
      <c r="C129" s="191"/>
      <c r="D129" s="191"/>
      <c r="E129" s="191"/>
      <c r="F129" s="191"/>
      <c r="G129" s="191"/>
      <c r="H129" s="176"/>
      <c r="I129" s="176"/>
      <c r="J129" s="176"/>
      <c r="K129" s="176"/>
      <c r="M129" s="188" t="str">
        <f t="shared" si="3"/>
        <v xml:space="preserve"> </v>
      </c>
    </row>
    <row r="130" spans="1:13" x14ac:dyDescent="0.3">
      <c r="A130" s="191"/>
      <c r="B130" s="191"/>
      <c r="C130" s="191"/>
      <c r="D130" s="191"/>
      <c r="E130" s="191"/>
      <c r="F130" s="191"/>
      <c r="G130" s="191"/>
      <c r="H130" s="176"/>
      <c r="I130" s="176"/>
      <c r="J130" s="176"/>
      <c r="K130" s="176"/>
      <c r="M130" s="188" t="str">
        <f t="shared" ref="M130:M161" si="4">_xlfn.CONCAT(L130," ",F130)</f>
        <v xml:space="preserve"> </v>
      </c>
    </row>
    <row r="131" spans="1:13" x14ac:dyDescent="0.3">
      <c r="A131" s="191"/>
      <c r="B131" s="191"/>
      <c r="C131" s="191"/>
      <c r="D131" s="191"/>
      <c r="E131" s="191"/>
      <c r="F131" s="191"/>
      <c r="G131" s="191"/>
      <c r="H131" s="176"/>
      <c r="I131" s="176"/>
      <c r="J131" s="176"/>
      <c r="K131" s="176"/>
      <c r="M131" s="188" t="str">
        <f t="shared" si="4"/>
        <v xml:space="preserve"> </v>
      </c>
    </row>
    <row r="132" spans="1:13" x14ac:dyDescent="0.3">
      <c r="A132" s="191"/>
      <c r="B132" s="191"/>
      <c r="C132" s="191"/>
      <c r="D132" s="191"/>
      <c r="E132" s="191"/>
      <c r="F132" s="191"/>
      <c r="G132" s="191"/>
      <c r="H132" s="176"/>
      <c r="I132" s="176"/>
      <c r="J132" s="176"/>
      <c r="K132" s="176"/>
      <c r="M132" s="188" t="str">
        <f t="shared" si="4"/>
        <v xml:space="preserve"> </v>
      </c>
    </row>
    <row r="133" spans="1:13" x14ac:dyDescent="0.3">
      <c r="A133" s="191"/>
      <c r="B133" s="191"/>
      <c r="C133" s="191"/>
      <c r="D133" s="191"/>
      <c r="E133" s="191"/>
      <c r="F133" s="191"/>
      <c r="G133" s="191"/>
      <c r="H133" s="176"/>
      <c r="I133" s="176"/>
      <c r="J133" s="176"/>
      <c r="K133" s="176"/>
      <c r="M133" s="188" t="str">
        <f t="shared" si="4"/>
        <v xml:space="preserve"> </v>
      </c>
    </row>
    <row r="134" spans="1:13" x14ac:dyDescent="0.3">
      <c r="A134" s="191"/>
      <c r="B134" s="191"/>
      <c r="C134" s="191"/>
      <c r="D134" s="191"/>
      <c r="E134" s="191"/>
      <c r="F134" s="191"/>
      <c r="G134" s="191"/>
      <c r="H134" s="176"/>
      <c r="I134" s="176"/>
      <c r="J134" s="176"/>
      <c r="K134" s="176"/>
      <c r="M134" s="188" t="str">
        <f t="shared" si="4"/>
        <v xml:space="preserve"> </v>
      </c>
    </row>
    <row r="135" spans="1:13" x14ac:dyDescent="0.3">
      <c r="A135" s="191"/>
      <c r="B135" s="191"/>
      <c r="C135" s="191"/>
      <c r="D135" s="191"/>
      <c r="E135" s="191"/>
      <c r="F135" s="191"/>
      <c r="G135" s="191"/>
      <c r="H135" s="176"/>
      <c r="I135" s="176"/>
      <c r="J135" s="176"/>
      <c r="K135" s="176"/>
      <c r="M135" s="188" t="str">
        <f t="shared" si="4"/>
        <v xml:space="preserve"> </v>
      </c>
    </row>
    <row r="136" spans="1:13" x14ac:dyDescent="0.3">
      <c r="A136" s="191"/>
      <c r="B136" s="191"/>
      <c r="C136" s="191"/>
      <c r="D136" s="191"/>
      <c r="E136" s="191"/>
      <c r="F136" s="191"/>
      <c r="G136" s="191"/>
      <c r="H136" s="176"/>
      <c r="I136" s="176"/>
      <c r="J136" s="176"/>
      <c r="K136" s="176"/>
      <c r="M136" s="188" t="str">
        <f t="shared" si="4"/>
        <v xml:space="preserve"> </v>
      </c>
    </row>
    <row r="137" spans="1:13" x14ac:dyDescent="0.3">
      <c r="A137" s="191"/>
      <c r="B137" s="191"/>
      <c r="C137" s="191"/>
      <c r="D137" s="191"/>
      <c r="E137" s="191"/>
      <c r="F137" s="191"/>
      <c r="G137" s="191"/>
      <c r="H137" s="176"/>
      <c r="I137" s="176"/>
      <c r="J137" s="176"/>
      <c r="K137" s="176"/>
      <c r="M137" s="188" t="str">
        <f t="shared" si="4"/>
        <v xml:space="preserve"> </v>
      </c>
    </row>
    <row r="138" spans="1:13" x14ac:dyDescent="0.3">
      <c r="A138" s="191"/>
      <c r="B138" s="191"/>
      <c r="C138" s="191"/>
      <c r="D138" s="191"/>
      <c r="E138" s="191"/>
      <c r="F138" s="191"/>
      <c r="G138" s="191"/>
      <c r="H138" s="176"/>
      <c r="I138" s="176"/>
      <c r="J138" s="176"/>
      <c r="K138" s="176"/>
      <c r="M138" s="188" t="str">
        <f t="shared" si="4"/>
        <v xml:space="preserve"> </v>
      </c>
    </row>
    <row r="139" spans="1:13" x14ac:dyDescent="0.3">
      <c r="A139" s="191"/>
      <c r="B139" s="191"/>
      <c r="C139" s="191"/>
      <c r="D139" s="191"/>
      <c r="E139" s="191"/>
      <c r="F139" s="191"/>
      <c r="G139" s="191"/>
      <c r="H139" s="176"/>
      <c r="I139" s="176"/>
      <c r="J139" s="176"/>
      <c r="K139" s="176"/>
      <c r="M139" s="188" t="str">
        <f t="shared" si="4"/>
        <v xml:space="preserve"> </v>
      </c>
    </row>
    <row r="140" spans="1:13" x14ac:dyDescent="0.3">
      <c r="A140" s="191"/>
      <c r="B140" s="191"/>
      <c r="C140" s="191"/>
      <c r="D140" s="191"/>
      <c r="E140" s="191"/>
      <c r="F140" s="191"/>
      <c r="G140" s="191"/>
      <c r="H140" s="176"/>
      <c r="I140" s="176"/>
      <c r="J140" s="176"/>
      <c r="K140" s="176"/>
      <c r="M140" s="188" t="str">
        <f t="shared" si="4"/>
        <v xml:space="preserve"> </v>
      </c>
    </row>
    <row r="141" spans="1:13" x14ac:dyDescent="0.3">
      <c r="A141" s="191"/>
      <c r="B141" s="191"/>
      <c r="C141" s="191"/>
      <c r="D141" s="191"/>
      <c r="E141" s="191"/>
      <c r="F141" s="191"/>
      <c r="G141" s="191"/>
      <c r="H141" s="176"/>
      <c r="I141" s="176"/>
      <c r="J141" s="176"/>
      <c r="K141" s="176"/>
      <c r="M141" s="188" t="str">
        <f t="shared" si="4"/>
        <v xml:space="preserve"> </v>
      </c>
    </row>
    <row r="142" spans="1:13" x14ac:dyDescent="0.3">
      <c r="A142" s="191"/>
      <c r="B142" s="191"/>
      <c r="C142" s="191"/>
      <c r="D142" s="191"/>
      <c r="E142" s="191"/>
      <c r="F142" s="191"/>
      <c r="G142" s="191"/>
      <c r="H142" s="176"/>
      <c r="I142" s="176"/>
      <c r="J142" s="176"/>
      <c r="K142" s="176"/>
      <c r="M142" s="188" t="str">
        <f t="shared" si="4"/>
        <v xml:space="preserve"> </v>
      </c>
    </row>
    <row r="143" spans="1:13" x14ac:dyDescent="0.3">
      <c r="A143" s="191"/>
      <c r="B143" s="191"/>
      <c r="C143" s="191"/>
      <c r="D143" s="191"/>
      <c r="E143" s="191"/>
      <c r="F143" s="191"/>
      <c r="G143" s="191"/>
      <c r="H143" s="176"/>
      <c r="I143" s="176"/>
      <c r="J143" s="176"/>
      <c r="K143" s="176"/>
      <c r="M143" s="188" t="str">
        <f t="shared" si="4"/>
        <v xml:space="preserve"> </v>
      </c>
    </row>
    <row r="144" spans="1:13" x14ac:dyDescent="0.3">
      <c r="A144" s="191"/>
      <c r="B144" s="191"/>
      <c r="C144" s="191"/>
      <c r="D144" s="191"/>
      <c r="E144" s="191"/>
      <c r="F144" s="191"/>
      <c r="G144" s="191"/>
      <c r="H144" s="176"/>
      <c r="I144" s="176"/>
      <c r="J144" s="176"/>
      <c r="K144" s="176"/>
      <c r="M144" s="188" t="str">
        <f t="shared" si="4"/>
        <v xml:space="preserve"> </v>
      </c>
    </row>
    <row r="145" spans="1:13" x14ac:dyDescent="0.3">
      <c r="A145" s="191"/>
      <c r="B145" s="191"/>
      <c r="C145" s="191"/>
      <c r="D145" s="191"/>
      <c r="E145" s="191"/>
      <c r="F145" s="191"/>
      <c r="G145" s="191"/>
      <c r="H145" s="176"/>
      <c r="I145" s="176"/>
      <c r="J145" s="176"/>
      <c r="K145" s="176"/>
      <c r="M145" s="188" t="str">
        <f t="shared" si="4"/>
        <v xml:space="preserve"> </v>
      </c>
    </row>
    <row r="146" spans="1:13" x14ac:dyDescent="0.3">
      <c r="A146" s="191"/>
      <c r="B146" s="191"/>
      <c r="C146" s="191"/>
      <c r="D146" s="191"/>
      <c r="E146" s="191"/>
      <c r="F146" s="191"/>
      <c r="G146" s="191"/>
      <c r="H146" s="176"/>
      <c r="I146" s="176"/>
      <c r="J146" s="176"/>
      <c r="K146" s="176"/>
      <c r="M146" s="188" t="str">
        <f t="shared" si="4"/>
        <v xml:space="preserve"> </v>
      </c>
    </row>
    <row r="147" spans="1:13" x14ac:dyDescent="0.3">
      <c r="A147" s="191"/>
      <c r="B147" s="191"/>
      <c r="C147" s="191"/>
      <c r="D147" s="191"/>
      <c r="E147" s="191"/>
      <c r="F147" s="191"/>
      <c r="G147" s="191"/>
      <c r="H147" s="176"/>
      <c r="I147" s="176"/>
      <c r="J147" s="176"/>
      <c r="K147" s="176"/>
      <c r="M147" s="188" t="str">
        <f t="shared" si="4"/>
        <v xml:space="preserve"> </v>
      </c>
    </row>
    <row r="148" spans="1:13" x14ac:dyDescent="0.3">
      <c r="A148" s="191"/>
      <c r="B148" s="191"/>
      <c r="C148" s="191"/>
      <c r="D148" s="191"/>
      <c r="E148" s="191"/>
      <c r="F148" s="191"/>
      <c r="G148" s="191"/>
      <c r="H148" s="176"/>
      <c r="I148" s="176"/>
      <c r="J148" s="176"/>
      <c r="K148" s="176"/>
      <c r="M148" s="188" t="str">
        <f t="shared" si="4"/>
        <v xml:space="preserve"> </v>
      </c>
    </row>
    <row r="149" spans="1:13" x14ac:dyDescent="0.3">
      <c r="A149" s="191"/>
      <c r="B149" s="191"/>
      <c r="C149" s="191"/>
      <c r="D149" s="191"/>
      <c r="E149" s="191"/>
      <c r="F149" s="191"/>
      <c r="G149" s="191"/>
      <c r="H149" s="176"/>
      <c r="I149" s="176"/>
      <c r="J149" s="176"/>
      <c r="K149" s="176"/>
      <c r="M149" s="188" t="str">
        <f t="shared" si="4"/>
        <v xml:space="preserve"> </v>
      </c>
    </row>
    <row r="150" spans="1:13" x14ac:dyDescent="0.3">
      <c r="A150" s="191"/>
      <c r="B150" s="191"/>
      <c r="C150" s="191"/>
      <c r="D150" s="191"/>
      <c r="E150" s="191"/>
      <c r="F150" s="191"/>
      <c r="G150" s="191"/>
      <c r="H150" s="176"/>
      <c r="I150" s="176"/>
      <c r="J150" s="176"/>
      <c r="K150" s="176"/>
      <c r="M150" s="188" t="str">
        <f t="shared" si="4"/>
        <v xml:space="preserve"> </v>
      </c>
    </row>
    <row r="151" spans="1:13" x14ac:dyDescent="0.3">
      <c r="A151" s="191"/>
      <c r="B151" s="191"/>
      <c r="C151" s="191"/>
      <c r="D151" s="191"/>
      <c r="E151" s="191"/>
      <c r="F151" s="191"/>
      <c r="G151" s="191"/>
      <c r="H151" s="176"/>
      <c r="I151" s="176"/>
      <c r="J151" s="176"/>
      <c r="K151" s="176"/>
      <c r="M151" s="188" t="str">
        <f t="shared" si="4"/>
        <v xml:space="preserve"> </v>
      </c>
    </row>
    <row r="152" spans="1:13" x14ac:dyDescent="0.3">
      <c r="A152" s="191"/>
      <c r="B152" s="191"/>
      <c r="C152" s="191"/>
      <c r="D152" s="191"/>
      <c r="E152" s="191"/>
      <c r="F152" s="191"/>
      <c r="G152" s="191"/>
      <c r="H152" s="176"/>
      <c r="I152" s="176"/>
      <c r="J152" s="176"/>
      <c r="K152" s="176"/>
      <c r="M152" s="188" t="str">
        <f t="shared" si="4"/>
        <v xml:space="preserve"> </v>
      </c>
    </row>
    <row r="153" spans="1:13" x14ac:dyDescent="0.3">
      <c r="A153" s="191"/>
      <c r="B153" s="191"/>
      <c r="C153" s="191"/>
      <c r="D153" s="191"/>
      <c r="E153" s="191"/>
      <c r="F153" s="191"/>
      <c r="G153" s="191"/>
      <c r="H153" s="176"/>
      <c r="I153" s="176"/>
      <c r="J153" s="176"/>
      <c r="K153" s="176"/>
      <c r="M153" s="188" t="str">
        <f t="shared" si="4"/>
        <v xml:space="preserve"> </v>
      </c>
    </row>
    <row r="154" spans="1:13" x14ac:dyDescent="0.3">
      <c r="A154" s="191"/>
      <c r="B154" s="191"/>
      <c r="C154" s="191"/>
      <c r="D154" s="191"/>
      <c r="E154" s="191"/>
      <c r="F154" s="191"/>
      <c r="G154" s="191"/>
      <c r="H154" s="176"/>
      <c r="I154" s="176"/>
      <c r="J154" s="176"/>
      <c r="K154" s="176"/>
      <c r="M154" s="188" t="str">
        <f t="shared" si="4"/>
        <v xml:space="preserve"> </v>
      </c>
    </row>
    <row r="155" spans="1:13" x14ac:dyDescent="0.3">
      <c r="A155" s="191"/>
      <c r="B155" s="191"/>
      <c r="C155" s="191"/>
      <c r="D155" s="191"/>
      <c r="E155" s="191"/>
      <c r="F155" s="191"/>
      <c r="G155" s="191"/>
      <c r="H155" s="176"/>
      <c r="I155" s="176"/>
      <c r="J155" s="176"/>
      <c r="K155" s="176"/>
      <c r="M155" s="188" t="str">
        <f t="shared" si="4"/>
        <v xml:space="preserve"> </v>
      </c>
    </row>
    <row r="156" spans="1:13" x14ac:dyDescent="0.3">
      <c r="A156" s="191"/>
      <c r="B156" s="191"/>
      <c r="C156" s="191"/>
      <c r="D156" s="191"/>
      <c r="E156" s="191"/>
      <c r="F156" s="191"/>
      <c r="G156" s="191"/>
      <c r="H156" s="176"/>
      <c r="I156" s="176"/>
      <c r="J156" s="176"/>
      <c r="K156" s="176"/>
      <c r="M156" s="188" t="str">
        <f t="shared" si="4"/>
        <v xml:space="preserve"> </v>
      </c>
    </row>
    <row r="157" spans="1:13" x14ac:dyDescent="0.3">
      <c r="A157" s="191"/>
      <c r="B157" s="191"/>
      <c r="C157" s="191"/>
      <c r="D157" s="191"/>
      <c r="E157" s="191"/>
      <c r="F157" s="191"/>
      <c r="G157" s="191"/>
      <c r="H157" s="176"/>
      <c r="I157" s="176"/>
      <c r="J157" s="176"/>
      <c r="K157" s="176"/>
      <c r="M157" s="188" t="str">
        <f t="shared" si="4"/>
        <v xml:space="preserve"> </v>
      </c>
    </row>
    <row r="158" spans="1:13" x14ac:dyDescent="0.3">
      <c r="A158" s="191"/>
      <c r="B158" s="191"/>
      <c r="C158" s="191"/>
      <c r="D158" s="191"/>
      <c r="E158" s="191"/>
      <c r="F158" s="191"/>
      <c r="G158" s="191"/>
      <c r="H158" s="176"/>
      <c r="I158" s="176"/>
      <c r="J158" s="176"/>
      <c r="K158" s="176"/>
      <c r="M158" s="188" t="str">
        <f t="shared" si="4"/>
        <v xml:space="preserve"> </v>
      </c>
    </row>
    <row r="159" spans="1:13" x14ac:dyDescent="0.3">
      <c r="A159" s="191"/>
      <c r="B159" s="191"/>
      <c r="C159" s="191"/>
      <c r="D159" s="191"/>
      <c r="E159" s="191"/>
      <c r="F159" s="191"/>
      <c r="G159" s="191"/>
      <c r="H159" s="176"/>
      <c r="I159" s="176"/>
      <c r="J159" s="176"/>
      <c r="K159" s="176"/>
      <c r="M159" s="188" t="str">
        <f t="shared" si="4"/>
        <v xml:space="preserve"> </v>
      </c>
    </row>
    <row r="160" spans="1:13" x14ac:dyDescent="0.3">
      <c r="A160" s="191"/>
      <c r="B160" s="191"/>
      <c r="C160" s="191"/>
      <c r="D160" s="191"/>
      <c r="E160" s="191"/>
      <c r="F160" s="191"/>
      <c r="G160" s="191"/>
      <c r="H160" s="176"/>
      <c r="I160" s="176"/>
      <c r="J160" s="176"/>
      <c r="K160" s="176"/>
      <c r="M160" s="188" t="str">
        <f t="shared" si="4"/>
        <v xml:space="preserve"> </v>
      </c>
    </row>
    <row r="161" spans="1:13" x14ac:dyDescent="0.3">
      <c r="A161" s="191"/>
      <c r="B161" s="191"/>
      <c r="C161" s="191"/>
      <c r="D161" s="191"/>
      <c r="E161" s="191"/>
      <c r="F161" s="191"/>
      <c r="G161" s="191"/>
      <c r="H161" s="176"/>
      <c r="I161" s="176"/>
      <c r="J161" s="176"/>
      <c r="K161" s="176"/>
      <c r="M161" s="188" t="str">
        <f t="shared" si="4"/>
        <v xml:space="preserve"> </v>
      </c>
    </row>
    <row r="162" spans="1:13" x14ac:dyDescent="0.3">
      <c r="A162" s="191"/>
      <c r="B162" s="191"/>
      <c r="C162" s="191"/>
      <c r="D162" s="191"/>
      <c r="E162" s="191"/>
      <c r="F162" s="191"/>
      <c r="G162" s="191"/>
      <c r="H162" s="176"/>
      <c r="I162" s="176"/>
      <c r="J162" s="176"/>
      <c r="K162" s="176"/>
      <c r="M162" s="188" t="str">
        <f t="shared" ref="M162:M193" si="5">_xlfn.CONCAT(L162," ",F162)</f>
        <v xml:space="preserve"> </v>
      </c>
    </row>
    <row r="163" spans="1:13" x14ac:dyDescent="0.3">
      <c r="A163" s="191"/>
      <c r="B163" s="191"/>
      <c r="C163" s="191"/>
      <c r="D163" s="191"/>
      <c r="E163" s="191"/>
      <c r="F163" s="191"/>
      <c r="G163" s="191"/>
      <c r="H163" s="176"/>
      <c r="I163" s="176"/>
      <c r="J163" s="176"/>
      <c r="K163" s="176"/>
      <c r="M163" s="188" t="str">
        <f t="shared" si="5"/>
        <v xml:space="preserve"> </v>
      </c>
    </row>
    <row r="164" spans="1:13" x14ac:dyDescent="0.3">
      <c r="A164" s="191"/>
      <c r="B164" s="191"/>
      <c r="C164" s="191"/>
      <c r="D164" s="191"/>
      <c r="E164" s="191"/>
      <c r="F164" s="191"/>
      <c r="G164" s="191"/>
      <c r="H164" s="176"/>
      <c r="I164" s="176"/>
      <c r="J164" s="176"/>
      <c r="K164" s="176"/>
      <c r="M164" s="188" t="str">
        <f t="shared" si="5"/>
        <v xml:space="preserve"> </v>
      </c>
    </row>
    <row r="165" spans="1:13" x14ac:dyDescent="0.3">
      <c r="A165" s="191"/>
      <c r="B165" s="191"/>
      <c r="C165" s="191"/>
      <c r="D165" s="191"/>
      <c r="E165" s="191"/>
      <c r="F165" s="191"/>
      <c r="G165" s="191"/>
      <c r="H165" s="176"/>
      <c r="I165" s="176"/>
      <c r="J165" s="176"/>
      <c r="K165" s="176"/>
      <c r="M165" s="188" t="str">
        <f t="shared" si="5"/>
        <v xml:space="preserve"> </v>
      </c>
    </row>
    <row r="166" spans="1:13" x14ac:dyDescent="0.3">
      <c r="A166" s="191"/>
      <c r="B166" s="191"/>
      <c r="C166" s="191"/>
      <c r="D166" s="191"/>
      <c r="E166" s="191"/>
      <c r="F166" s="191"/>
      <c r="G166" s="191"/>
      <c r="H166" s="176"/>
      <c r="I166" s="176"/>
      <c r="J166" s="176"/>
      <c r="K166" s="176"/>
      <c r="M166" s="188" t="str">
        <f t="shared" si="5"/>
        <v xml:space="preserve"> </v>
      </c>
    </row>
    <row r="167" spans="1:13" x14ac:dyDescent="0.3">
      <c r="A167" s="191"/>
      <c r="B167" s="191"/>
      <c r="C167" s="191"/>
      <c r="D167" s="191"/>
      <c r="E167" s="191"/>
      <c r="F167" s="191"/>
      <c r="G167" s="191"/>
      <c r="H167" s="176"/>
      <c r="I167" s="176"/>
      <c r="J167" s="176"/>
      <c r="K167" s="176"/>
      <c r="M167" s="188" t="str">
        <f t="shared" si="5"/>
        <v xml:space="preserve"> </v>
      </c>
    </row>
    <row r="168" spans="1:13" x14ac:dyDescent="0.3">
      <c r="A168" s="191"/>
      <c r="B168" s="191"/>
      <c r="C168" s="191"/>
      <c r="D168" s="191"/>
      <c r="E168" s="191"/>
      <c r="F168" s="191"/>
      <c r="G168" s="191"/>
      <c r="H168" s="176"/>
      <c r="I168" s="176"/>
      <c r="J168" s="176"/>
      <c r="K168" s="176"/>
      <c r="M168" s="188" t="str">
        <f t="shared" si="5"/>
        <v xml:space="preserve"> </v>
      </c>
    </row>
    <row r="169" spans="1:13" x14ac:dyDescent="0.3">
      <c r="A169" s="191"/>
      <c r="B169" s="191"/>
      <c r="C169" s="191"/>
      <c r="D169" s="191"/>
      <c r="E169" s="191"/>
      <c r="F169" s="191"/>
      <c r="G169" s="191"/>
      <c r="H169" s="176"/>
      <c r="I169" s="176"/>
      <c r="J169" s="176"/>
      <c r="K169" s="176"/>
      <c r="M169" s="188" t="str">
        <f t="shared" si="5"/>
        <v xml:space="preserve"> </v>
      </c>
    </row>
    <row r="170" spans="1:13" x14ac:dyDescent="0.3">
      <c r="A170" s="191"/>
      <c r="B170" s="191"/>
      <c r="C170" s="191"/>
      <c r="D170" s="191"/>
      <c r="E170" s="191"/>
      <c r="F170" s="191"/>
      <c r="G170" s="191"/>
      <c r="H170" s="176"/>
      <c r="I170" s="176"/>
      <c r="J170" s="176"/>
      <c r="K170" s="176"/>
      <c r="M170" s="188" t="str">
        <f t="shared" si="5"/>
        <v xml:space="preserve"> </v>
      </c>
    </row>
    <row r="171" spans="1:13" x14ac:dyDescent="0.3">
      <c r="A171" s="191"/>
      <c r="B171" s="191"/>
      <c r="C171" s="191"/>
      <c r="D171" s="191"/>
      <c r="E171" s="191"/>
      <c r="F171" s="191"/>
      <c r="G171" s="191"/>
      <c r="H171" s="176"/>
      <c r="I171" s="176"/>
      <c r="J171" s="176"/>
      <c r="K171" s="176"/>
      <c r="M171" s="188" t="str">
        <f t="shared" si="5"/>
        <v xml:space="preserve"> </v>
      </c>
    </row>
    <row r="172" spans="1:13" x14ac:dyDescent="0.3">
      <c r="A172" s="191"/>
      <c r="B172" s="191"/>
      <c r="C172" s="191"/>
      <c r="D172" s="191"/>
      <c r="E172" s="191"/>
      <c r="F172" s="191"/>
      <c r="G172" s="191"/>
      <c r="H172" s="176"/>
      <c r="I172" s="176"/>
      <c r="J172" s="176"/>
      <c r="K172" s="176"/>
      <c r="M172" s="188" t="str">
        <f t="shared" si="5"/>
        <v xml:space="preserve"> </v>
      </c>
    </row>
    <row r="173" spans="1:13" x14ac:dyDescent="0.3">
      <c r="A173" s="191"/>
      <c r="B173" s="191"/>
      <c r="C173" s="191"/>
      <c r="D173" s="191"/>
      <c r="E173" s="191"/>
      <c r="F173" s="191"/>
      <c r="G173" s="191"/>
      <c r="H173" s="176"/>
      <c r="I173" s="176"/>
      <c r="J173" s="176"/>
      <c r="K173" s="176"/>
      <c r="M173" s="188" t="str">
        <f t="shared" si="5"/>
        <v xml:space="preserve"> </v>
      </c>
    </row>
    <row r="174" spans="1:13" x14ac:dyDescent="0.3">
      <c r="A174" s="191"/>
      <c r="B174" s="191"/>
      <c r="C174" s="191"/>
      <c r="D174" s="191"/>
      <c r="E174" s="191"/>
      <c r="F174" s="191"/>
      <c r="G174" s="191"/>
      <c r="H174" s="176"/>
      <c r="I174" s="176"/>
      <c r="J174" s="176"/>
      <c r="K174" s="176"/>
      <c r="M174" s="188" t="str">
        <f t="shared" si="5"/>
        <v xml:space="preserve"> </v>
      </c>
    </row>
    <row r="175" spans="1:13" x14ac:dyDescent="0.3">
      <c r="A175" s="191"/>
      <c r="B175" s="191"/>
      <c r="C175" s="191"/>
      <c r="D175" s="191"/>
      <c r="E175" s="191"/>
      <c r="F175" s="191"/>
      <c r="G175" s="191"/>
      <c r="H175" s="176"/>
      <c r="I175" s="176"/>
      <c r="J175" s="176"/>
      <c r="K175" s="176"/>
      <c r="M175" s="188" t="str">
        <f t="shared" si="5"/>
        <v xml:space="preserve"> </v>
      </c>
    </row>
    <row r="176" spans="1:13" x14ac:dyDescent="0.3">
      <c r="A176" s="191"/>
      <c r="B176" s="191"/>
      <c r="C176" s="191"/>
      <c r="D176" s="191"/>
      <c r="E176" s="191"/>
      <c r="F176" s="191"/>
      <c r="G176" s="191"/>
      <c r="H176" s="176"/>
      <c r="I176" s="176"/>
      <c r="J176" s="176"/>
      <c r="K176" s="176"/>
      <c r="M176" s="188" t="str">
        <f t="shared" si="5"/>
        <v xml:space="preserve"> </v>
      </c>
    </row>
    <row r="177" spans="1:13" x14ac:dyDescent="0.3">
      <c r="A177" s="191"/>
      <c r="B177" s="191"/>
      <c r="C177" s="191"/>
      <c r="D177" s="191"/>
      <c r="E177" s="191"/>
      <c r="F177" s="191"/>
      <c r="G177" s="191"/>
      <c r="H177" s="176"/>
      <c r="I177" s="176"/>
      <c r="J177" s="176"/>
      <c r="K177" s="176"/>
      <c r="M177" s="188" t="str">
        <f t="shared" si="5"/>
        <v xml:space="preserve"> </v>
      </c>
    </row>
    <row r="178" spans="1:13" x14ac:dyDescent="0.3">
      <c r="A178" s="191"/>
      <c r="B178" s="191"/>
      <c r="C178" s="191"/>
      <c r="D178" s="191"/>
      <c r="E178" s="191"/>
      <c r="F178" s="191"/>
      <c r="G178" s="191"/>
      <c r="H178" s="176"/>
      <c r="I178" s="176"/>
      <c r="J178" s="176"/>
      <c r="K178" s="176"/>
      <c r="M178" s="188" t="str">
        <f t="shared" si="5"/>
        <v xml:space="preserve"> </v>
      </c>
    </row>
    <row r="179" spans="1:13" x14ac:dyDescent="0.3">
      <c r="A179" s="191"/>
      <c r="B179" s="191"/>
      <c r="C179" s="191"/>
      <c r="D179" s="191"/>
      <c r="E179" s="191"/>
      <c r="F179" s="191"/>
      <c r="G179" s="191"/>
      <c r="H179" s="176"/>
      <c r="I179" s="176"/>
      <c r="J179" s="176"/>
      <c r="K179" s="176"/>
      <c r="M179" s="188" t="str">
        <f t="shared" si="5"/>
        <v xml:space="preserve"> </v>
      </c>
    </row>
    <row r="180" spans="1:13" x14ac:dyDescent="0.3">
      <c r="A180" s="191"/>
      <c r="B180" s="191"/>
      <c r="C180" s="191"/>
      <c r="D180" s="191"/>
      <c r="E180" s="191"/>
      <c r="F180" s="191"/>
      <c r="G180" s="191"/>
      <c r="H180" s="176"/>
      <c r="I180" s="176"/>
      <c r="J180" s="176"/>
      <c r="K180" s="176"/>
      <c r="M180" s="188" t="str">
        <f t="shared" si="5"/>
        <v xml:space="preserve"> </v>
      </c>
    </row>
    <row r="181" spans="1:13" x14ac:dyDescent="0.3">
      <c r="A181" s="191"/>
      <c r="B181" s="191"/>
      <c r="C181" s="191"/>
      <c r="D181" s="191"/>
      <c r="E181" s="191"/>
      <c r="F181" s="191"/>
      <c r="G181" s="191"/>
      <c r="H181" s="176"/>
      <c r="I181" s="176"/>
      <c r="J181" s="176"/>
      <c r="K181" s="176"/>
      <c r="M181" s="188" t="str">
        <f t="shared" si="5"/>
        <v xml:space="preserve"> </v>
      </c>
    </row>
    <row r="182" spans="1:13" x14ac:dyDescent="0.3">
      <c r="A182" s="191"/>
      <c r="B182" s="191"/>
      <c r="C182" s="191"/>
      <c r="D182" s="191"/>
      <c r="E182" s="191"/>
      <c r="F182" s="191"/>
      <c r="G182" s="191"/>
      <c r="H182" s="176"/>
      <c r="I182" s="176"/>
      <c r="J182" s="176"/>
      <c r="K182" s="176"/>
      <c r="M182" s="188" t="str">
        <f t="shared" si="5"/>
        <v xml:space="preserve"> </v>
      </c>
    </row>
    <row r="183" spans="1:13" x14ac:dyDescent="0.3">
      <c r="A183" s="191"/>
      <c r="B183" s="191"/>
      <c r="C183" s="191"/>
      <c r="D183" s="191"/>
      <c r="E183" s="191"/>
      <c r="F183" s="191"/>
      <c r="G183" s="191"/>
      <c r="H183" s="176"/>
      <c r="I183" s="176"/>
      <c r="J183" s="176"/>
      <c r="K183" s="176"/>
      <c r="M183" s="188" t="str">
        <f t="shared" si="5"/>
        <v xml:space="preserve"> </v>
      </c>
    </row>
    <row r="184" spans="1:13" x14ac:dyDescent="0.3">
      <c r="A184" s="191"/>
      <c r="B184" s="191"/>
      <c r="C184" s="191"/>
      <c r="D184" s="191"/>
      <c r="E184" s="191"/>
      <c r="F184" s="191"/>
      <c r="G184" s="191"/>
      <c r="H184" s="176"/>
      <c r="I184" s="176"/>
      <c r="J184" s="176"/>
      <c r="K184" s="176"/>
      <c r="M184" s="188" t="str">
        <f t="shared" si="5"/>
        <v xml:space="preserve"> </v>
      </c>
    </row>
    <row r="185" spans="1:13" x14ac:dyDescent="0.3">
      <c r="A185" s="191"/>
      <c r="B185" s="191"/>
      <c r="C185" s="191"/>
      <c r="D185" s="191"/>
      <c r="E185" s="191"/>
      <c r="F185" s="191"/>
      <c r="G185" s="191"/>
      <c r="H185" s="176"/>
      <c r="I185" s="176"/>
      <c r="J185" s="176"/>
      <c r="K185" s="176"/>
      <c r="M185" s="188" t="str">
        <f t="shared" si="5"/>
        <v xml:space="preserve"> </v>
      </c>
    </row>
    <row r="186" spans="1:13" x14ac:dyDescent="0.3">
      <c r="A186" s="191"/>
      <c r="B186" s="191"/>
      <c r="C186" s="191"/>
      <c r="D186" s="191"/>
      <c r="E186" s="191"/>
      <c r="F186" s="191"/>
      <c r="G186" s="191"/>
      <c r="H186" s="176"/>
      <c r="I186" s="176"/>
      <c r="J186" s="176"/>
      <c r="K186" s="176"/>
      <c r="M186" s="188" t="str">
        <f t="shared" si="5"/>
        <v xml:space="preserve"> </v>
      </c>
    </row>
    <row r="187" spans="1:13" x14ac:dyDescent="0.3">
      <c r="A187" s="191"/>
      <c r="B187" s="191"/>
      <c r="C187" s="191"/>
      <c r="D187" s="191"/>
      <c r="E187" s="191"/>
      <c r="F187" s="191"/>
      <c r="G187" s="191"/>
      <c r="H187" s="176"/>
      <c r="I187" s="176"/>
      <c r="J187" s="176"/>
      <c r="K187" s="176"/>
      <c r="M187" s="188" t="str">
        <f t="shared" si="5"/>
        <v xml:space="preserve"> </v>
      </c>
    </row>
    <row r="188" spans="1:13" x14ac:dyDescent="0.3">
      <c r="A188" s="191"/>
      <c r="B188" s="191"/>
      <c r="C188" s="191"/>
      <c r="D188" s="191"/>
      <c r="E188" s="191"/>
      <c r="F188" s="191"/>
      <c r="G188" s="191"/>
      <c r="H188" s="176"/>
      <c r="I188" s="176"/>
      <c r="J188" s="176"/>
      <c r="K188" s="176"/>
      <c r="M188" s="188" t="str">
        <f t="shared" si="5"/>
        <v xml:space="preserve"> </v>
      </c>
    </row>
    <row r="189" spans="1:13" x14ac:dyDescent="0.3">
      <c r="A189" s="191"/>
      <c r="B189" s="191"/>
      <c r="C189" s="191"/>
      <c r="D189" s="191"/>
      <c r="E189" s="191"/>
      <c r="F189" s="191"/>
      <c r="G189" s="191"/>
      <c r="H189" s="176"/>
      <c r="I189" s="176"/>
      <c r="J189" s="176"/>
      <c r="K189" s="176"/>
      <c r="M189" s="188" t="str">
        <f t="shared" si="5"/>
        <v xml:space="preserve"> </v>
      </c>
    </row>
    <row r="190" spans="1:13" x14ac:dyDescent="0.3">
      <c r="A190" s="191"/>
      <c r="B190" s="191"/>
      <c r="C190" s="191"/>
      <c r="D190" s="191"/>
      <c r="E190" s="191"/>
      <c r="F190" s="191"/>
      <c r="G190" s="191"/>
      <c r="H190" s="176"/>
      <c r="I190" s="176"/>
      <c r="J190" s="176"/>
      <c r="K190" s="176"/>
      <c r="M190" s="188" t="str">
        <f t="shared" si="5"/>
        <v xml:space="preserve"> </v>
      </c>
    </row>
    <row r="191" spans="1:13" x14ac:dyDescent="0.3">
      <c r="A191" s="191"/>
      <c r="B191" s="191"/>
      <c r="C191" s="191"/>
      <c r="D191" s="191"/>
      <c r="E191" s="191"/>
      <c r="F191" s="191"/>
      <c r="G191" s="191"/>
      <c r="H191" s="176"/>
      <c r="I191" s="176"/>
      <c r="J191" s="176"/>
      <c r="K191" s="176"/>
      <c r="M191" s="188" t="str">
        <f t="shared" si="5"/>
        <v xml:space="preserve"> </v>
      </c>
    </row>
    <row r="192" spans="1:13" x14ac:dyDescent="0.3">
      <c r="A192" s="191"/>
      <c r="B192" s="191"/>
      <c r="C192" s="191"/>
      <c r="D192" s="191"/>
      <c r="E192" s="191"/>
      <c r="F192" s="191"/>
      <c r="G192" s="191"/>
      <c r="H192" s="176"/>
      <c r="I192" s="176"/>
      <c r="J192" s="176"/>
      <c r="K192" s="176"/>
      <c r="M192" s="188" t="str">
        <f t="shared" si="5"/>
        <v xml:space="preserve"> </v>
      </c>
    </row>
    <row r="193" spans="1:13" x14ac:dyDescent="0.3">
      <c r="A193" s="191"/>
      <c r="B193" s="191"/>
      <c r="C193" s="191"/>
      <c r="D193" s="191"/>
      <c r="E193" s="191"/>
      <c r="F193" s="191"/>
      <c r="G193" s="191"/>
      <c r="H193" s="176"/>
      <c r="I193" s="176"/>
      <c r="J193" s="176"/>
      <c r="K193" s="176"/>
      <c r="M193" s="188" t="str">
        <f t="shared" si="5"/>
        <v xml:space="preserve"> </v>
      </c>
    </row>
    <row r="194" spans="1:13" x14ac:dyDescent="0.3">
      <c r="A194" s="191"/>
      <c r="B194" s="191"/>
      <c r="C194" s="191"/>
      <c r="D194" s="191"/>
      <c r="E194" s="191"/>
      <c r="F194" s="191"/>
      <c r="G194" s="191"/>
      <c r="H194" s="176"/>
      <c r="I194" s="176"/>
      <c r="J194" s="176"/>
      <c r="K194" s="176"/>
      <c r="M194" s="188" t="str">
        <f t="shared" ref="M194:M225" si="6">_xlfn.CONCAT(L194," ",F194)</f>
        <v xml:space="preserve"> </v>
      </c>
    </row>
    <row r="195" spans="1:13" x14ac:dyDescent="0.3">
      <c r="A195" s="191"/>
      <c r="B195" s="191"/>
      <c r="C195" s="191"/>
      <c r="D195" s="191"/>
      <c r="E195" s="191"/>
      <c r="F195" s="191"/>
      <c r="G195" s="191"/>
      <c r="H195" s="176"/>
      <c r="I195" s="176"/>
      <c r="J195" s="176"/>
      <c r="K195" s="176"/>
      <c r="M195" s="188" t="str">
        <f t="shared" si="6"/>
        <v xml:space="preserve"> </v>
      </c>
    </row>
    <row r="196" spans="1:13" x14ac:dyDescent="0.3">
      <c r="A196" s="191"/>
      <c r="B196" s="191"/>
      <c r="C196" s="191"/>
      <c r="D196" s="191"/>
      <c r="E196" s="191"/>
      <c r="F196" s="191"/>
      <c r="G196" s="191"/>
      <c r="H196" s="176"/>
      <c r="I196" s="176"/>
      <c r="J196" s="176"/>
      <c r="K196" s="176"/>
      <c r="M196" s="188" t="str">
        <f t="shared" si="6"/>
        <v xml:space="preserve"> </v>
      </c>
    </row>
    <row r="197" spans="1:13" x14ac:dyDescent="0.3">
      <c r="A197" s="191"/>
      <c r="B197" s="191"/>
      <c r="C197" s="191"/>
      <c r="D197" s="191"/>
      <c r="E197" s="191"/>
      <c r="F197" s="191"/>
      <c r="G197" s="191"/>
      <c r="H197" s="176"/>
      <c r="I197" s="176"/>
      <c r="J197" s="176"/>
      <c r="K197" s="176"/>
      <c r="M197" s="188" t="str">
        <f t="shared" si="6"/>
        <v xml:space="preserve"> </v>
      </c>
    </row>
    <row r="198" spans="1:13" x14ac:dyDescent="0.3">
      <c r="A198" s="191"/>
      <c r="B198" s="191"/>
      <c r="C198" s="191"/>
      <c r="D198" s="191"/>
      <c r="E198" s="191"/>
      <c r="F198" s="191"/>
      <c r="G198" s="191"/>
      <c r="H198" s="176"/>
      <c r="I198" s="176"/>
      <c r="J198" s="176"/>
      <c r="K198" s="176"/>
      <c r="M198" s="188" t="str">
        <f t="shared" si="6"/>
        <v xml:space="preserve"> </v>
      </c>
    </row>
    <row r="199" spans="1:13" x14ac:dyDescent="0.3">
      <c r="A199" s="191"/>
      <c r="B199" s="191"/>
      <c r="C199" s="191"/>
      <c r="D199" s="191"/>
      <c r="E199" s="191"/>
      <c r="F199" s="191"/>
      <c r="G199" s="191"/>
      <c r="H199" s="176"/>
      <c r="I199" s="176"/>
      <c r="J199" s="176"/>
      <c r="K199" s="176"/>
      <c r="M199" s="188" t="str">
        <f t="shared" si="6"/>
        <v xml:space="preserve"> </v>
      </c>
    </row>
    <row r="200" spans="1:13" x14ac:dyDescent="0.3">
      <c r="A200" s="191"/>
      <c r="B200" s="191"/>
      <c r="C200" s="191"/>
      <c r="D200" s="191"/>
      <c r="E200" s="191"/>
      <c r="F200" s="191"/>
      <c r="G200" s="191"/>
      <c r="H200" s="176"/>
      <c r="I200" s="176"/>
      <c r="J200" s="176"/>
      <c r="K200" s="176"/>
      <c r="M200" s="188" t="str">
        <f t="shared" si="6"/>
        <v xml:space="preserve"> </v>
      </c>
    </row>
    <row r="201" spans="1:13" x14ac:dyDescent="0.3">
      <c r="A201" s="191"/>
      <c r="B201" s="191"/>
      <c r="C201" s="191"/>
      <c r="D201" s="191"/>
      <c r="E201" s="191"/>
      <c r="F201" s="191"/>
      <c r="G201" s="191"/>
      <c r="H201" s="176"/>
      <c r="I201" s="176"/>
      <c r="J201" s="176"/>
      <c r="K201" s="176"/>
    </row>
    <row r="202" spans="1:13" x14ac:dyDescent="0.3">
      <c r="A202" s="191"/>
      <c r="B202" s="191"/>
      <c r="C202" s="191"/>
      <c r="D202" s="191"/>
      <c r="E202" s="191"/>
      <c r="F202" s="191"/>
      <c r="G202" s="191"/>
      <c r="H202" s="176"/>
      <c r="I202" s="176"/>
      <c r="J202" s="176"/>
      <c r="K202" s="176"/>
    </row>
    <row r="203" spans="1:13" x14ac:dyDescent="0.3">
      <c r="A203" s="191"/>
      <c r="B203" s="191"/>
      <c r="C203" s="191"/>
      <c r="D203" s="191"/>
      <c r="E203" s="191"/>
      <c r="F203" s="191"/>
      <c r="G203" s="191"/>
      <c r="H203" s="176"/>
      <c r="I203" s="176"/>
      <c r="J203" s="176"/>
      <c r="K203" s="176"/>
    </row>
    <row r="204" spans="1:13" x14ac:dyDescent="0.3">
      <c r="A204" s="191"/>
      <c r="B204" s="191"/>
      <c r="C204" s="191"/>
      <c r="D204" s="191"/>
      <c r="E204" s="191"/>
      <c r="F204" s="191"/>
      <c r="G204" s="191"/>
      <c r="H204" s="176"/>
      <c r="I204" s="176"/>
      <c r="J204" s="176"/>
      <c r="K204" s="176"/>
    </row>
    <row r="205" spans="1:13" x14ac:dyDescent="0.3">
      <c r="A205" s="191"/>
      <c r="B205" s="191"/>
      <c r="C205" s="191"/>
      <c r="D205" s="191"/>
      <c r="E205" s="191"/>
      <c r="F205" s="191"/>
      <c r="G205" s="191"/>
      <c r="H205" s="176"/>
      <c r="I205" s="176"/>
      <c r="J205" s="176"/>
      <c r="K205" s="176"/>
    </row>
    <row r="206" spans="1:13" x14ac:dyDescent="0.3">
      <c r="A206" s="191"/>
      <c r="B206" s="191"/>
      <c r="C206" s="191"/>
      <c r="D206" s="191"/>
      <c r="E206" s="191"/>
      <c r="F206" s="191"/>
      <c r="G206" s="191"/>
      <c r="H206" s="176"/>
      <c r="I206" s="176"/>
      <c r="J206" s="176"/>
      <c r="K206" s="176"/>
    </row>
    <row r="207" spans="1:13" x14ac:dyDescent="0.3">
      <c r="A207" s="191"/>
      <c r="B207" s="191"/>
      <c r="C207" s="191"/>
      <c r="D207" s="191"/>
      <c r="E207" s="191"/>
      <c r="F207" s="191"/>
      <c r="G207" s="191"/>
      <c r="H207" s="176"/>
      <c r="I207" s="176"/>
      <c r="J207" s="176"/>
      <c r="K207" s="176"/>
    </row>
    <row r="208" spans="1:13" x14ac:dyDescent="0.3">
      <c r="A208" s="191"/>
      <c r="B208" s="191"/>
      <c r="C208" s="191"/>
      <c r="D208" s="191"/>
      <c r="E208" s="191"/>
      <c r="F208" s="191"/>
      <c r="G208" s="191"/>
      <c r="H208" s="176"/>
      <c r="I208" s="176"/>
      <c r="J208" s="176"/>
      <c r="K208" s="176"/>
    </row>
    <row r="209" spans="1:11" x14ac:dyDescent="0.3">
      <c r="A209" s="191"/>
      <c r="B209" s="191"/>
      <c r="C209" s="191"/>
      <c r="D209" s="191"/>
      <c r="E209" s="191"/>
      <c r="F209" s="191"/>
      <c r="G209" s="191"/>
      <c r="H209" s="176"/>
      <c r="I209" s="176"/>
      <c r="J209" s="176"/>
      <c r="K209" s="176"/>
    </row>
    <row r="210" spans="1:11" x14ac:dyDescent="0.3">
      <c r="A210" s="191"/>
      <c r="B210" s="191"/>
      <c r="C210" s="191"/>
      <c r="D210" s="191"/>
      <c r="E210" s="191"/>
      <c r="F210" s="191"/>
      <c r="G210" s="191"/>
      <c r="H210" s="176"/>
      <c r="I210" s="176"/>
      <c r="J210" s="176"/>
      <c r="K210" s="176"/>
    </row>
    <row r="211" spans="1:11" x14ac:dyDescent="0.3">
      <c r="A211" s="191"/>
      <c r="B211" s="191"/>
      <c r="C211" s="191"/>
      <c r="D211" s="191"/>
      <c r="E211" s="191"/>
      <c r="F211" s="191"/>
      <c r="G211" s="191"/>
      <c r="H211" s="176"/>
      <c r="I211" s="176"/>
      <c r="J211" s="176"/>
      <c r="K211" s="176"/>
    </row>
    <row r="212" spans="1:11" x14ac:dyDescent="0.3">
      <c r="A212" s="191"/>
      <c r="B212" s="191"/>
      <c r="C212" s="191"/>
      <c r="D212" s="191"/>
      <c r="E212" s="191"/>
      <c r="F212" s="191"/>
      <c r="G212" s="191"/>
      <c r="H212" s="176"/>
      <c r="I212" s="176"/>
      <c r="J212" s="176"/>
      <c r="K212" s="176"/>
    </row>
    <row r="213" spans="1:11" x14ac:dyDescent="0.3">
      <c r="A213" s="191"/>
      <c r="B213" s="191"/>
      <c r="C213" s="191"/>
      <c r="D213" s="191"/>
      <c r="E213" s="191"/>
      <c r="F213" s="191"/>
      <c r="G213" s="191"/>
      <c r="H213" s="176"/>
      <c r="I213" s="176"/>
      <c r="J213" s="176"/>
      <c r="K213" s="176"/>
    </row>
    <row r="214" spans="1:11" x14ac:dyDescent="0.3">
      <c r="A214" s="191"/>
      <c r="B214" s="191"/>
      <c r="C214" s="191"/>
      <c r="D214" s="191"/>
      <c r="E214" s="191"/>
      <c r="F214" s="191"/>
      <c r="G214" s="191"/>
      <c r="H214" s="176"/>
      <c r="I214" s="176"/>
      <c r="J214" s="176"/>
      <c r="K214" s="176"/>
    </row>
    <row r="215" spans="1:11" x14ac:dyDescent="0.3">
      <c r="A215" s="191"/>
      <c r="B215" s="191"/>
      <c r="C215" s="191"/>
      <c r="D215" s="191"/>
      <c r="E215" s="191"/>
      <c r="F215" s="191"/>
      <c r="G215" s="191"/>
      <c r="H215" s="176"/>
      <c r="I215" s="176"/>
      <c r="J215" s="176"/>
      <c r="K215" s="176"/>
    </row>
    <row r="216" spans="1:11" x14ac:dyDescent="0.3">
      <c r="A216" s="191"/>
      <c r="B216" s="191"/>
      <c r="C216" s="191"/>
      <c r="D216" s="191"/>
      <c r="E216" s="191"/>
      <c r="F216" s="191"/>
      <c r="G216" s="191"/>
      <c r="H216" s="176"/>
      <c r="I216" s="176"/>
      <c r="J216" s="176"/>
      <c r="K216" s="176"/>
    </row>
    <row r="217" spans="1:11" x14ac:dyDescent="0.3">
      <c r="A217" s="191"/>
      <c r="B217" s="191"/>
      <c r="C217" s="191"/>
      <c r="D217" s="191"/>
      <c r="E217" s="191"/>
      <c r="F217" s="191"/>
      <c r="G217" s="191"/>
      <c r="H217" s="176"/>
      <c r="I217" s="176"/>
      <c r="J217" s="176"/>
      <c r="K217" s="176"/>
    </row>
    <row r="218" spans="1:11" x14ac:dyDescent="0.3">
      <c r="A218" s="191"/>
      <c r="B218" s="191"/>
      <c r="C218" s="191"/>
      <c r="D218" s="191"/>
      <c r="E218" s="191"/>
      <c r="F218" s="191"/>
      <c r="G218" s="191"/>
      <c r="H218" s="176"/>
      <c r="I218" s="176"/>
      <c r="J218" s="176"/>
      <c r="K218" s="176"/>
    </row>
    <row r="219" spans="1:11" x14ac:dyDescent="0.3">
      <c r="A219" s="191"/>
      <c r="B219" s="191"/>
      <c r="C219" s="191"/>
      <c r="D219" s="191"/>
      <c r="E219" s="191"/>
      <c r="F219" s="191"/>
      <c r="G219" s="191"/>
      <c r="H219" s="176"/>
      <c r="I219" s="176"/>
      <c r="J219" s="176"/>
      <c r="K219" s="176"/>
    </row>
    <row r="220" spans="1:11" x14ac:dyDescent="0.3">
      <c r="A220" s="191"/>
      <c r="B220" s="191"/>
      <c r="C220" s="191"/>
      <c r="D220" s="191"/>
      <c r="E220" s="191"/>
      <c r="F220" s="191"/>
      <c r="G220" s="191"/>
      <c r="H220" s="176"/>
      <c r="I220" s="176"/>
      <c r="J220" s="176"/>
      <c r="K220" s="176"/>
    </row>
    <row r="221" spans="1:11" x14ac:dyDescent="0.3">
      <c r="A221" s="191"/>
      <c r="B221" s="191"/>
      <c r="C221" s="191"/>
      <c r="D221" s="191"/>
      <c r="E221" s="191"/>
      <c r="F221" s="191"/>
      <c r="G221" s="191"/>
      <c r="H221" s="176"/>
      <c r="I221" s="176"/>
      <c r="J221" s="176"/>
      <c r="K221" s="176"/>
    </row>
    <row r="222" spans="1:11" x14ac:dyDescent="0.3">
      <c r="A222" s="191"/>
      <c r="B222" s="191"/>
      <c r="C222" s="191"/>
      <c r="D222" s="191"/>
      <c r="E222" s="191"/>
      <c r="F222" s="191"/>
      <c r="G222" s="191"/>
      <c r="H222" s="176"/>
      <c r="I222" s="176"/>
      <c r="J222" s="176"/>
      <c r="K222" s="176"/>
    </row>
    <row r="223" spans="1:11" x14ac:dyDescent="0.3">
      <c r="A223" s="191"/>
      <c r="B223" s="191"/>
      <c r="C223" s="191"/>
      <c r="D223" s="191"/>
      <c r="E223" s="191"/>
      <c r="F223" s="191"/>
      <c r="G223" s="191"/>
      <c r="H223" s="176"/>
      <c r="I223" s="176"/>
      <c r="J223" s="176"/>
      <c r="K223" s="176"/>
    </row>
    <row r="224" spans="1:11" x14ac:dyDescent="0.3">
      <c r="A224" s="191"/>
      <c r="B224" s="191"/>
      <c r="C224" s="191"/>
      <c r="D224" s="191"/>
      <c r="E224" s="191"/>
      <c r="F224" s="191"/>
      <c r="G224" s="191"/>
      <c r="H224" s="176"/>
      <c r="I224" s="176"/>
      <c r="J224" s="176"/>
      <c r="K224" s="176"/>
    </row>
    <row r="225" spans="1:11" x14ac:dyDescent="0.3">
      <c r="A225" s="191"/>
      <c r="B225" s="191"/>
      <c r="C225" s="191"/>
      <c r="D225" s="191"/>
      <c r="E225" s="191"/>
      <c r="F225" s="191"/>
      <c r="G225" s="191"/>
      <c r="H225" s="176"/>
      <c r="I225" s="176"/>
      <c r="J225" s="176"/>
      <c r="K225" s="176"/>
    </row>
    <row r="226" spans="1:11" x14ac:dyDescent="0.3">
      <c r="A226" s="191"/>
      <c r="B226" s="191"/>
      <c r="C226" s="191"/>
      <c r="D226" s="191"/>
      <c r="E226" s="191"/>
      <c r="F226" s="191"/>
      <c r="G226" s="191"/>
      <c r="H226" s="176"/>
      <c r="I226" s="176"/>
      <c r="J226" s="176"/>
      <c r="K226" s="176"/>
    </row>
    <row r="227" spans="1:11" x14ac:dyDescent="0.3">
      <c r="A227" s="191"/>
      <c r="B227" s="191"/>
      <c r="C227" s="191"/>
      <c r="D227" s="191"/>
      <c r="E227" s="191"/>
      <c r="F227" s="191"/>
      <c r="G227" s="191"/>
      <c r="H227" s="176"/>
      <c r="I227" s="176"/>
      <c r="J227" s="176"/>
      <c r="K227" s="176"/>
    </row>
    <row r="228" spans="1:11" x14ac:dyDescent="0.3">
      <c r="A228" s="191"/>
      <c r="B228" s="191"/>
      <c r="C228" s="191"/>
      <c r="D228" s="191"/>
      <c r="E228" s="191"/>
      <c r="F228" s="191"/>
      <c r="G228" s="191"/>
      <c r="H228" s="176"/>
      <c r="I228" s="176"/>
      <c r="J228" s="176"/>
      <c r="K228" s="176"/>
    </row>
    <row r="229" spans="1:11" x14ac:dyDescent="0.3">
      <c r="A229" s="191"/>
      <c r="B229" s="191"/>
      <c r="C229" s="191"/>
      <c r="D229" s="191"/>
      <c r="E229" s="191"/>
      <c r="F229" s="191"/>
      <c r="G229" s="191"/>
      <c r="H229" s="176"/>
      <c r="I229" s="176"/>
      <c r="J229" s="176"/>
      <c r="K229" s="176"/>
    </row>
    <row r="230" spans="1:11" x14ac:dyDescent="0.3">
      <c r="A230" s="191"/>
      <c r="B230" s="191"/>
      <c r="C230" s="191"/>
      <c r="D230" s="191"/>
      <c r="E230" s="191"/>
      <c r="F230" s="191"/>
      <c r="G230" s="191"/>
      <c r="H230" s="176"/>
      <c r="I230" s="176"/>
      <c r="J230" s="176"/>
      <c r="K230" s="176"/>
    </row>
    <row r="231" spans="1:11" x14ac:dyDescent="0.3">
      <c r="A231" s="191"/>
      <c r="B231" s="191"/>
      <c r="C231" s="191"/>
      <c r="D231" s="191"/>
      <c r="E231" s="191"/>
      <c r="F231" s="191"/>
      <c r="G231" s="191"/>
      <c r="H231" s="176"/>
      <c r="I231" s="176"/>
      <c r="J231" s="176"/>
      <c r="K231" s="176"/>
    </row>
    <row r="232" spans="1:11" x14ac:dyDescent="0.3">
      <c r="A232" s="108"/>
      <c r="B232" s="108"/>
      <c r="C232" s="108"/>
      <c r="D232" s="108"/>
      <c r="E232" s="108"/>
      <c r="F232" s="108"/>
      <c r="G232" s="108"/>
      <c r="H232" s="194"/>
      <c r="I232" s="194"/>
      <c r="J232" s="176"/>
    </row>
    <row r="233" spans="1:11" x14ac:dyDescent="0.3">
      <c r="A233" s="108"/>
      <c r="B233" s="108"/>
      <c r="C233" s="108"/>
      <c r="D233" s="108"/>
      <c r="E233" s="108"/>
      <c r="F233" s="108"/>
      <c r="G233" s="108"/>
      <c r="H233" s="194"/>
      <c r="I233" s="194"/>
      <c r="J233" s="176"/>
    </row>
    <row r="234" spans="1:11" x14ac:dyDescent="0.3">
      <c r="A234" s="108"/>
      <c r="B234" s="108"/>
      <c r="C234" s="108"/>
      <c r="D234" s="108"/>
      <c r="E234" s="108"/>
      <c r="F234" s="108"/>
      <c r="G234" s="108"/>
      <c r="H234" s="194"/>
      <c r="I234" s="194"/>
      <c r="J234" s="176"/>
    </row>
    <row r="235" spans="1:11" x14ac:dyDescent="0.3">
      <c r="A235" s="108"/>
      <c r="B235" s="108"/>
      <c r="C235" s="108"/>
      <c r="D235" s="108"/>
      <c r="E235" s="108"/>
      <c r="F235" s="108"/>
      <c r="G235" s="108"/>
      <c r="H235" s="194"/>
      <c r="I235" s="194"/>
      <c r="J235" s="176"/>
    </row>
    <row r="236" spans="1:11" x14ac:dyDescent="0.3">
      <c r="A236" s="108"/>
      <c r="B236" s="108"/>
      <c r="C236" s="108"/>
      <c r="D236" s="108"/>
      <c r="E236" s="108"/>
      <c r="F236" s="108"/>
      <c r="G236" s="108"/>
      <c r="H236" s="194"/>
      <c r="I236" s="194"/>
      <c r="J236" s="176"/>
    </row>
    <row r="237" spans="1:11" x14ac:dyDescent="0.3">
      <c r="A237" s="108"/>
      <c r="B237" s="108"/>
      <c r="C237" s="108"/>
      <c r="D237" s="108"/>
      <c r="E237" s="108"/>
      <c r="F237" s="108"/>
      <c r="G237" s="108"/>
      <c r="H237" s="194"/>
      <c r="I237" s="194"/>
      <c r="J237" s="176"/>
    </row>
    <row r="238" spans="1:11" x14ac:dyDescent="0.3">
      <c r="A238" s="108"/>
      <c r="B238" s="108"/>
      <c r="C238" s="108"/>
      <c r="D238" s="108"/>
      <c r="E238" s="108"/>
      <c r="F238" s="108"/>
      <c r="G238" s="108"/>
      <c r="H238" s="194"/>
      <c r="I238" s="194"/>
      <c r="J238" s="176"/>
    </row>
    <row r="239" spans="1:11" x14ac:dyDescent="0.3">
      <c r="A239" s="108"/>
      <c r="B239" s="108"/>
      <c r="C239" s="108"/>
      <c r="D239" s="108"/>
      <c r="E239" s="108"/>
      <c r="F239" s="108"/>
      <c r="G239" s="108"/>
      <c r="H239" s="194"/>
      <c r="I239" s="194"/>
      <c r="J239" s="176"/>
    </row>
    <row r="240" spans="1:11" x14ac:dyDescent="0.3">
      <c r="A240" s="108"/>
      <c r="B240" s="108"/>
      <c r="C240" s="108"/>
      <c r="D240" s="108"/>
      <c r="E240" s="108"/>
      <c r="F240" s="108"/>
      <c r="G240" s="108"/>
      <c r="H240" s="194"/>
      <c r="I240" s="194"/>
      <c r="J240" s="176"/>
    </row>
    <row r="241" spans="1:10" x14ac:dyDescent="0.3">
      <c r="A241" s="108"/>
      <c r="B241" s="108"/>
      <c r="C241" s="108"/>
      <c r="D241" s="108"/>
      <c r="E241" s="108"/>
      <c r="F241" s="108"/>
      <c r="G241" s="108"/>
      <c r="H241" s="194"/>
      <c r="I241" s="194"/>
      <c r="J241" s="176"/>
    </row>
    <row r="242" spans="1:10" x14ac:dyDescent="0.3">
      <c r="A242" s="108"/>
      <c r="B242" s="108"/>
      <c r="C242" s="108"/>
      <c r="D242" s="108"/>
      <c r="E242" s="108"/>
      <c r="F242" s="108"/>
      <c r="G242" s="108"/>
      <c r="H242" s="194"/>
      <c r="I242" s="194"/>
      <c r="J242" s="176"/>
    </row>
    <row r="243" spans="1:10" x14ac:dyDescent="0.3">
      <c r="A243" s="108"/>
      <c r="B243" s="108"/>
      <c r="C243" s="108"/>
      <c r="D243" s="108"/>
      <c r="E243" s="108"/>
      <c r="F243" s="108"/>
      <c r="G243" s="108"/>
      <c r="H243" s="194"/>
      <c r="I243" s="194"/>
      <c r="J243" s="176"/>
    </row>
    <row r="244" spans="1:10" x14ac:dyDescent="0.3">
      <c r="A244" s="108"/>
      <c r="B244" s="108"/>
      <c r="C244" s="108"/>
      <c r="D244" s="108"/>
      <c r="E244" s="108"/>
      <c r="F244" s="108"/>
      <c r="G244" s="108"/>
      <c r="H244" s="194"/>
      <c r="I244" s="194"/>
      <c r="J244" s="176"/>
    </row>
    <row r="245" spans="1:10" x14ac:dyDescent="0.3">
      <c r="A245" s="108"/>
      <c r="B245" s="108"/>
      <c r="C245" s="108"/>
      <c r="D245" s="108"/>
      <c r="E245" s="108"/>
      <c r="F245" s="108"/>
      <c r="G245" s="108"/>
      <c r="H245" s="194"/>
      <c r="I245" s="194"/>
      <c r="J245" s="176"/>
    </row>
    <row r="246" spans="1:10" x14ac:dyDescent="0.3">
      <c r="A246" s="108"/>
      <c r="B246" s="108"/>
      <c r="C246" s="108"/>
      <c r="D246" s="108"/>
      <c r="E246" s="108"/>
      <c r="F246" s="108"/>
      <c r="G246" s="108"/>
      <c r="H246" s="194"/>
      <c r="I246" s="194"/>
      <c r="J246" s="176"/>
    </row>
    <row r="247" spans="1:10" x14ac:dyDescent="0.3">
      <c r="A247" s="108"/>
      <c r="B247" s="108"/>
      <c r="C247" s="108"/>
      <c r="D247" s="108"/>
      <c r="E247" s="108"/>
      <c r="F247" s="108"/>
      <c r="G247" s="108"/>
      <c r="H247" s="194"/>
      <c r="I247" s="194"/>
      <c r="J247" s="176"/>
    </row>
    <row r="248" spans="1:10" x14ac:dyDescent="0.3">
      <c r="A248" s="108"/>
      <c r="B248" s="108"/>
      <c r="C248" s="108"/>
      <c r="D248" s="108"/>
      <c r="E248" s="108"/>
      <c r="F248" s="108"/>
      <c r="G248" s="108"/>
      <c r="H248" s="194"/>
      <c r="I248" s="194"/>
      <c r="J248" s="176"/>
    </row>
    <row r="249" spans="1:10" x14ac:dyDescent="0.3">
      <c r="A249" s="108"/>
      <c r="B249" s="108"/>
      <c r="C249" s="108"/>
      <c r="D249" s="108"/>
      <c r="E249" s="108"/>
      <c r="F249" s="108"/>
      <c r="G249" s="108"/>
      <c r="H249" s="194"/>
      <c r="I249" s="194"/>
      <c r="J249" s="176"/>
    </row>
    <row r="250" spans="1:10" x14ac:dyDescent="0.3">
      <c r="A250" s="108"/>
      <c r="B250" s="108"/>
      <c r="C250" s="108"/>
      <c r="D250" s="108"/>
      <c r="E250" s="108"/>
      <c r="F250" s="108"/>
      <c r="G250" s="108"/>
      <c r="H250" s="194"/>
      <c r="I250" s="194"/>
      <c r="J250" s="176"/>
    </row>
    <row r="251" spans="1:10" x14ac:dyDescent="0.3">
      <c r="A251" s="108"/>
      <c r="B251" s="108"/>
      <c r="C251" s="108"/>
      <c r="D251" s="108"/>
      <c r="E251" s="108"/>
      <c r="F251" s="108"/>
      <c r="G251" s="108"/>
      <c r="H251" s="194"/>
      <c r="I251" s="194"/>
      <c r="J251" s="176"/>
    </row>
    <row r="252" spans="1:10" x14ac:dyDescent="0.3">
      <c r="A252" s="108"/>
      <c r="B252" s="108"/>
      <c r="C252" s="108"/>
      <c r="D252" s="108"/>
      <c r="E252" s="108"/>
      <c r="F252" s="108"/>
      <c r="G252" s="108"/>
      <c r="H252" s="194"/>
      <c r="I252" s="194"/>
      <c r="J252" s="176"/>
    </row>
    <row r="253" spans="1:10" x14ac:dyDescent="0.3">
      <c r="A253" s="108"/>
      <c r="B253" s="108"/>
      <c r="C253" s="108"/>
      <c r="D253" s="108"/>
      <c r="E253" s="108"/>
      <c r="F253" s="108"/>
      <c r="G253" s="108"/>
      <c r="H253" s="194"/>
      <c r="I253" s="194"/>
      <c r="J253" s="176"/>
    </row>
    <row r="254" spans="1:10" x14ac:dyDescent="0.3">
      <c r="A254" s="108"/>
      <c r="B254" s="108"/>
      <c r="C254" s="108"/>
      <c r="D254" s="108"/>
      <c r="E254" s="108"/>
      <c r="F254" s="108"/>
      <c r="G254" s="108"/>
      <c r="H254" s="194"/>
      <c r="I254" s="194"/>
      <c r="J254" s="176"/>
    </row>
    <row r="255" spans="1:10" x14ac:dyDescent="0.3">
      <c r="A255" s="108"/>
      <c r="B255" s="108"/>
      <c r="C255" s="108"/>
      <c r="D255" s="108"/>
      <c r="E255" s="108"/>
      <c r="F255" s="108"/>
      <c r="G255" s="108"/>
      <c r="H255" s="194"/>
      <c r="I255" s="194"/>
      <c r="J255" s="176"/>
    </row>
    <row r="256" spans="1:10" x14ac:dyDescent="0.3">
      <c r="A256" s="108"/>
      <c r="B256" s="108"/>
      <c r="C256" s="108"/>
      <c r="D256" s="108"/>
      <c r="E256" s="108"/>
      <c r="F256" s="108"/>
      <c r="G256" s="108"/>
      <c r="H256" s="194"/>
      <c r="I256" s="194"/>
      <c r="J256" s="176"/>
    </row>
    <row r="257" spans="1:10" x14ac:dyDescent="0.3">
      <c r="A257" s="108"/>
      <c r="B257" s="108"/>
      <c r="C257" s="108"/>
      <c r="D257" s="108"/>
      <c r="E257" s="108"/>
      <c r="F257" s="108"/>
      <c r="G257" s="108"/>
      <c r="H257" s="194"/>
      <c r="I257" s="194"/>
      <c r="J257" s="176"/>
    </row>
    <row r="258" spans="1:10" x14ac:dyDescent="0.3">
      <c r="A258" s="108"/>
      <c r="B258" s="108"/>
      <c r="C258" s="108"/>
      <c r="D258" s="108"/>
      <c r="E258" s="108"/>
      <c r="F258" s="108"/>
      <c r="G258" s="108"/>
      <c r="H258" s="194"/>
      <c r="I258" s="194"/>
      <c r="J258" s="176"/>
    </row>
    <row r="259" spans="1:10" x14ac:dyDescent="0.3">
      <c r="A259" s="108"/>
      <c r="B259" s="108"/>
      <c r="C259" s="108"/>
      <c r="D259" s="108"/>
      <c r="E259" s="108"/>
      <c r="F259" s="108"/>
      <c r="G259" s="108"/>
      <c r="H259" s="194"/>
      <c r="I259" s="194"/>
      <c r="J259" s="176"/>
    </row>
    <row r="260" spans="1:10" x14ac:dyDescent="0.3">
      <c r="A260" s="108"/>
      <c r="B260" s="108"/>
      <c r="C260" s="108"/>
      <c r="D260" s="108"/>
      <c r="E260" s="108"/>
      <c r="F260" s="108"/>
      <c r="G260" s="108"/>
      <c r="H260" s="194"/>
      <c r="I260" s="194"/>
      <c r="J260" s="176"/>
    </row>
    <row r="261" spans="1:10" x14ac:dyDescent="0.3">
      <c r="A261" s="108"/>
      <c r="B261" s="108"/>
      <c r="C261" s="108"/>
      <c r="D261" s="108"/>
      <c r="E261" s="108"/>
      <c r="F261" s="108"/>
      <c r="G261" s="108"/>
      <c r="H261" s="194"/>
      <c r="I261" s="194"/>
      <c r="J261" s="176"/>
    </row>
    <row r="262" spans="1:10" x14ac:dyDescent="0.3">
      <c r="A262" s="108"/>
      <c r="B262" s="108"/>
      <c r="C262" s="108"/>
      <c r="D262" s="108"/>
      <c r="E262" s="108"/>
      <c r="F262" s="108"/>
      <c r="G262" s="108"/>
      <c r="H262" s="194"/>
      <c r="I262" s="194"/>
      <c r="J262" s="176"/>
    </row>
    <row r="263" spans="1:10" x14ac:dyDescent="0.3">
      <c r="A263" s="108"/>
      <c r="B263" s="108"/>
      <c r="C263" s="108"/>
      <c r="D263" s="108"/>
      <c r="E263" s="108"/>
      <c r="F263" s="108"/>
      <c r="G263" s="108"/>
      <c r="H263" s="194"/>
      <c r="I263" s="194"/>
      <c r="J263" s="176"/>
    </row>
    <row r="264" spans="1:10" x14ac:dyDescent="0.3">
      <c r="A264" s="108"/>
      <c r="B264" s="108"/>
      <c r="C264" s="108"/>
      <c r="D264" s="108"/>
      <c r="E264" s="108"/>
      <c r="F264" s="108"/>
      <c r="G264" s="108"/>
      <c r="H264" s="194"/>
      <c r="I264" s="194"/>
      <c r="J264" s="176"/>
    </row>
    <row r="265" spans="1:10" x14ac:dyDescent="0.3">
      <c r="A265" s="108"/>
      <c r="B265" s="108"/>
      <c r="C265" s="108"/>
      <c r="D265" s="108"/>
      <c r="E265" s="108"/>
      <c r="F265" s="108"/>
      <c r="G265" s="108"/>
      <c r="H265" s="194"/>
      <c r="I265" s="194"/>
      <c r="J265" s="176"/>
    </row>
    <row r="266" spans="1:10" x14ac:dyDescent="0.3">
      <c r="A266" s="108"/>
      <c r="B266" s="108"/>
      <c r="C266" s="108"/>
      <c r="D266" s="108"/>
      <c r="E266" s="108"/>
      <c r="F266" s="108"/>
      <c r="G266" s="108"/>
      <c r="H266" s="194"/>
      <c r="I266" s="194"/>
      <c r="J266" s="176"/>
    </row>
    <row r="267" spans="1:10" x14ac:dyDescent="0.3">
      <c r="A267" s="108"/>
      <c r="B267" s="108"/>
      <c r="C267" s="108"/>
      <c r="D267" s="108"/>
      <c r="E267" s="108"/>
      <c r="F267" s="108"/>
      <c r="G267" s="108"/>
      <c r="H267" s="194"/>
      <c r="I267" s="194"/>
      <c r="J267" s="176"/>
    </row>
    <row r="268" spans="1:10" x14ac:dyDescent="0.3">
      <c r="A268" s="108"/>
      <c r="B268" s="108"/>
      <c r="C268" s="108"/>
      <c r="D268" s="108"/>
      <c r="E268" s="108"/>
      <c r="F268" s="108"/>
      <c r="G268" s="108"/>
      <c r="H268" s="194"/>
      <c r="I268" s="194"/>
      <c r="J268" s="176"/>
    </row>
    <row r="269" spans="1:10" x14ac:dyDescent="0.3">
      <c r="A269" s="108"/>
      <c r="B269" s="108"/>
      <c r="C269" s="108"/>
      <c r="D269" s="108"/>
      <c r="E269" s="108"/>
      <c r="F269" s="108"/>
      <c r="G269" s="108"/>
      <c r="H269" s="194"/>
      <c r="I269" s="194"/>
      <c r="J269" s="176"/>
    </row>
    <row r="270" spans="1:10" x14ac:dyDescent="0.3">
      <c r="A270" s="108"/>
      <c r="B270" s="108"/>
      <c r="C270" s="108"/>
      <c r="D270" s="108"/>
      <c r="E270" s="108"/>
      <c r="F270" s="108"/>
      <c r="G270" s="108"/>
      <c r="H270" s="194"/>
      <c r="I270" s="194"/>
      <c r="J270" s="176"/>
    </row>
    <row r="271" spans="1:10" x14ac:dyDescent="0.3">
      <c r="A271" s="108"/>
      <c r="B271" s="108"/>
      <c r="C271" s="108"/>
      <c r="D271" s="108"/>
      <c r="E271" s="108"/>
      <c r="F271" s="108"/>
      <c r="G271" s="108"/>
      <c r="H271" s="194"/>
      <c r="I271" s="194"/>
      <c r="J271" s="176"/>
    </row>
    <row r="272" spans="1:10" x14ac:dyDescent="0.3">
      <c r="A272" s="108"/>
      <c r="B272" s="108"/>
      <c r="C272" s="108"/>
      <c r="D272" s="108"/>
      <c r="E272" s="108"/>
      <c r="F272" s="108"/>
      <c r="G272" s="108"/>
      <c r="H272" s="194"/>
      <c r="I272" s="194"/>
      <c r="J272" s="176"/>
    </row>
    <row r="273" spans="1:10" x14ac:dyDescent="0.3">
      <c r="A273" s="108"/>
      <c r="B273" s="108"/>
      <c r="C273" s="108"/>
      <c r="D273" s="108"/>
      <c r="E273" s="108"/>
      <c r="F273" s="108"/>
      <c r="G273" s="108"/>
      <c r="H273" s="194"/>
      <c r="I273" s="194"/>
      <c r="J273" s="176"/>
    </row>
    <row r="274" spans="1:10" x14ac:dyDescent="0.3">
      <c r="A274" s="108"/>
      <c r="B274" s="108"/>
      <c r="C274" s="108"/>
      <c r="D274" s="108"/>
      <c r="E274" s="108"/>
      <c r="F274" s="108"/>
      <c r="G274" s="108"/>
      <c r="H274" s="194"/>
      <c r="I274" s="194"/>
      <c r="J274" s="176"/>
    </row>
    <row r="275" spans="1:10" x14ac:dyDescent="0.3">
      <c r="A275" s="108"/>
      <c r="B275" s="108"/>
      <c r="C275" s="108"/>
      <c r="D275" s="108"/>
      <c r="E275" s="108"/>
      <c r="F275" s="108"/>
      <c r="G275" s="108"/>
      <c r="H275" s="194"/>
      <c r="I275" s="194"/>
      <c r="J275" s="176"/>
    </row>
    <row r="276" spans="1:10" x14ac:dyDescent="0.3">
      <c r="A276" s="108"/>
      <c r="B276" s="108"/>
      <c r="C276" s="108"/>
      <c r="D276" s="108"/>
      <c r="E276" s="108"/>
      <c r="F276" s="108"/>
      <c r="G276" s="108"/>
      <c r="H276" s="194"/>
      <c r="I276" s="194"/>
      <c r="J276" s="176"/>
    </row>
    <row r="277" spans="1:10" x14ac:dyDescent="0.3">
      <c r="A277" s="108"/>
      <c r="B277" s="108"/>
      <c r="C277" s="108"/>
      <c r="D277" s="108"/>
      <c r="E277" s="108"/>
      <c r="F277" s="108"/>
      <c r="G277" s="108"/>
      <c r="H277" s="194"/>
      <c r="I277" s="194"/>
      <c r="J277" s="176"/>
    </row>
    <row r="278" spans="1:10" x14ac:dyDescent="0.3">
      <c r="A278" s="108"/>
      <c r="B278" s="108"/>
      <c r="C278" s="108"/>
      <c r="D278" s="108"/>
      <c r="E278" s="108"/>
      <c r="F278" s="108"/>
      <c r="G278" s="108"/>
      <c r="H278" s="194"/>
      <c r="I278" s="194"/>
      <c r="J278" s="176"/>
    </row>
    <row r="279" spans="1:10" x14ac:dyDescent="0.3">
      <c r="A279" s="108"/>
      <c r="B279" s="108"/>
      <c r="C279" s="108"/>
      <c r="D279" s="108"/>
      <c r="E279" s="108"/>
      <c r="F279" s="108"/>
      <c r="G279" s="108"/>
      <c r="H279" s="194"/>
      <c r="I279" s="194"/>
      <c r="J279" s="176"/>
    </row>
    <row r="280" spans="1:10" x14ac:dyDescent="0.3">
      <c r="A280" s="108"/>
      <c r="B280" s="108"/>
      <c r="C280" s="108"/>
      <c r="D280" s="108"/>
      <c r="E280" s="108"/>
      <c r="F280" s="108"/>
      <c r="G280" s="108"/>
      <c r="H280" s="194"/>
      <c r="I280" s="194"/>
      <c r="J280" s="176"/>
    </row>
    <row r="281" spans="1:10" x14ac:dyDescent="0.3">
      <c r="A281" s="108"/>
      <c r="B281" s="108"/>
      <c r="C281" s="108"/>
      <c r="D281" s="108"/>
      <c r="E281" s="108"/>
      <c r="F281" s="108"/>
      <c r="G281" s="108"/>
      <c r="H281" s="194"/>
      <c r="I281" s="194"/>
      <c r="J281" s="176"/>
    </row>
    <row r="282" spans="1:10" x14ac:dyDescent="0.3">
      <c r="A282" s="108"/>
      <c r="B282" s="108"/>
      <c r="C282" s="108"/>
      <c r="D282" s="108"/>
      <c r="E282" s="108"/>
      <c r="F282" s="108"/>
      <c r="G282" s="108"/>
      <c r="H282" s="194"/>
      <c r="I282" s="194"/>
      <c r="J282" s="176"/>
    </row>
    <row r="283" spans="1:10" x14ac:dyDescent="0.3">
      <c r="A283" s="108"/>
      <c r="B283" s="108"/>
      <c r="C283" s="108"/>
      <c r="D283" s="108"/>
      <c r="E283" s="108"/>
      <c r="F283" s="108"/>
      <c r="G283" s="108"/>
      <c r="H283" s="194"/>
      <c r="I283" s="194"/>
      <c r="J283" s="176"/>
    </row>
    <row r="284" spans="1:10" x14ac:dyDescent="0.3">
      <c r="A284" s="108"/>
      <c r="B284" s="108"/>
      <c r="C284" s="108"/>
      <c r="D284" s="108"/>
      <c r="E284" s="108"/>
      <c r="F284" s="108"/>
      <c r="G284" s="108"/>
      <c r="H284" s="194"/>
      <c r="I284" s="194"/>
      <c r="J284" s="176"/>
    </row>
    <row r="285" spans="1:10" x14ac:dyDescent="0.3">
      <c r="A285" s="108"/>
      <c r="B285" s="108"/>
      <c r="C285" s="108"/>
      <c r="D285" s="108"/>
      <c r="E285" s="108"/>
      <c r="F285" s="108"/>
      <c r="G285" s="108"/>
      <c r="H285" s="194"/>
      <c r="I285" s="194"/>
      <c r="J285" s="176"/>
    </row>
    <row r="286" spans="1:10" x14ac:dyDescent="0.3">
      <c r="A286" s="108"/>
      <c r="B286" s="108"/>
      <c r="C286" s="108"/>
      <c r="D286" s="108"/>
      <c r="E286" s="108"/>
      <c r="F286" s="108"/>
      <c r="G286" s="108"/>
      <c r="H286" s="194"/>
      <c r="I286" s="194"/>
      <c r="J286" s="176"/>
    </row>
    <row r="287" spans="1:10" x14ac:dyDescent="0.3">
      <c r="A287" s="108"/>
      <c r="B287" s="108"/>
      <c r="C287" s="108"/>
      <c r="D287" s="108"/>
      <c r="E287" s="108"/>
      <c r="F287" s="108"/>
      <c r="G287" s="108"/>
      <c r="H287" s="194"/>
      <c r="I287" s="194"/>
      <c r="J287" s="176"/>
    </row>
    <row r="288" spans="1:10" x14ac:dyDescent="0.3">
      <c r="A288" s="108"/>
      <c r="B288" s="108"/>
      <c r="C288" s="108"/>
      <c r="D288" s="108"/>
      <c r="E288" s="108"/>
      <c r="F288" s="108"/>
      <c r="G288" s="108"/>
      <c r="H288" s="194"/>
      <c r="I288" s="194"/>
      <c r="J288" s="176"/>
    </row>
    <row r="289" spans="1:10" x14ac:dyDescent="0.3">
      <c r="A289" s="108"/>
      <c r="B289" s="108"/>
      <c r="C289" s="108"/>
      <c r="D289" s="108"/>
      <c r="E289" s="108"/>
      <c r="F289" s="108"/>
      <c r="G289" s="108"/>
      <c r="H289" s="194"/>
      <c r="I289" s="194"/>
      <c r="J289" s="176"/>
    </row>
    <row r="290" spans="1:10" x14ac:dyDescent="0.3">
      <c r="A290" s="108"/>
      <c r="B290" s="108"/>
      <c r="C290" s="108"/>
      <c r="D290" s="108"/>
      <c r="E290" s="108"/>
      <c r="F290" s="108"/>
      <c r="G290" s="108"/>
      <c r="H290" s="194"/>
      <c r="I290" s="194"/>
      <c r="J290" s="176"/>
    </row>
    <row r="291" spans="1:10" x14ac:dyDescent="0.3">
      <c r="A291" s="108"/>
      <c r="B291" s="108"/>
      <c r="C291" s="108"/>
      <c r="D291" s="108"/>
      <c r="E291" s="108"/>
      <c r="F291" s="108"/>
      <c r="G291" s="108"/>
      <c r="H291" s="194"/>
      <c r="I291" s="194"/>
      <c r="J291" s="176"/>
    </row>
    <row r="292" spans="1:10" x14ac:dyDescent="0.3">
      <c r="A292" s="108"/>
      <c r="B292" s="108"/>
      <c r="C292" s="108"/>
      <c r="D292" s="108"/>
      <c r="E292" s="108"/>
      <c r="F292" s="108"/>
      <c r="G292" s="108"/>
      <c r="H292" s="194"/>
      <c r="I292" s="194"/>
      <c r="J292" s="176"/>
    </row>
    <row r="293" spans="1:10" x14ac:dyDescent="0.3">
      <c r="A293" s="108"/>
      <c r="B293" s="108"/>
      <c r="C293" s="108"/>
      <c r="D293" s="108"/>
      <c r="E293" s="108"/>
      <c r="F293" s="108"/>
      <c r="G293" s="108"/>
      <c r="H293" s="194"/>
      <c r="I293" s="194"/>
      <c r="J293" s="176"/>
    </row>
    <row r="294" spans="1:10" x14ac:dyDescent="0.3">
      <c r="A294" s="108"/>
      <c r="B294" s="108"/>
      <c r="C294" s="108"/>
      <c r="D294" s="108"/>
      <c r="E294" s="108"/>
      <c r="F294" s="108"/>
      <c r="G294" s="108"/>
      <c r="H294" s="194"/>
      <c r="I294" s="194"/>
      <c r="J294" s="176"/>
    </row>
    <row r="295" spans="1:10" x14ac:dyDescent="0.3">
      <c r="A295" s="108"/>
      <c r="B295" s="108"/>
      <c r="C295" s="108"/>
      <c r="D295" s="108"/>
      <c r="E295" s="108"/>
      <c r="F295" s="108"/>
      <c r="G295" s="108"/>
      <c r="H295" s="194"/>
      <c r="I295" s="194"/>
      <c r="J295" s="176"/>
    </row>
  </sheetData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5477"/>
  <sheetViews>
    <sheetView workbookViewId="0">
      <selection activeCell="F1" sqref="F1:F1048576"/>
    </sheetView>
  </sheetViews>
  <sheetFormatPr defaultColWidth="9.109375" defaultRowHeight="14.4" x14ac:dyDescent="0.3"/>
  <cols>
    <col min="1" max="1" width="14.33203125" style="158" bestFit="1" customWidth="1"/>
    <col min="2" max="2" width="7" style="158" bestFit="1" customWidth="1"/>
    <col min="3" max="3" width="8.88671875" style="158" bestFit="1" customWidth="1"/>
    <col min="4" max="4" width="7.21875" style="158" bestFit="1" customWidth="1"/>
    <col min="5" max="5" width="18.88671875" style="158" bestFit="1" customWidth="1"/>
    <col min="6" max="6" width="27.21875" style="158" bestFit="1" customWidth="1"/>
    <col min="7" max="7" width="11.33203125" style="158" bestFit="1" customWidth="1"/>
    <col min="8" max="8" width="4" style="198" bestFit="1" customWidth="1"/>
    <col min="9" max="9" width="14.5546875" style="195" bestFit="1" customWidth="1"/>
    <col min="10" max="10" width="14.109375" style="195" bestFit="1" customWidth="1"/>
    <col min="11" max="11" width="12.5546875" style="190" bestFit="1" customWidth="1"/>
    <col min="12" max="12" width="12.33203125" style="137" customWidth="1"/>
    <col min="13" max="13" width="16.109375" style="137" customWidth="1"/>
    <col min="14" max="16384" width="9.109375" style="137"/>
  </cols>
  <sheetData>
    <row r="1" spans="1:14" s="9" customFormat="1" x14ac:dyDescent="0.3">
      <c r="A1" s="107" t="s">
        <v>110</v>
      </c>
      <c r="B1" s="107" t="s">
        <v>111</v>
      </c>
      <c r="C1" s="107" t="s">
        <v>115</v>
      </c>
      <c r="D1" s="107" t="s">
        <v>112</v>
      </c>
      <c r="E1" s="107" t="s">
        <v>116</v>
      </c>
      <c r="F1" s="107" t="s">
        <v>120</v>
      </c>
      <c r="G1" s="107" t="s">
        <v>67</v>
      </c>
      <c r="H1" s="196" t="s">
        <v>66</v>
      </c>
      <c r="I1" s="193" t="s">
        <v>117</v>
      </c>
      <c r="J1" s="193" t="s">
        <v>118</v>
      </c>
      <c r="K1" s="33" t="s">
        <v>119</v>
      </c>
      <c r="L1" s="9" t="s">
        <v>122</v>
      </c>
      <c r="M1" s="9" t="s">
        <v>120</v>
      </c>
      <c r="N1"/>
    </row>
    <row r="2" spans="1:14" x14ac:dyDescent="0.3">
      <c r="M2" s="137" t="str">
        <f t="shared" ref="M2:M65" si="0">_xlfn.CONCAT(L2," ",F2)</f>
        <v xml:space="preserve"> </v>
      </c>
      <c r="N2"/>
    </row>
    <row r="3" spans="1:14" x14ac:dyDescent="0.3">
      <c r="M3" s="137" t="str">
        <f t="shared" si="0"/>
        <v xml:space="preserve"> </v>
      </c>
      <c r="N3"/>
    </row>
    <row r="4" spans="1:14" x14ac:dyDescent="0.3">
      <c r="M4" s="137" t="str">
        <f t="shared" si="0"/>
        <v xml:space="preserve"> </v>
      </c>
      <c r="N4"/>
    </row>
    <row r="5" spans="1:14" x14ac:dyDescent="0.3">
      <c r="M5" s="137" t="str">
        <f t="shared" si="0"/>
        <v xml:space="preserve"> </v>
      </c>
      <c r="N5"/>
    </row>
    <row r="6" spans="1:14" x14ac:dyDescent="0.3">
      <c r="M6" s="137" t="str">
        <f t="shared" si="0"/>
        <v xml:space="preserve"> </v>
      </c>
      <c r="N6"/>
    </row>
    <row r="7" spans="1:14" x14ac:dyDescent="0.3">
      <c r="M7" s="137" t="str">
        <f t="shared" si="0"/>
        <v xml:space="preserve"> </v>
      </c>
      <c r="N7"/>
    </row>
    <row r="8" spans="1:14" x14ac:dyDescent="0.3">
      <c r="M8" s="137" t="str">
        <f t="shared" si="0"/>
        <v xml:space="preserve"> </v>
      </c>
      <c r="N8"/>
    </row>
    <row r="9" spans="1:14" x14ac:dyDescent="0.3">
      <c r="M9" s="137" t="str">
        <f t="shared" si="0"/>
        <v xml:space="preserve"> </v>
      </c>
      <c r="N9"/>
    </row>
    <row r="10" spans="1:14" x14ac:dyDescent="0.3">
      <c r="M10" s="137" t="str">
        <f t="shared" si="0"/>
        <v xml:space="preserve"> </v>
      </c>
      <c r="N10"/>
    </row>
    <row r="11" spans="1:14" x14ac:dyDescent="0.3">
      <c r="M11" s="137" t="str">
        <f t="shared" si="0"/>
        <v xml:space="preserve"> </v>
      </c>
      <c r="N11"/>
    </row>
    <row r="12" spans="1:14" x14ac:dyDescent="0.3">
      <c r="M12" s="137" t="str">
        <f t="shared" si="0"/>
        <v xml:space="preserve"> </v>
      </c>
      <c r="N12"/>
    </row>
    <row r="13" spans="1:14" x14ac:dyDescent="0.3">
      <c r="M13" s="137" t="str">
        <f t="shared" si="0"/>
        <v xml:space="preserve"> </v>
      </c>
      <c r="N13"/>
    </row>
    <row r="14" spans="1:14" x14ac:dyDescent="0.3">
      <c r="M14" s="137" t="str">
        <f t="shared" si="0"/>
        <v xml:space="preserve"> </v>
      </c>
      <c r="N14"/>
    </row>
    <row r="15" spans="1:14" x14ac:dyDescent="0.3">
      <c r="M15" s="137" t="str">
        <f t="shared" si="0"/>
        <v xml:space="preserve"> </v>
      </c>
      <c r="N15"/>
    </row>
    <row r="16" spans="1:14" x14ac:dyDescent="0.3">
      <c r="M16" s="137" t="str">
        <f t="shared" si="0"/>
        <v xml:space="preserve"> </v>
      </c>
      <c r="N16"/>
    </row>
    <row r="17" spans="13:14" x14ac:dyDescent="0.3">
      <c r="M17" s="137" t="str">
        <f t="shared" si="0"/>
        <v xml:space="preserve"> </v>
      </c>
      <c r="N17"/>
    </row>
    <row r="18" spans="13:14" x14ac:dyDescent="0.3">
      <c r="M18" s="137" t="str">
        <f t="shared" si="0"/>
        <v xml:space="preserve"> </v>
      </c>
      <c r="N18"/>
    </row>
    <row r="19" spans="13:14" x14ac:dyDescent="0.3">
      <c r="M19" s="137" t="str">
        <f t="shared" si="0"/>
        <v xml:space="preserve"> </v>
      </c>
      <c r="N19"/>
    </row>
    <row r="20" spans="13:14" x14ac:dyDescent="0.3">
      <c r="M20" s="137" t="str">
        <f t="shared" si="0"/>
        <v xml:space="preserve"> </v>
      </c>
      <c r="N20"/>
    </row>
    <row r="21" spans="13:14" x14ac:dyDescent="0.3">
      <c r="M21" s="137" t="str">
        <f t="shared" si="0"/>
        <v xml:space="preserve"> </v>
      </c>
      <c r="N21"/>
    </row>
    <row r="22" spans="13:14" x14ac:dyDescent="0.3">
      <c r="M22" s="137" t="str">
        <f t="shared" si="0"/>
        <v xml:space="preserve"> </v>
      </c>
      <c r="N22"/>
    </row>
    <row r="23" spans="13:14" x14ac:dyDescent="0.3">
      <c r="M23" s="137" t="str">
        <f t="shared" si="0"/>
        <v xml:space="preserve"> </v>
      </c>
      <c r="N23"/>
    </row>
    <row r="24" spans="13:14" x14ac:dyDescent="0.3">
      <c r="M24" s="137" t="str">
        <f t="shared" si="0"/>
        <v xml:space="preserve"> </v>
      </c>
      <c r="N24"/>
    </row>
    <row r="25" spans="13:14" x14ac:dyDescent="0.3">
      <c r="M25" s="137" t="str">
        <f t="shared" si="0"/>
        <v xml:space="preserve"> </v>
      </c>
      <c r="N25"/>
    </row>
    <row r="26" spans="13:14" x14ac:dyDescent="0.3">
      <c r="M26" s="137" t="str">
        <f t="shared" si="0"/>
        <v xml:space="preserve"> </v>
      </c>
      <c r="N26"/>
    </row>
    <row r="27" spans="13:14" x14ac:dyDescent="0.3">
      <c r="M27" s="137" t="str">
        <f t="shared" si="0"/>
        <v xml:space="preserve"> </v>
      </c>
      <c r="N27"/>
    </row>
    <row r="28" spans="13:14" x14ac:dyDescent="0.3">
      <c r="M28" s="137" t="str">
        <f t="shared" si="0"/>
        <v xml:space="preserve"> </v>
      </c>
      <c r="N28"/>
    </row>
    <row r="29" spans="13:14" x14ac:dyDescent="0.3">
      <c r="M29" s="137" t="str">
        <f t="shared" si="0"/>
        <v xml:space="preserve"> </v>
      </c>
      <c r="N29"/>
    </row>
    <row r="30" spans="13:14" x14ac:dyDescent="0.3">
      <c r="M30" s="137" t="str">
        <f t="shared" si="0"/>
        <v xml:space="preserve"> </v>
      </c>
      <c r="N30"/>
    </row>
    <row r="31" spans="13:14" x14ac:dyDescent="0.3">
      <c r="M31" s="137" t="str">
        <f t="shared" si="0"/>
        <v xml:space="preserve"> </v>
      </c>
      <c r="N31"/>
    </row>
    <row r="32" spans="13:14" x14ac:dyDescent="0.3">
      <c r="M32" s="137" t="str">
        <f t="shared" si="0"/>
        <v xml:space="preserve"> </v>
      </c>
      <c r="N32"/>
    </row>
    <row r="33" spans="13:14" x14ac:dyDescent="0.3">
      <c r="M33" s="137" t="str">
        <f t="shared" si="0"/>
        <v xml:space="preserve"> </v>
      </c>
      <c r="N33"/>
    </row>
    <row r="34" spans="13:14" x14ac:dyDescent="0.3">
      <c r="M34" s="137" t="str">
        <f t="shared" si="0"/>
        <v xml:space="preserve"> </v>
      </c>
      <c r="N34"/>
    </row>
    <row r="35" spans="13:14" x14ac:dyDescent="0.3">
      <c r="M35" s="137" t="str">
        <f t="shared" si="0"/>
        <v xml:space="preserve"> </v>
      </c>
      <c r="N35"/>
    </row>
    <row r="36" spans="13:14" x14ac:dyDescent="0.3">
      <c r="M36" s="137" t="str">
        <f t="shared" si="0"/>
        <v xml:space="preserve"> </v>
      </c>
      <c r="N36"/>
    </row>
    <row r="37" spans="13:14" x14ac:dyDescent="0.3">
      <c r="M37" s="137" t="str">
        <f t="shared" si="0"/>
        <v xml:space="preserve"> </v>
      </c>
      <c r="N37"/>
    </row>
    <row r="38" spans="13:14" x14ac:dyDescent="0.3">
      <c r="M38" s="137" t="str">
        <f t="shared" si="0"/>
        <v xml:space="preserve"> </v>
      </c>
      <c r="N38"/>
    </row>
    <row r="39" spans="13:14" x14ac:dyDescent="0.3">
      <c r="M39" s="137" t="str">
        <f t="shared" si="0"/>
        <v xml:space="preserve"> </v>
      </c>
      <c r="N39"/>
    </row>
    <row r="40" spans="13:14" x14ac:dyDescent="0.3">
      <c r="M40" s="137" t="str">
        <f t="shared" si="0"/>
        <v xml:space="preserve"> </v>
      </c>
      <c r="N40"/>
    </row>
    <row r="41" spans="13:14" x14ac:dyDescent="0.3">
      <c r="M41" s="137" t="str">
        <f t="shared" si="0"/>
        <v xml:space="preserve"> </v>
      </c>
      <c r="N41"/>
    </row>
    <row r="42" spans="13:14" x14ac:dyDescent="0.3">
      <c r="M42" s="137" t="str">
        <f t="shared" si="0"/>
        <v xml:space="preserve"> </v>
      </c>
      <c r="N42"/>
    </row>
    <row r="43" spans="13:14" x14ac:dyDescent="0.3">
      <c r="M43" s="137" t="str">
        <f t="shared" si="0"/>
        <v xml:space="preserve"> </v>
      </c>
      <c r="N43"/>
    </row>
    <row r="44" spans="13:14" x14ac:dyDescent="0.3">
      <c r="M44" s="137" t="str">
        <f t="shared" si="0"/>
        <v xml:space="preserve"> </v>
      </c>
      <c r="N44"/>
    </row>
    <row r="45" spans="13:14" x14ac:dyDescent="0.3">
      <c r="M45" s="137" t="str">
        <f t="shared" si="0"/>
        <v xml:space="preserve"> </v>
      </c>
      <c r="N45"/>
    </row>
    <row r="46" spans="13:14" x14ac:dyDescent="0.3">
      <c r="M46" s="137" t="str">
        <f t="shared" si="0"/>
        <v xml:space="preserve"> </v>
      </c>
      <c r="N46"/>
    </row>
    <row r="47" spans="13:14" x14ac:dyDescent="0.3">
      <c r="M47" s="137" t="str">
        <f t="shared" si="0"/>
        <v xml:space="preserve"> </v>
      </c>
      <c r="N47"/>
    </row>
    <row r="48" spans="13:14" x14ac:dyDescent="0.3">
      <c r="M48" s="137" t="str">
        <f t="shared" si="0"/>
        <v xml:space="preserve"> </v>
      </c>
      <c r="N48"/>
    </row>
    <row r="49" spans="13:14" x14ac:dyDescent="0.3">
      <c r="M49" s="137" t="str">
        <f t="shared" si="0"/>
        <v xml:space="preserve"> </v>
      </c>
      <c r="N49"/>
    </row>
    <row r="50" spans="13:14" x14ac:dyDescent="0.3">
      <c r="M50" s="137" t="str">
        <f t="shared" si="0"/>
        <v xml:space="preserve"> </v>
      </c>
      <c r="N50"/>
    </row>
    <row r="51" spans="13:14" x14ac:dyDescent="0.3">
      <c r="M51" s="137" t="str">
        <f t="shared" si="0"/>
        <v xml:space="preserve"> </v>
      </c>
      <c r="N51"/>
    </row>
    <row r="52" spans="13:14" x14ac:dyDescent="0.3">
      <c r="M52" s="137" t="str">
        <f t="shared" si="0"/>
        <v xml:space="preserve"> </v>
      </c>
      <c r="N52"/>
    </row>
    <row r="53" spans="13:14" x14ac:dyDescent="0.3">
      <c r="M53" s="137" t="str">
        <f t="shared" si="0"/>
        <v xml:space="preserve"> </v>
      </c>
      <c r="N53"/>
    </row>
    <row r="54" spans="13:14" x14ac:dyDescent="0.3">
      <c r="M54" s="137" t="str">
        <f t="shared" si="0"/>
        <v xml:space="preserve"> </v>
      </c>
      <c r="N54"/>
    </row>
    <row r="55" spans="13:14" x14ac:dyDescent="0.3">
      <c r="M55" s="137" t="str">
        <f t="shared" si="0"/>
        <v xml:space="preserve"> </v>
      </c>
      <c r="N55"/>
    </row>
    <row r="56" spans="13:14" x14ac:dyDescent="0.3">
      <c r="M56" s="137" t="str">
        <f t="shared" si="0"/>
        <v xml:space="preserve"> </v>
      </c>
      <c r="N56"/>
    </row>
    <row r="57" spans="13:14" x14ac:dyDescent="0.3">
      <c r="M57" s="137" t="str">
        <f t="shared" si="0"/>
        <v xml:space="preserve"> </v>
      </c>
      <c r="N57"/>
    </row>
    <row r="58" spans="13:14" x14ac:dyDescent="0.3">
      <c r="M58" s="137" t="str">
        <f t="shared" si="0"/>
        <v xml:space="preserve"> </v>
      </c>
      <c r="N58"/>
    </row>
    <row r="59" spans="13:14" x14ac:dyDescent="0.3">
      <c r="M59" s="137" t="str">
        <f t="shared" si="0"/>
        <v xml:space="preserve"> </v>
      </c>
      <c r="N59"/>
    </row>
    <row r="60" spans="13:14" x14ac:dyDescent="0.3">
      <c r="M60" s="137" t="str">
        <f t="shared" si="0"/>
        <v xml:space="preserve"> </v>
      </c>
      <c r="N60"/>
    </row>
    <row r="61" spans="13:14" x14ac:dyDescent="0.3">
      <c r="M61" s="137" t="str">
        <f t="shared" si="0"/>
        <v xml:space="preserve"> </v>
      </c>
      <c r="N61"/>
    </row>
    <row r="62" spans="13:14" x14ac:dyDescent="0.3">
      <c r="M62" s="137" t="str">
        <f t="shared" si="0"/>
        <v xml:space="preserve"> </v>
      </c>
      <c r="N62"/>
    </row>
    <row r="63" spans="13:14" x14ac:dyDescent="0.3">
      <c r="M63" s="137" t="str">
        <f t="shared" si="0"/>
        <v xml:space="preserve"> </v>
      </c>
      <c r="N63"/>
    </row>
    <row r="64" spans="13:14" x14ac:dyDescent="0.3">
      <c r="M64" s="137" t="str">
        <f t="shared" si="0"/>
        <v xml:space="preserve"> </v>
      </c>
      <c r="N64"/>
    </row>
    <row r="65" spans="13:14" x14ac:dyDescent="0.3">
      <c r="M65" s="137" t="str">
        <f t="shared" si="0"/>
        <v xml:space="preserve"> </v>
      </c>
      <c r="N65"/>
    </row>
    <row r="66" spans="13:14" x14ac:dyDescent="0.3">
      <c r="M66" s="137" t="str">
        <f t="shared" ref="M66:M129" si="1">_xlfn.CONCAT(L66," ",F66)</f>
        <v xml:space="preserve"> </v>
      </c>
      <c r="N66"/>
    </row>
    <row r="67" spans="13:14" x14ac:dyDescent="0.3">
      <c r="M67" s="137" t="str">
        <f t="shared" si="1"/>
        <v xml:space="preserve"> </v>
      </c>
      <c r="N67"/>
    </row>
    <row r="68" spans="13:14" x14ac:dyDescent="0.3">
      <c r="M68" s="137" t="str">
        <f t="shared" si="1"/>
        <v xml:space="preserve"> </v>
      </c>
      <c r="N68"/>
    </row>
    <row r="69" spans="13:14" x14ac:dyDescent="0.3">
      <c r="M69" s="137" t="str">
        <f t="shared" si="1"/>
        <v xml:space="preserve"> </v>
      </c>
      <c r="N69"/>
    </row>
    <row r="70" spans="13:14" x14ac:dyDescent="0.3">
      <c r="M70" s="137" t="str">
        <f t="shared" si="1"/>
        <v xml:space="preserve"> </v>
      </c>
      <c r="N70"/>
    </row>
    <row r="71" spans="13:14" x14ac:dyDescent="0.3">
      <c r="M71" s="137" t="str">
        <f t="shared" si="1"/>
        <v xml:space="preserve"> </v>
      </c>
      <c r="N71"/>
    </row>
    <row r="72" spans="13:14" x14ac:dyDescent="0.3">
      <c r="M72" s="137" t="str">
        <f t="shared" si="1"/>
        <v xml:space="preserve"> </v>
      </c>
      <c r="N72"/>
    </row>
    <row r="73" spans="13:14" x14ac:dyDescent="0.3">
      <c r="M73" s="137" t="str">
        <f t="shared" si="1"/>
        <v xml:space="preserve"> </v>
      </c>
      <c r="N73"/>
    </row>
    <row r="74" spans="13:14" x14ac:dyDescent="0.3">
      <c r="M74" s="137" t="str">
        <f t="shared" si="1"/>
        <v xml:space="preserve"> </v>
      </c>
      <c r="N74"/>
    </row>
    <row r="75" spans="13:14" x14ac:dyDescent="0.3">
      <c r="M75" s="137" t="str">
        <f t="shared" si="1"/>
        <v xml:space="preserve"> </v>
      </c>
      <c r="N75"/>
    </row>
    <row r="76" spans="13:14" x14ac:dyDescent="0.3">
      <c r="M76" s="137" t="str">
        <f t="shared" si="1"/>
        <v xml:space="preserve"> </v>
      </c>
      <c r="N76"/>
    </row>
    <row r="77" spans="13:14" x14ac:dyDescent="0.3">
      <c r="M77" s="137" t="str">
        <f t="shared" si="1"/>
        <v xml:space="preserve"> </v>
      </c>
      <c r="N77"/>
    </row>
    <row r="78" spans="13:14" x14ac:dyDescent="0.3">
      <c r="M78" s="137" t="str">
        <f t="shared" si="1"/>
        <v xml:space="preserve"> </v>
      </c>
      <c r="N78"/>
    </row>
    <row r="79" spans="13:14" x14ac:dyDescent="0.3">
      <c r="M79" s="137" t="str">
        <f t="shared" si="1"/>
        <v xml:space="preserve"> </v>
      </c>
      <c r="N79"/>
    </row>
    <row r="80" spans="13:14" x14ac:dyDescent="0.3">
      <c r="M80" s="137" t="str">
        <f t="shared" si="1"/>
        <v xml:space="preserve"> </v>
      </c>
      <c r="N80"/>
    </row>
    <row r="81" spans="13:14" x14ac:dyDescent="0.3">
      <c r="M81" s="137" t="str">
        <f t="shared" si="1"/>
        <v xml:space="preserve"> </v>
      </c>
      <c r="N81"/>
    </row>
    <row r="82" spans="13:14" x14ac:dyDescent="0.3">
      <c r="M82" s="137" t="str">
        <f t="shared" si="1"/>
        <v xml:space="preserve"> </v>
      </c>
      <c r="N82"/>
    </row>
    <row r="83" spans="13:14" x14ac:dyDescent="0.3">
      <c r="M83" s="137" t="str">
        <f t="shared" si="1"/>
        <v xml:space="preserve"> </v>
      </c>
      <c r="N83"/>
    </row>
    <row r="84" spans="13:14" x14ac:dyDescent="0.3">
      <c r="M84" s="137" t="str">
        <f t="shared" si="1"/>
        <v xml:space="preserve"> </v>
      </c>
      <c r="N84"/>
    </row>
    <row r="85" spans="13:14" x14ac:dyDescent="0.3">
      <c r="M85" s="137" t="str">
        <f t="shared" si="1"/>
        <v xml:space="preserve"> </v>
      </c>
      <c r="N85"/>
    </row>
    <row r="86" spans="13:14" x14ac:dyDescent="0.3">
      <c r="M86" s="137" t="str">
        <f t="shared" si="1"/>
        <v xml:space="preserve"> </v>
      </c>
      <c r="N86"/>
    </row>
    <row r="87" spans="13:14" x14ac:dyDescent="0.3">
      <c r="M87" s="137" t="str">
        <f t="shared" si="1"/>
        <v xml:space="preserve"> </v>
      </c>
      <c r="N87"/>
    </row>
    <row r="88" spans="13:14" x14ac:dyDescent="0.3">
      <c r="M88" s="137" t="str">
        <f t="shared" si="1"/>
        <v xml:space="preserve"> </v>
      </c>
      <c r="N88"/>
    </row>
    <row r="89" spans="13:14" x14ac:dyDescent="0.3">
      <c r="M89" s="137" t="str">
        <f t="shared" si="1"/>
        <v xml:space="preserve"> </v>
      </c>
      <c r="N89"/>
    </row>
    <row r="90" spans="13:14" x14ac:dyDescent="0.3">
      <c r="M90" s="137" t="str">
        <f t="shared" si="1"/>
        <v xml:space="preserve"> </v>
      </c>
      <c r="N90"/>
    </row>
    <row r="91" spans="13:14" x14ac:dyDescent="0.3">
      <c r="M91" s="137" t="str">
        <f t="shared" si="1"/>
        <v xml:space="preserve"> </v>
      </c>
      <c r="N91"/>
    </row>
    <row r="92" spans="13:14" x14ac:dyDescent="0.3">
      <c r="M92" s="137" t="str">
        <f t="shared" si="1"/>
        <v xml:space="preserve"> </v>
      </c>
      <c r="N92"/>
    </row>
    <row r="93" spans="13:14" x14ac:dyDescent="0.3">
      <c r="M93" s="137" t="str">
        <f t="shared" si="1"/>
        <v xml:space="preserve"> </v>
      </c>
      <c r="N93"/>
    </row>
    <row r="94" spans="13:14" x14ac:dyDescent="0.3">
      <c r="M94" s="137" t="str">
        <f t="shared" si="1"/>
        <v xml:space="preserve"> </v>
      </c>
      <c r="N94"/>
    </row>
    <row r="95" spans="13:14" x14ac:dyDescent="0.3">
      <c r="M95" s="137" t="str">
        <f t="shared" si="1"/>
        <v xml:space="preserve"> </v>
      </c>
      <c r="N95"/>
    </row>
    <row r="96" spans="13:14" x14ac:dyDescent="0.3">
      <c r="M96" s="137" t="str">
        <f t="shared" si="1"/>
        <v xml:space="preserve"> </v>
      </c>
      <c r="N96"/>
    </row>
    <row r="97" spans="13:14" x14ac:dyDescent="0.3">
      <c r="M97" s="137" t="str">
        <f t="shared" si="1"/>
        <v xml:space="preserve"> </v>
      </c>
      <c r="N97"/>
    </row>
    <row r="98" spans="13:14" x14ac:dyDescent="0.3">
      <c r="M98" s="137" t="str">
        <f t="shared" si="1"/>
        <v xml:space="preserve"> </v>
      </c>
      <c r="N98"/>
    </row>
    <row r="99" spans="13:14" x14ac:dyDescent="0.3">
      <c r="M99" s="137" t="str">
        <f t="shared" si="1"/>
        <v xml:space="preserve"> </v>
      </c>
      <c r="N99"/>
    </row>
    <row r="100" spans="13:14" x14ac:dyDescent="0.3">
      <c r="M100" s="137" t="str">
        <f t="shared" si="1"/>
        <v xml:space="preserve"> </v>
      </c>
      <c r="N100"/>
    </row>
    <row r="101" spans="13:14" x14ac:dyDescent="0.3">
      <c r="M101" s="137" t="str">
        <f t="shared" si="1"/>
        <v xml:space="preserve"> </v>
      </c>
      <c r="N101"/>
    </row>
    <row r="102" spans="13:14" x14ac:dyDescent="0.3">
      <c r="M102" s="137" t="str">
        <f t="shared" si="1"/>
        <v xml:space="preserve"> </v>
      </c>
      <c r="N102"/>
    </row>
    <row r="103" spans="13:14" x14ac:dyDescent="0.3">
      <c r="M103" s="137" t="str">
        <f t="shared" si="1"/>
        <v xml:space="preserve"> </v>
      </c>
      <c r="N103"/>
    </row>
    <row r="104" spans="13:14" x14ac:dyDescent="0.3">
      <c r="M104" s="137" t="str">
        <f t="shared" si="1"/>
        <v xml:space="preserve"> </v>
      </c>
      <c r="N104"/>
    </row>
    <row r="105" spans="13:14" x14ac:dyDescent="0.3">
      <c r="M105" s="137" t="str">
        <f t="shared" si="1"/>
        <v xml:space="preserve"> </v>
      </c>
      <c r="N105"/>
    </row>
    <row r="106" spans="13:14" x14ac:dyDescent="0.3">
      <c r="M106" s="137" t="str">
        <f t="shared" si="1"/>
        <v xml:space="preserve"> </v>
      </c>
      <c r="N106"/>
    </row>
    <row r="107" spans="13:14" x14ac:dyDescent="0.3">
      <c r="M107" s="137" t="str">
        <f t="shared" si="1"/>
        <v xml:space="preserve"> </v>
      </c>
      <c r="N107"/>
    </row>
    <row r="108" spans="13:14" x14ac:dyDescent="0.3">
      <c r="M108" s="137" t="str">
        <f t="shared" si="1"/>
        <v xml:space="preserve"> </v>
      </c>
      <c r="N108"/>
    </row>
    <row r="109" spans="13:14" x14ac:dyDescent="0.3">
      <c r="M109" s="137" t="str">
        <f t="shared" si="1"/>
        <v xml:space="preserve"> </v>
      </c>
      <c r="N109"/>
    </row>
    <row r="110" spans="13:14" x14ac:dyDescent="0.3">
      <c r="M110" s="137" t="str">
        <f t="shared" si="1"/>
        <v xml:space="preserve"> </v>
      </c>
      <c r="N110"/>
    </row>
    <row r="111" spans="13:14" x14ac:dyDescent="0.3">
      <c r="M111" s="137" t="str">
        <f t="shared" si="1"/>
        <v xml:space="preserve"> </v>
      </c>
      <c r="N111"/>
    </row>
    <row r="112" spans="13:14" x14ac:dyDescent="0.3">
      <c r="M112" s="137" t="str">
        <f t="shared" si="1"/>
        <v xml:space="preserve"> </v>
      </c>
      <c r="N112"/>
    </row>
    <row r="113" spans="13:14" x14ac:dyDescent="0.3">
      <c r="M113" s="137" t="str">
        <f t="shared" si="1"/>
        <v xml:space="preserve"> </v>
      </c>
      <c r="N113"/>
    </row>
    <row r="114" spans="13:14" x14ac:dyDescent="0.3">
      <c r="M114" s="137" t="str">
        <f t="shared" si="1"/>
        <v xml:space="preserve"> </v>
      </c>
      <c r="N114"/>
    </row>
    <row r="115" spans="13:14" x14ac:dyDescent="0.3">
      <c r="M115" s="137" t="str">
        <f t="shared" si="1"/>
        <v xml:space="preserve"> </v>
      </c>
      <c r="N115"/>
    </row>
    <row r="116" spans="13:14" x14ac:dyDescent="0.3">
      <c r="M116" s="137" t="str">
        <f t="shared" si="1"/>
        <v xml:space="preserve"> </v>
      </c>
      <c r="N116"/>
    </row>
    <row r="117" spans="13:14" x14ac:dyDescent="0.3">
      <c r="M117" s="137" t="str">
        <f t="shared" si="1"/>
        <v xml:space="preserve"> </v>
      </c>
      <c r="N117"/>
    </row>
    <row r="118" spans="13:14" x14ac:dyDescent="0.3">
      <c r="M118" s="137" t="str">
        <f t="shared" si="1"/>
        <v xml:space="preserve"> </v>
      </c>
      <c r="N118"/>
    </row>
    <row r="119" spans="13:14" x14ac:dyDescent="0.3">
      <c r="M119" s="137" t="str">
        <f t="shared" si="1"/>
        <v xml:space="preserve"> </v>
      </c>
      <c r="N119"/>
    </row>
    <row r="120" spans="13:14" x14ac:dyDescent="0.3">
      <c r="M120" s="137" t="str">
        <f t="shared" si="1"/>
        <v xml:space="preserve"> </v>
      </c>
      <c r="N120"/>
    </row>
    <row r="121" spans="13:14" x14ac:dyDescent="0.3">
      <c r="M121" s="137" t="str">
        <f t="shared" si="1"/>
        <v xml:space="preserve"> </v>
      </c>
      <c r="N121"/>
    </row>
    <row r="122" spans="13:14" x14ac:dyDescent="0.3">
      <c r="M122" s="137" t="str">
        <f t="shared" si="1"/>
        <v xml:space="preserve"> </v>
      </c>
      <c r="N122"/>
    </row>
    <row r="123" spans="13:14" x14ac:dyDescent="0.3">
      <c r="M123" s="137" t="str">
        <f t="shared" si="1"/>
        <v xml:space="preserve"> </v>
      </c>
      <c r="N123"/>
    </row>
    <row r="124" spans="13:14" x14ac:dyDescent="0.3">
      <c r="M124" s="137" t="str">
        <f t="shared" si="1"/>
        <v xml:space="preserve"> </v>
      </c>
      <c r="N124"/>
    </row>
    <row r="125" spans="13:14" x14ac:dyDescent="0.3">
      <c r="M125" s="137" t="str">
        <f t="shared" si="1"/>
        <v xml:space="preserve"> </v>
      </c>
      <c r="N125"/>
    </row>
    <row r="126" spans="13:14" x14ac:dyDescent="0.3">
      <c r="M126" s="137" t="str">
        <f t="shared" si="1"/>
        <v xml:space="preserve"> </v>
      </c>
      <c r="N126"/>
    </row>
    <row r="127" spans="13:14" x14ac:dyDescent="0.3">
      <c r="M127" s="137" t="str">
        <f t="shared" si="1"/>
        <v xml:space="preserve"> </v>
      </c>
      <c r="N127"/>
    </row>
    <row r="128" spans="13:14" x14ac:dyDescent="0.3">
      <c r="M128" s="137" t="str">
        <f t="shared" si="1"/>
        <v xml:space="preserve"> </v>
      </c>
      <c r="N128"/>
    </row>
    <row r="129" spans="13:14" x14ac:dyDescent="0.3">
      <c r="M129" s="137" t="str">
        <f t="shared" si="1"/>
        <v xml:space="preserve"> </v>
      </c>
      <c r="N129"/>
    </row>
    <row r="130" spans="13:14" x14ac:dyDescent="0.3">
      <c r="M130" s="137" t="str">
        <f t="shared" ref="M130:M193" si="2">_xlfn.CONCAT(L130," ",F130)</f>
        <v xml:space="preserve"> </v>
      </c>
      <c r="N130"/>
    </row>
    <row r="131" spans="13:14" x14ac:dyDescent="0.3">
      <c r="M131" s="137" t="str">
        <f t="shared" si="2"/>
        <v xml:space="preserve"> </v>
      </c>
      <c r="N131"/>
    </row>
    <row r="132" spans="13:14" x14ac:dyDescent="0.3">
      <c r="M132" s="137" t="str">
        <f t="shared" si="2"/>
        <v xml:space="preserve"> </v>
      </c>
      <c r="N132"/>
    </row>
    <row r="133" spans="13:14" x14ac:dyDescent="0.3">
      <c r="M133" s="137" t="str">
        <f t="shared" si="2"/>
        <v xml:space="preserve"> </v>
      </c>
      <c r="N133"/>
    </row>
    <row r="134" spans="13:14" x14ac:dyDescent="0.3">
      <c r="M134" s="137" t="str">
        <f t="shared" si="2"/>
        <v xml:space="preserve"> </v>
      </c>
      <c r="N134"/>
    </row>
    <row r="135" spans="13:14" x14ac:dyDescent="0.3">
      <c r="M135" s="137" t="str">
        <f t="shared" si="2"/>
        <v xml:space="preserve"> </v>
      </c>
      <c r="N135"/>
    </row>
    <row r="136" spans="13:14" x14ac:dyDescent="0.3">
      <c r="M136" s="137" t="str">
        <f t="shared" si="2"/>
        <v xml:space="preserve"> </v>
      </c>
      <c r="N136"/>
    </row>
    <row r="137" spans="13:14" x14ac:dyDescent="0.3">
      <c r="M137" s="137" t="str">
        <f t="shared" si="2"/>
        <v xml:space="preserve"> </v>
      </c>
      <c r="N137"/>
    </row>
    <row r="138" spans="13:14" x14ac:dyDescent="0.3">
      <c r="M138" s="137" t="str">
        <f t="shared" si="2"/>
        <v xml:space="preserve"> </v>
      </c>
      <c r="N138"/>
    </row>
    <row r="139" spans="13:14" x14ac:dyDescent="0.3">
      <c r="M139" s="137" t="str">
        <f t="shared" si="2"/>
        <v xml:space="preserve"> </v>
      </c>
      <c r="N139"/>
    </row>
    <row r="140" spans="13:14" x14ac:dyDescent="0.3">
      <c r="M140" s="137" t="str">
        <f t="shared" si="2"/>
        <v xml:space="preserve"> </v>
      </c>
      <c r="N140"/>
    </row>
    <row r="141" spans="13:14" x14ac:dyDescent="0.3">
      <c r="M141" s="137" t="str">
        <f t="shared" si="2"/>
        <v xml:space="preserve"> </v>
      </c>
      <c r="N141"/>
    </row>
    <row r="142" spans="13:14" x14ac:dyDescent="0.3">
      <c r="M142" s="137" t="str">
        <f t="shared" si="2"/>
        <v xml:space="preserve"> </v>
      </c>
      <c r="N142"/>
    </row>
    <row r="143" spans="13:14" x14ac:dyDescent="0.3">
      <c r="M143" s="137" t="str">
        <f t="shared" si="2"/>
        <v xml:space="preserve"> </v>
      </c>
      <c r="N143"/>
    </row>
    <row r="144" spans="13:14" x14ac:dyDescent="0.3">
      <c r="M144" s="137" t="str">
        <f t="shared" si="2"/>
        <v xml:space="preserve"> </v>
      </c>
      <c r="N144"/>
    </row>
    <row r="145" spans="13:14" x14ac:dyDescent="0.3">
      <c r="M145" s="137" t="str">
        <f t="shared" si="2"/>
        <v xml:space="preserve"> </v>
      </c>
      <c r="N145"/>
    </row>
    <row r="146" spans="13:14" x14ac:dyDescent="0.3">
      <c r="M146" s="137" t="str">
        <f t="shared" si="2"/>
        <v xml:space="preserve"> </v>
      </c>
      <c r="N146"/>
    </row>
    <row r="147" spans="13:14" x14ac:dyDescent="0.3">
      <c r="M147" s="137" t="str">
        <f t="shared" si="2"/>
        <v xml:space="preserve"> </v>
      </c>
      <c r="N147"/>
    </row>
    <row r="148" spans="13:14" x14ac:dyDescent="0.3">
      <c r="M148" s="137" t="str">
        <f t="shared" si="2"/>
        <v xml:space="preserve"> </v>
      </c>
      <c r="N148"/>
    </row>
    <row r="149" spans="13:14" x14ac:dyDescent="0.3">
      <c r="M149" s="137" t="str">
        <f t="shared" si="2"/>
        <v xml:space="preserve"> </v>
      </c>
      <c r="N149"/>
    </row>
    <row r="150" spans="13:14" x14ac:dyDescent="0.3">
      <c r="M150" s="137" t="str">
        <f t="shared" si="2"/>
        <v xml:space="preserve"> </v>
      </c>
      <c r="N150"/>
    </row>
    <row r="151" spans="13:14" x14ac:dyDescent="0.3">
      <c r="M151" s="137" t="str">
        <f t="shared" si="2"/>
        <v xml:space="preserve"> </v>
      </c>
      <c r="N151"/>
    </row>
    <row r="152" spans="13:14" x14ac:dyDescent="0.3">
      <c r="M152" s="137" t="str">
        <f t="shared" si="2"/>
        <v xml:space="preserve"> </v>
      </c>
      <c r="N152"/>
    </row>
    <row r="153" spans="13:14" x14ac:dyDescent="0.3">
      <c r="M153" s="137" t="str">
        <f t="shared" si="2"/>
        <v xml:space="preserve"> </v>
      </c>
      <c r="N153"/>
    </row>
    <row r="154" spans="13:14" x14ac:dyDescent="0.3">
      <c r="M154" s="137" t="str">
        <f t="shared" si="2"/>
        <v xml:space="preserve"> </v>
      </c>
      <c r="N154"/>
    </row>
    <row r="155" spans="13:14" x14ac:dyDescent="0.3">
      <c r="M155" s="137" t="str">
        <f t="shared" si="2"/>
        <v xml:space="preserve"> </v>
      </c>
      <c r="N155"/>
    </row>
    <row r="156" spans="13:14" x14ac:dyDescent="0.3">
      <c r="M156" s="137" t="str">
        <f t="shared" si="2"/>
        <v xml:space="preserve"> </v>
      </c>
      <c r="N156"/>
    </row>
    <row r="157" spans="13:14" x14ac:dyDescent="0.3">
      <c r="M157" s="137" t="str">
        <f t="shared" si="2"/>
        <v xml:space="preserve"> </v>
      </c>
      <c r="N157"/>
    </row>
    <row r="158" spans="13:14" x14ac:dyDescent="0.3">
      <c r="M158" s="137" t="str">
        <f t="shared" si="2"/>
        <v xml:space="preserve"> </v>
      </c>
      <c r="N158"/>
    </row>
    <row r="159" spans="13:14" x14ac:dyDescent="0.3">
      <c r="M159" s="137" t="str">
        <f t="shared" si="2"/>
        <v xml:space="preserve"> </v>
      </c>
      <c r="N159"/>
    </row>
    <row r="160" spans="13:14" x14ac:dyDescent="0.3">
      <c r="M160" s="137" t="str">
        <f t="shared" si="2"/>
        <v xml:space="preserve"> </v>
      </c>
      <c r="N160"/>
    </row>
    <row r="161" spans="13:14" x14ac:dyDescent="0.3">
      <c r="M161" s="137" t="str">
        <f t="shared" si="2"/>
        <v xml:space="preserve"> </v>
      </c>
      <c r="N161"/>
    </row>
    <row r="162" spans="13:14" x14ac:dyDescent="0.3">
      <c r="M162" s="137" t="str">
        <f t="shared" si="2"/>
        <v xml:space="preserve"> </v>
      </c>
      <c r="N162"/>
    </row>
    <row r="163" spans="13:14" x14ac:dyDescent="0.3">
      <c r="M163" s="137" t="str">
        <f t="shared" si="2"/>
        <v xml:space="preserve"> </v>
      </c>
      <c r="N163"/>
    </row>
    <row r="164" spans="13:14" x14ac:dyDescent="0.3">
      <c r="M164" s="137" t="str">
        <f t="shared" si="2"/>
        <v xml:space="preserve"> </v>
      </c>
      <c r="N164"/>
    </row>
    <row r="165" spans="13:14" x14ac:dyDescent="0.3">
      <c r="M165" s="137" t="str">
        <f t="shared" si="2"/>
        <v xml:space="preserve"> </v>
      </c>
      <c r="N165"/>
    </row>
    <row r="166" spans="13:14" x14ac:dyDescent="0.3">
      <c r="M166" s="137" t="str">
        <f t="shared" si="2"/>
        <v xml:space="preserve"> </v>
      </c>
      <c r="N166"/>
    </row>
    <row r="167" spans="13:14" x14ac:dyDescent="0.3">
      <c r="M167" s="137" t="str">
        <f t="shared" si="2"/>
        <v xml:space="preserve"> </v>
      </c>
      <c r="N167"/>
    </row>
    <row r="168" spans="13:14" x14ac:dyDescent="0.3">
      <c r="M168" s="137" t="str">
        <f t="shared" si="2"/>
        <v xml:space="preserve"> </v>
      </c>
      <c r="N168"/>
    </row>
    <row r="169" spans="13:14" x14ac:dyDescent="0.3">
      <c r="M169" s="137" t="str">
        <f t="shared" si="2"/>
        <v xml:space="preserve"> </v>
      </c>
      <c r="N169"/>
    </row>
    <row r="170" spans="13:14" x14ac:dyDescent="0.3">
      <c r="M170" s="137" t="str">
        <f t="shared" si="2"/>
        <v xml:space="preserve"> </v>
      </c>
      <c r="N170"/>
    </row>
    <row r="171" spans="13:14" x14ac:dyDescent="0.3">
      <c r="M171" s="137" t="str">
        <f t="shared" si="2"/>
        <v xml:space="preserve"> </v>
      </c>
      <c r="N171"/>
    </row>
    <row r="172" spans="13:14" x14ac:dyDescent="0.3">
      <c r="M172" s="137" t="str">
        <f t="shared" si="2"/>
        <v xml:space="preserve"> </v>
      </c>
      <c r="N172"/>
    </row>
    <row r="173" spans="13:14" x14ac:dyDescent="0.3">
      <c r="M173" s="137" t="str">
        <f t="shared" si="2"/>
        <v xml:space="preserve"> </v>
      </c>
      <c r="N173"/>
    </row>
    <row r="174" spans="13:14" x14ac:dyDescent="0.3">
      <c r="M174" s="137" t="str">
        <f t="shared" si="2"/>
        <v xml:space="preserve"> </v>
      </c>
      <c r="N174"/>
    </row>
    <row r="175" spans="13:14" x14ac:dyDescent="0.3">
      <c r="M175" s="137" t="str">
        <f t="shared" si="2"/>
        <v xml:space="preserve"> </v>
      </c>
      <c r="N175"/>
    </row>
    <row r="176" spans="13:14" x14ac:dyDescent="0.3">
      <c r="M176" s="137" t="str">
        <f t="shared" si="2"/>
        <v xml:space="preserve"> </v>
      </c>
      <c r="N176"/>
    </row>
    <row r="177" spans="13:14" x14ac:dyDescent="0.3">
      <c r="M177" s="137" t="str">
        <f t="shared" si="2"/>
        <v xml:space="preserve"> </v>
      </c>
      <c r="N177"/>
    </row>
    <row r="178" spans="13:14" x14ac:dyDescent="0.3">
      <c r="M178" s="137" t="str">
        <f t="shared" si="2"/>
        <v xml:space="preserve"> </v>
      </c>
      <c r="N178"/>
    </row>
    <row r="179" spans="13:14" x14ac:dyDescent="0.3">
      <c r="M179" s="137" t="str">
        <f t="shared" si="2"/>
        <v xml:space="preserve"> </v>
      </c>
      <c r="N179"/>
    </row>
    <row r="180" spans="13:14" x14ac:dyDescent="0.3">
      <c r="M180" s="137" t="str">
        <f t="shared" si="2"/>
        <v xml:space="preserve"> </v>
      </c>
      <c r="N180"/>
    </row>
    <row r="181" spans="13:14" x14ac:dyDescent="0.3">
      <c r="M181" s="137" t="str">
        <f t="shared" si="2"/>
        <v xml:space="preserve"> </v>
      </c>
      <c r="N181"/>
    </row>
    <row r="182" spans="13:14" x14ac:dyDescent="0.3">
      <c r="M182" s="137" t="str">
        <f t="shared" si="2"/>
        <v xml:space="preserve"> </v>
      </c>
      <c r="N182"/>
    </row>
    <row r="183" spans="13:14" x14ac:dyDescent="0.3">
      <c r="M183" s="137" t="str">
        <f t="shared" si="2"/>
        <v xml:space="preserve"> </v>
      </c>
      <c r="N183"/>
    </row>
    <row r="184" spans="13:14" x14ac:dyDescent="0.3">
      <c r="M184" s="137" t="str">
        <f t="shared" si="2"/>
        <v xml:space="preserve"> </v>
      </c>
      <c r="N184"/>
    </row>
    <row r="185" spans="13:14" x14ac:dyDescent="0.3">
      <c r="M185" s="137" t="str">
        <f t="shared" si="2"/>
        <v xml:space="preserve"> </v>
      </c>
      <c r="N185"/>
    </row>
    <row r="186" spans="13:14" x14ac:dyDescent="0.3">
      <c r="M186" s="137" t="str">
        <f t="shared" si="2"/>
        <v xml:space="preserve"> </v>
      </c>
      <c r="N186"/>
    </row>
    <row r="187" spans="13:14" x14ac:dyDescent="0.3">
      <c r="M187" s="137" t="str">
        <f t="shared" si="2"/>
        <v xml:space="preserve"> </v>
      </c>
      <c r="N187"/>
    </row>
    <row r="188" spans="13:14" x14ac:dyDescent="0.3">
      <c r="M188" s="137" t="str">
        <f t="shared" si="2"/>
        <v xml:space="preserve"> </v>
      </c>
      <c r="N188"/>
    </row>
    <row r="189" spans="13:14" x14ac:dyDescent="0.3">
      <c r="M189" s="137" t="str">
        <f t="shared" si="2"/>
        <v xml:space="preserve"> </v>
      </c>
      <c r="N189"/>
    </row>
    <row r="190" spans="13:14" x14ac:dyDescent="0.3">
      <c r="M190" s="137" t="str">
        <f t="shared" si="2"/>
        <v xml:space="preserve"> </v>
      </c>
      <c r="N190"/>
    </row>
    <row r="191" spans="13:14" x14ac:dyDescent="0.3">
      <c r="M191" s="137" t="str">
        <f t="shared" si="2"/>
        <v xml:space="preserve"> </v>
      </c>
      <c r="N191"/>
    </row>
    <row r="192" spans="13:14" x14ac:dyDescent="0.3">
      <c r="M192" s="137" t="str">
        <f t="shared" si="2"/>
        <v xml:space="preserve"> </v>
      </c>
      <c r="N192"/>
    </row>
    <row r="193" spans="13:14" x14ac:dyDescent="0.3">
      <c r="M193" s="137" t="str">
        <f t="shared" si="2"/>
        <v xml:space="preserve"> </v>
      </c>
      <c r="N193"/>
    </row>
    <row r="194" spans="13:14" x14ac:dyDescent="0.3">
      <c r="M194" s="137" t="str">
        <f t="shared" ref="M194:M257" si="3">_xlfn.CONCAT(L194," ",F194)</f>
        <v xml:space="preserve"> </v>
      </c>
      <c r="N194"/>
    </row>
    <row r="195" spans="13:14" x14ac:dyDescent="0.3">
      <c r="M195" s="137" t="str">
        <f t="shared" si="3"/>
        <v xml:space="preserve"> </v>
      </c>
      <c r="N195"/>
    </row>
    <row r="196" spans="13:14" x14ac:dyDescent="0.3">
      <c r="M196" s="137" t="str">
        <f t="shared" si="3"/>
        <v xml:space="preserve"> </v>
      </c>
      <c r="N196"/>
    </row>
    <row r="197" spans="13:14" x14ac:dyDescent="0.3">
      <c r="M197" s="137" t="str">
        <f t="shared" si="3"/>
        <v xml:space="preserve"> </v>
      </c>
      <c r="N197"/>
    </row>
    <row r="198" spans="13:14" x14ac:dyDescent="0.3">
      <c r="M198" s="137" t="str">
        <f t="shared" si="3"/>
        <v xml:space="preserve"> </v>
      </c>
      <c r="N198"/>
    </row>
    <row r="199" spans="13:14" x14ac:dyDescent="0.3">
      <c r="M199" s="137" t="str">
        <f t="shared" si="3"/>
        <v xml:space="preserve"> </v>
      </c>
      <c r="N199"/>
    </row>
    <row r="200" spans="13:14" x14ac:dyDescent="0.3">
      <c r="M200" s="137" t="str">
        <f t="shared" si="3"/>
        <v xml:space="preserve"> </v>
      </c>
      <c r="N200"/>
    </row>
    <row r="201" spans="13:14" x14ac:dyDescent="0.3">
      <c r="M201" s="137" t="str">
        <f t="shared" si="3"/>
        <v xml:space="preserve"> </v>
      </c>
      <c r="N201"/>
    </row>
    <row r="202" spans="13:14" x14ac:dyDescent="0.3">
      <c r="M202" s="137" t="str">
        <f t="shared" si="3"/>
        <v xml:space="preserve"> </v>
      </c>
      <c r="N202"/>
    </row>
    <row r="203" spans="13:14" x14ac:dyDescent="0.3">
      <c r="M203" s="137" t="str">
        <f t="shared" si="3"/>
        <v xml:space="preserve"> </v>
      </c>
      <c r="N203"/>
    </row>
    <row r="204" spans="13:14" x14ac:dyDescent="0.3">
      <c r="M204" s="137" t="str">
        <f t="shared" si="3"/>
        <v xml:space="preserve"> </v>
      </c>
      <c r="N204"/>
    </row>
    <row r="205" spans="13:14" x14ac:dyDescent="0.3">
      <c r="M205" s="137" t="str">
        <f t="shared" si="3"/>
        <v xml:space="preserve"> </v>
      </c>
      <c r="N205"/>
    </row>
    <row r="206" spans="13:14" x14ac:dyDescent="0.3">
      <c r="M206" s="137" t="str">
        <f t="shared" si="3"/>
        <v xml:space="preserve"> </v>
      </c>
      <c r="N206"/>
    </row>
    <row r="207" spans="13:14" x14ac:dyDescent="0.3">
      <c r="M207" s="137" t="str">
        <f t="shared" si="3"/>
        <v xml:space="preserve"> </v>
      </c>
      <c r="N207"/>
    </row>
    <row r="208" spans="13:14" x14ac:dyDescent="0.3">
      <c r="M208" s="137" t="str">
        <f t="shared" si="3"/>
        <v xml:space="preserve"> </v>
      </c>
      <c r="N208"/>
    </row>
    <row r="209" spans="13:14" x14ac:dyDescent="0.3">
      <c r="M209" s="137" t="str">
        <f t="shared" si="3"/>
        <v xml:space="preserve"> </v>
      </c>
      <c r="N209"/>
    </row>
    <row r="210" spans="13:14" x14ac:dyDescent="0.3">
      <c r="M210" s="137" t="str">
        <f t="shared" si="3"/>
        <v xml:space="preserve"> </v>
      </c>
      <c r="N210"/>
    </row>
    <row r="211" spans="13:14" x14ac:dyDescent="0.3">
      <c r="M211" s="137" t="str">
        <f t="shared" si="3"/>
        <v xml:space="preserve"> </v>
      </c>
      <c r="N211"/>
    </row>
    <row r="212" spans="13:14" x14ac:dyDescent="0.3">
      <c r="M212" s="137" t="str">
        <f t="shared" si="3"/>
        <v xml:space="preserve"> </v>
      </c>
      <c r="N212"/>
    </row>
    <row r="213" spans="13:14" x14ac:dyDescent="0.3">
      <c r="M213" s="137" t="str">
        <f t="shared" si="3"/>
        <v xml:space="preserve"> </v>
      </c>
      <c r="N213"/>
    </row>
    <row r="214" spans="13:14" x14ac:dyDescent="0.3">
      <c r="M214" s="137" t="str">
        <f t="shared" si="3"/>
        <v xml:space="preserve"> </v>
      </c>
      <c r="N214"/>
    </row>
    <row r="215" spans="13:14" x14ac:dyDescent="0.3">
      <c r="M215" s="137" t="str">
        <f t="shared" si="3"/>
        <v xml:space="preserve"> </v>
      </c>
      <c r="N215"/>
    </row>
    <row r="216" spans="13:14" x14ac:dyDescent="0.3">
      <c r="M216" s="137" t="str">
        <f t="shared" si="3"/>
        <v xml:space="preserve"> </v>
      </c>
      <c r="N216"/>
    </row>
    <row r="217" spans="13:14" x14ac:dyDescent="0.3">
      <c r="M217" s="137" t="str">
        <f t="shared" si="3"/>
        <v xml:space="preserve"> </v>
      </c>
      <c r="N217"/>
    </row>
    <row r="218" spans="13:14" x14ac:dyDescent="0.3">
      <c r="M218" s="137" t="str">
        <f t="shared" si="3"/>
        <v xml:space="preserve"> </v>
      </c>
      <c r="N218"/>
    </row>
    <row r="219" spans="13:14" x14ac:dyDescent="0.3">
      <c r="M219" s="137" t="str">
        <f t="shared" si="3"/>
        <v xml:space="preserve"> </v>
      </c>
      <c r="N219"/>
    </row>
    <row r="220" spans="13:14" x14ac:dyDescent="0.3">
      <c r="M220" s="137" t="str">
        <f t="shared" si="3"/>
        <v xml:space="preserve"> </v>
      </c>
      <c r="N220"/>
    </row>
    <row r="221" spans="13:14" x14ac:dyDescent="0.3">
      <c r="M221" s="137" t="str">
        <f t="shared" si="3"/>
        <v xml:space="preserve"> </v>
      </c>
      <c r="N221"/>
    </row>
    <row r="222" spans="13:14" x14ac:dyDescent="0.3">
      <c r="M222" s="137" t="str">
        <f t="shared" si="3"/>
        <v xml:space="preserve"> </v>
      </c>
      <c r="N222"/>
    </row>
    <row r="223" spans="13:14" x14ac:dyDescent="0.3">
      <c r="M223" s="137" t="str">
        <f t="shared" si="3"/>
        <v xml:space="preserve"> </v>
      </c>
      <c r="N223"/>
    </row>
    <row r="224" spans="13:14" x14ac:dyDescent="0.3">
      <c r="M224" s="137" t="str">
        <f t="shared" si="3"/>
        <v xml:space="preserve"> </v>
      </c>
      <c r="N224"/>
    </row>
    <row r="225" spans="13:14" x14ac:dyDescent="0.3">
      <c r="M225" s="137" t="str">
        <f t="shared" si="3"/>
        <v xml:space="preserve"> </v>
      </c>
      <c r="N225"/>
    </row>
    <row r="226" spans="13:14" x14ac:dyDescent="0.3">
      <c r="M226" s="137" t="str">
        <f t="shared" si="3"/>
        <v xml:space="preserve"> </v>
      </c>
      <c r="N226"/>
    </row>
    <row r="227" spans="13:14" x14ac:dyDescent="0.3">
      <c r="M227" s="137" t="str">
        <f t="shared" si="3"/>
        <v xml:space="preserve"> </v>
      </c>
      <c r="N227"/>
    </row>
    <row r="228" spans="13:14" x14ac:dyDescent="0.3">
      <c r="M228" s="137" t="str">
        <f t="shared" si="3"/>
        <v xml:space="preserve"> </v>
      </c>
      <c r="N228"/>
    </row>
    <row r="229" spans="13:14" x14ac:dyDescent="0.3">
      <c r="M229" s="137" t="str">
        <f t="shared" si="3"/>
        <v xml:space="preserve"> </v>
      </c>
      <c r="N229"/>
    </row>
    <row r="230" spans="13:14" x14ac:dyDescent="0.3">
      <c r="M230" s="137" t="str">
        <f t="shared" si="3"/>
        <v xml:space="preserve"> </v>
      </c>
      <c r="N230"/>
    </row>
    <row r="231" spans="13:14" x14ac:dyDescent="0.3">
      <c r="M231" s="137" t="str">
        <f t="shared" si="3"/>
        <v xml:space="preserve"> </v>
      </c>
      <c r="N231"/>
    </row>
    <row r="232" spans="13:14" x14ac:dyDescent="0.3">
      <c r="M232" s="137" t="str">
        <f t="shared" si="3"/>
        <v xml:space="preserve"> </v>
      </c>
      <c r="N232"/>
    </row>
    <row r="233" spans="13:14" x14ac:dyDescent="0.3">
      <c r="M233" s="137" t="str">
        <f t="shared" si="3"/>
        <v xml:space="preserve"> </v>
      </c>
      <c r="N233"/>
    </row>
    <row r="234" spans="13:14" x14ac:dyDescent="0.3">
      <c r="M234" s="137" t="str">
        <f t="shared" si="3"/>
        <v xml:space="preserve"> </v>
      </c>
      <c r="N234"/>
    </row>
    <row r="235" spans="13:14" x14ac:dyDescent="0.3">
      <c r="M235" s="137" t="str">
        <f t="shared" si="3"/>
        <v xml:space="preserve"> </v>
      </c>
      <c r="N235"/>
    </row>
    <row r="236" spans="13:14" x14ac:dyDescent="0.3">
      <c r="M236" s="137" t="str">
        <f t="shared" si="3"/>
        <v xml:space="preserve"> </v>
      </c>
      <c r="N236"/>
    </row>
    <row r="237" spans="13:14" x14ac:dyDescent="0.3">
      <c r="M237" s="137" t="str">
        <f t="shared" si="3"/>
        <v xml:space="preserve"> </v>
      </c>
      <c r="N237"/>
    </row>
    <row r="238" spans="13:14" x14ac:dyDescent="0.3">
      <c r="M238" s="137" t="str">
        <f t="shared" si="3"/>
        <v xml:space="preserve"> </v>
      </c>
      <c r="N238"/>
    </row>
    <row r="239" spans="13:14" x14ac:dyDescent="0.3">
      <c r="M239" s="137" t="str">
        <f t="shared" si="3"/>
        <v xml:space="preserve"> </v>
      </c>
      <c r="N239"/>
    </row>
    <row r="240" spans="13:14" x14ac:dyDescent="0.3">
      <c r="M240" s="137" t="str">
        <f t="shared" si="3"/>
        <v xml:space="preserve"> </v>
      </c>
      <c r="N240"/>
    </row>
    <row r="241" spans="13:14" x14ac:dyDescent="0.3">
      <c r="M241" s="137" t="str">
        <f t="shared" si="3"/>
        <v xml:space="preserve"> </v>
      </c>
      <c r="N241"/>
    </row>
    <row r="242" spans="13:14" x14ac:dyDescent="0.3">
      <c r="M242" s="137" t="str">
        <f t="shared" si="3"/>
        <v xml:space="preserve"> </v>
      </c>
      <c r="N242"/>
    </row>
    <row r="243" spans="13:14" x14ac:dyDescent="0.3">
      <c r="M243" s="137" t="str">
        <f t="shared" si="3"/>
        <v xml:space="preserve"> </v>
      </c>
      <c r="N243"/>
    </row>
    <row r="244" spans="13:14" x14ac:dyDescent="0.3">
      <c r="M244" s="137" t="str">
        <f t="shared" si="3"/>
        <v xml:space="preserve"> </v>
      </c>
      <c r="N244"/>
    </row>
    <row r="245" spans="13:14" x14ac:dyDescent="0.3">
      <c r="M245" s="137" t="str">
        <f t="shared" si="3"/>
        <v xml:space="preserve"> </v>
      </c>
      <c r="N245"/>
    </row>
    <row r="246" spans="13:14" x14ac:dyDescent="0.3">
      <c r="M246" s="137" t="str">
        <f t="shared" si="3"/>
        <v xml:space="preserve"> </v>
      </c>
      <c r="N246"/>
    </row>
    <row r="247" spans="13:14" x14ac:dyDescent="0.3">
      <c r="M247" s="137" t="str">
        <f t="shared" si="3"/>
        <v xml:space="preserve"> </v>
      </c>
      <c r="N247"/>
    </row>
    <row r="248" spans="13:14" x14ac:dyDescent="0.3">
      <c r="M248" s="137" t="str">
        <f t="shared" si="3"/>
        <v xml:space="preserve"> </v>
      </c>
      <c r="N248"/>
    </row>
    <row r="249" spans="13:14" x14ac:dyDescent="0.3">
      <c r="M249" s="137" t="str">
        <f t="shared" si="3"/>
        <v xml:space="preserve"> </v>
      </c>
      <c r="N249"/>
    </row>
    <row r="250" spans="13:14" x14ac:dyDescent="0.3">
      <c r="M250" s="137" t="str">
        <f t="shared" si="3"/>
        <v xml:space="preserve"> </v>
      </c>
      <c r="N250"/>
    </row>
    <row r="251" spans="13:14" x14ac:dyDescent="0.3">
      <c r="M251" s="137" t="str">
        <f t="shared" si="3"/>
        <v xml:space="preserve"> </v>
      </c>
      <c r="N251"/>
    </row>
    <row r="252" spans="13:14" x14ac:dyDescent="0.3">
      <c r="M252" s="137" t="str">
        <f t="shared" si="3"/>
        <v xml:space="preserve"> </v>
      </c>
      <c r="N252"/>
    </row>
    <row r="253" spans="13:14" x14ac:dyDescent="0.3">
      <c r="M253" s="137" t="str">
        <f t="shared" si="3"/>
        <v xml:space="preserve"> </v>
      </c>
      <c r="N253"/>
    </row>
    <row r="254" spans="13:14" x14ac:dyDescent="0.3">
      <c r="M254" s="137" t="str">
        <f t="shared" si="3"/>
        <v xml:space="preserve"> </v>
      </c>
      <c r="N254"/>
    </row>
    <row r="255" spans="13:14" x14ac:dyDescent="0.3">
      <c r="M255" s="137" t="str">
        <f t="shared" si="3"/>
        <v xml:space="preserve"> </v>
      </c>
      <c r="N255"/>
    </row>
    <row r="256" spans="13:14" x14ac:dyDescent="0.3">
      <c r="M256" s="137" t="str">
        <f t="shared" si="3"/>
        <v xml:space="preserve"> </v>
      </c>
      <c r="N256"/>
    </row>
    <row r="257" spans="13:14" x14ac:dyDescent="0.3">
      <c r="M257" s="137" t="str">
        <f t="shared" si="3"/>
        <v xml:space="preserve"> </v>
      </c>
      <c r="N257"/>
    </row>
    <row r="258" spans="13:14" x14ac:dyDescent="0.3">
      <c r="M258" s="137" t="str">
        <f t="shared" ref="M258:M321" si="4">_xlfn.CONCAT(L258," ",F258)</f>
        <v xml:space="preserve"> </v>
      </c>
      <c r="N258"/>
    </row>
    <row r="259" spans="13:14" x14ac:dyDescent="0.3">
      <c r="M259" s="137" t="str">
        <f t="shared" si="4"/>
        <v xml:space="preserve"> </v>
      </c>
      <c r="N259"/>
    </row>
    <row r="260" spans="13:14" x14ac:dyDescent="0.3">
      <c r="M260" s="137" t="str">
        <f t="shared" si="4"/>
        <v xml:space="preserve"> </v>
      </c>
      <c r="N260"/>
    </row>
    <row r="261" spans="13:14" x14ac:dyDescent="0.3">
      <c r="M261" s="137" t="str">
        <f t="shared" si="4"/>
        <v xml:space="preserve"> </v>
      </c>
      <c r="N261"/>
    </row>
    <row r="262" spans="13:14" x14ac:dyDescent="0.3">
      <c r="M262" s="137" t="str">
        <f t="shared" si="4"/>
        <v xml:space="preserve"> </v>
      </c>
      <c r="N262"/>
    </row>
    <row r="263" spans="13:14" x14ac:dyDescent="0.3">
      <c r="M263" s="137" t="str">
        <f t="shared" si="4"/>
        <v xml:space="preserve"> </v>
      </c>
      <c r="N263"/>
    </row>
    <row r="264" spans="13:14" x14ac:dyDescent="0.3">
      <c r="M264" s="137" t="str">
        <f t="shared" si="4"/>
        <v xml:space="preserve"> </v>
      </c>
      <c r="N264"/>
    </row>
    <row r="265" spans="13:14" x14ac:dyDescent="0.3">
      <c r="M265" s="137" t="str">
        <f t="shared" si="4"/>
        <v xml:space="preserve"> </v>
      </c>
      <c r="N265"/>
    </row>
    <row r="266" spans="13:14" x14ac:dyDescent="0.3">
      <c r="M266" s="137" t="str">
        <f t="shared" si="4"/>
        <v xml:space="preserve"> </v>
      </c>
      <c r="N266"/>
    </row>
    <row r="267" spans="13:14" x14ac:dyDescent="0.3">
      <c r="M267" s="137" t="str">
        <f t="shared" si="4"/>
        <v xml:space="preserve"> </v>
      </c>
      <c r="N267"/>
    </row>
    <row r="268" spans="13:14" x14ac:dyDescent="0.3">
      <c r="M268" s="137" t="str">
        <f t="shared" si="4"/>
        <v xml:space="preserve"> </v>
      </c>
      <c r="N268"/>
    </row>
    <row r="269" spans="13:14" x14ac:dyDescent="0.3">
      <c r="M269" s="137" t="str">
        <f t="shared" si="4"/>
        <v xml:space="preserve"> </v>
      </c>
      <c r="N269"/>
    </row>
    <row r="270" spans="13:14" x14ac:dyDescent="0.3">
      <c r="M270" s="137" t="str">
        <f t="shared" si="4"/>
        <v xml:space="preserve"> </v>
      </c>
      <c r="N270"/>
    </row>
    <row r="271" spans="13:14" x14ac:dyDescent="0.3">
      <c r="M271" s="137" t="str">
        <f t="shared" si="4"/>
        <v xml:space="preserve"> </v>
      </c>
      <c r="N271"/>
    </row>
    <row r="272" spans="13:14" x14ac:dyDescent="0.3">
      <c r="M272" s="137" t="str">
        <f t="shared" si="4"/>
        <v xml:space="preserve"> </v>
      </c>
      <c r="N272"/>
    </row>
    <row r="273" spans="13:14" x14ac:dyDescent="0.3">
      <c r="M273" s="137" t="str">
        <f t="shared" si="4"/>
        <v xml:space="preserve"> </v>
      </c>
      <c r="N273"/>
    </row>
    <row r="274" spans="13:14" x14ac:dyDescent="0.3">
      <c r="M274" s="137" t="str">
        <f t="shared" si="4"/>
        <v xml:space="preserve"> </v>
      </c>
      <c r="N274"/>
    </row>
    <row r="275" spans="13:14" x14ac:dyDescent="0.3">
      <c r="M275" s="137" t="str">
        <f t="shared" si="4"/>
        <v xml:space="preserve"> </v>
      </c>
      <c r="N275"/>
    </row>
    <row r="276" spans="13:14" x14ac:dyDescent="0.3">
      <c r="M276" s="137" t="str">
        <f t="shared" si="4"/>
        <v xml:space="preserve"> </v>
      </c>
      <c r="N276"/>
    </row>
    <row r="277" spans="13:14" x14ac:dyDescent="0.3">
      <c r="M277" s="137" t="str">
        <f t="shared" si="4"/>
        <v xml:space="preserve"> </v>
      </c>
      <c r="N277"/>
    </row>
    <row r="278" spans="13:14" x14ac:dyDescent="0.3">
      <c r="M278" s="137" t="str">
        <f t="shared" si="4"/>
        <v xml:space="preserve"> </v>
      </c>
      <c r="N278"/>
    </row>
    <row r="279" spans="13:14" x14ac:dyDescent="0.3">
      <c r="M279" s="137" t="str">
        <f t="shared" si="4"/>
        <v xml:space="preserve"> </v>
      </c>
      <c r="N279"/>
    </row>
    <row r="280" spans="13:14" x14ac:dyDescent="0.3">
      <c r="M280" s="137" t="str">
        <f t="shared" si="4"/>
        <v xml:space="preserve"> </v>
      </c>
      <c r="N280"/>
    </row>
    <row r="281" spans="13:14" x14ac:dyDescent="0.3">
      <c r="M281" s="137" t="str">
        <f t="shared" si="4"/>
        <v xml:space="preserve"> </v>
      </c>
      <c r="N281"/>
    </row>
    <row r="282" spans="13:14" x14ac:dyDescent="0.3">
      <c r="M282" s="137" t="str">
        <f t="shared" si="4"/>
        <v xml:space="preserve"> </v>
      </c>
      <c r="N282"/>
    </row>
    <row r="283" spans="13:14" x14ac:dyDescent="0.3">
      <c r="M283" s="137" t="str">
        <f t="shared" si="4"/>
        <v xml:space="preserve"> </v>
      </c>
      <c r="N283"/>
    </row>
    <row r="284" spans="13:14" x14ac:dyDescent="0.3">
      <c r="M284" s="137" t="str">
        <f t="shared" si="4"/>
        <v xml:space="preserve"> </v>
      </c>
      <c r="N284"/>
    </row>
    <row r="285" spans="13:14" x14ac:dyDescent="0.3">
      <c r="M285" s="137" t="str">
        <f t="shared" si="4"/>
        <v xml:space="preserve"> </v>
      </c>
      <c r="N285"/>
    </row>
    <row r="286" spans="13:14" x14ac:dyDescent="0.3">
      <c r="M286" s="137" t="str">
        <f t="shared" si="4"/>
        <v xml:space="preserve"> </v>
      </c>
      <c r="N286"/>
    </row>
    <row r="287" spans="13:14" x14ac:dyDescent="0.3">
      <c r="M287" s="137" t="str">
        <f t="shared" si="4"/>
        <v xml:space="preserve"> </v>
      </c>
      <c r="N287"/>
    </row>
    <row r="288" spans="13:14" x14ac:dyDescent="0.3">
      <c r="M288" s="137" t="str">
        <f t="shared" si="4"/>
        <v xml:space="preserve"> </v>
      </c>
      <c r="N288"/>
    </row>
    <row r="289" spans="13:14" x14ac:dyDescent="0.3">
      <c r="M289" s="137" t="str">
        <f t="shared" si="4"/>
        <v xml:space="preserve"> </v>
      </c>
      <c r="N289"/>
    </row>
    <row r="290" spans="13:14" x14ac:dyDescent="0.3">
      <c r="M290" s="137" t="str">
        <f t="shared" si="4"/>
        <v xml:space="preserve"> </v>
      </c>
      <c r="N290"/>
    </row>
    <row r="291" spans="13:14" x14ac:dyDescent="0.3">
      <c r="M291" s="137" t="str">
        <f t="shared" si="4"/>
        <v xml:space="preserve"> </v>
      </c>
      <c r="N291"/>
    </row>
    <row r="292" spans="13:14" x14ac:dyDescent="0.3">
      <c r="M292" s="137" t="str">
        <f t="shared" si="4"/>
        <v xml:space="preserve"> </v>
      </c>
      <c r="N292"/>
    </row>
    <row r="293" spans="13:14" x14ac:dyDescent="0.3">
      <c r="M293" s="137" t="str">
        <f t="shared" si="4"/>
        <v xml:space="preserve"> </v>
      </c>
      <c r="N293"/>
    </row>
    <row r="294" spans="13:14" x14ac:dyDescent="0.3">
      <c r="M294" s="137" t="str">
        <f t="shared" si="4"/>
        <v xml:space="preserve"> </v>
      </c>
      <c r="N294"/>
    </row>
    <row r="295" spans="13:14" x14ac:dyDescent="0.3">
      <c r="M295" s="137" t="str">
        <f t="shared" si="4"/>
        <v xml:space="preserve"> </v>
      </c>
      <c r="N295"/>
    </row>
    <row r="296" spans="13:14" x14ac:dyDescent="0.3">
      <c r="M296" s="137" t="str">
        <f t="shared" si="4"/>
        <v xml:space="preserve"> </v>
      </c>
      <c r="N296"/>
    </row>
    <row r="297" spans="13:14" x14ac:dyDescent="0.3">
      <c r="M297" s="137" t="str">
        <f t="shared" si="4"/>
        <v xml:space="preserve"> </v>
      </c>
      <c r="N297"/>
    </row>
    <row r="298" spans="13:14" x14ac:dyDescent="0.3">
      <c r="M298" s="137" t="str">
        <f t="shared" si="4"/>
        <v xml:space="preserve"> </v>
      </c>
      <c r="N298"/>
    </row>
    <row r="299" spans="13:14" x14ac:dyDescent="0.3">
      <c r="M299" s="137" t="str">
        <f t="shared" si="4"/>
        <v xml:space="preserve"> </v>
      </c>
      <c r="N299"/>
    </row>
    <row r="300" spans="13:14" x14ac:dyDescent="0.3">
      <c r="M300" s="137" t="str">
        <f t="shared" si="4"/>
        <v xml:space="preserve"> </v>
      </c>
      <c r="N300"/>
    </row>
    <row r="301" spans="13:14" x14ac:dyDescent="0.3">
      <c r="M301" s="137" t="str">
        <f t="shared" si="4"/>
        <v xml:space="preserve"> </v>
      </c>
      <c r="N301"/>
    </row>
    <row r="302" spans="13:14" x14ac:dyDescent="0.3">
      <c r="M302" s="137" t="str">
        <f t="shared" si="4"/>
        <v xml:space="preserve"> </v>
      </c>
      <c r="N302"/>
    </row>
    <row r="303" spans="13:14" x14ac:dyDescent="0.3">
      <c r="M303" s="137" t="str">
        <f t="shared" si="4"/>
        <v xml:space="preserve"> </v>
      </c>
      <c r="N303"/>
    </row>
    <row r="304" spans="13:14" x14ac:dyDescent="0.3">
      <c r="M304" s="137" t="str">
        <f t="shared" si="4"/>
        <v xml:space="preserve"> </v>
      </c>
      <c r="N304"/>
    </row>
    <row r="305" spans="13:14" x14ac:dyDescent="0.3">
      <c r="M305" s="137" t="str">
        <f t="shared" si="4"/>
        <v xml:space="preserve"> </v>
      </c>
      <c r="N305"/>
    </row>
    <row r="306" spans="13:14" x14ac:dyDescent="0.3">
      <c r="M306" s="137" t="str">
        <f t="shared" si="4"/>
        <v xml:space="preserve"> </v>
      </c>
      <c r="N306"/>
    </row>
    <row r="307" spans="13:14" x14ac:dyDescent="0.3">
      <c r="M307" s="137" t="str">
        <f t="shared" si="4"/>
        <v xml:space="preserve"> </v>
      </c>
      <c r="N307"/>
    </row>
    <row r="308" spans="13:14" x14ac:dyDescent="0.3">
      <c r="M308" s="137" t="str">
        <f t="shared" si="4"/>
        <v xml:space="preserve"> </v>
      </c>
      <c r="N308"/>
    </row>
    <row r="309" spans="13:14" x14ac:dyDescent="0.3">
      <c r="M309" s="137" t="str">
        <f t="shared" si="4"/>
        <v xml:space="preserve"> </v>
      </c>
      <c r="N309"/>
    </row>
    <row r="310" spans="13:14" x14ac:dyDescent="0.3">
      <c r="M310" s="137" t="str">
        <f t="shared" si="4"/>
        <v xml:space="preserve"> </v>
      </c>
      <c r="N310"/>
    </row>
    <row r="311" spans="13:14" x14ac:dyDescent="0.3">
      <c r="M311" s="137" t="str">
        <f t="shared" si="4"/>
        <v xml:space="preserve"> </v>
      </c>
      <c r="N311"/>
    </row>
    <row r="312" spans="13:14" x14ac:dyDescent="0.3">
      <c r="M312" s="137" t="str">
        <f t="shared" si="4"/>
        <v xml:space="preserve"> </v>
      </c>
      <c r="N312"/>
    </row>
    <row r="313" spans="13:14" x14ac:dyDescent="0.3">
      <c r="M313" s="137" t="str">
        <f t="shared" si="4"/>
        <v xml:space="preserve"> </v>
      </c>
      <c r="N313"/>
    </row>
    <row r="314" spans="13:14" x14ac:dyDescent="0.3">
      <c r="M314" s="137" t="str">
        <f t="shared" si="4"/>
        <v xml:space="preserve"> </v>
      </c>
      <c r="N314"/>
    </row>
    <row r="315" spans="13:14" x14ac:dyDescent="0.3">
      <c r="M315" s="137" t="str">
        <f t="shared" si="4"/>
        <v xml:space="preserve"> </v>
      </c>
      <c r="N315"/>
    </row>
    <row r="316" spans="13:14" x14ac:dyDescent="0.3">
      <c r="M316" s="137" t="str">
        <f t="shared" si="4"/>
        <v xml:space="preserve"> </v>
      </c>
      <c r="N316"/>
    </row>
    <row r="317" spans="13:14" x14ac:dyDescent="0.3">
      <c r="M317" s="137" t="str">
        <f t="shared" si="4"/>
        <v xml:space="preserve"> </v>
      </c>
      <c r="N317"/>
    </row>
    <row r="318" spans="13:14" x14ac:dyDescent="0.3">
      <c r="M318" s="137" t="str">
        <f t="shared" si="4"/>
        <v xml:space="preserve"> </v>
      </c>
      <c r="N318"/>
    </row>
    <row r="319" spans="13:14" x14ac:dyDescent="0.3">
      <c r="M319" s="137" t="str">
        <f t="shared" si="4"/>
        <v xml:space="preserve"> </v>
      </c>
      <c r="N319"/>
    </row>
    <row r="320" spans="13:14" x14ac:dyDescent="0.3">
      <c r="M320" s="137" t="str">
        <f t="shared" si="4"/>
        <v xml:space="preserve"> </v>
      </c>
      <c r="N320"/>
    </row>
    <row r="321" spans="13:14" x14ac:dyDescent="0.3">
      <c r="M321" s="137" t="str">
        <f t="shared" si="4"/>
        <v xml:space="preserve"> </v>
      </c>
      <c r="N321"/>
    </row>
    <row r="322" spans="13:14" x14ac:dyDescent="0.3">
      <c r="M322" s="137" t="str">
        <f t="shared" ref="M322:M385" si="5">_xlfn.CONCAT(L322," ",F322)</f>
        <v xml:space="preserve"> </v>
      </c>
      <c r="N322"/>
    </row>
    <row r="323" spans="13:14" x14ac:dyDescent="0.3">
      <c r="M323" s="137" t="str">
        <f t="shared" si="5"/>
        <v xml:space="preserve"> </v>
      </c>
      <c r="N323"/>
    </row>
    <row r="324" spans="13:14" x14ac:dyDescent="0.3">
      <c r="M324" s="137" t="str">
        <f t="shared" si="5"/>
        <v xml:space="preserve"> </v>
      </c>
      <c r="N324"/>
    </row>
    <row r="325" spans="13:14" x14ac:dyDescent="0.3">
      <c r="M325" s="137" t="str">
        <f t="shared" si="5"/>
        <v xml:space="preserve"> </v>
      </c>
      <c r="N325"/>
    </row>
    <row r="326" spans="13:14" x14ac:dyDescent="0.3">
      <c r="M326" s="137" t="str">
        <f t="shared" si="5"/>
        <v xml:space="preserve"> </v>
      </c>
      <c r="N326"/>
    </row>
    <row r="327" spans="13:14" x14ac:dyDescent="0.3">
      <c r="M327" s="137" t="str">
        <f t="shared" si="5"/>
        <v xml:space="preserve"> </v>
      </c>
      <c r="N327"/>
    </row>
    <row r="328" spans="13:14" x14ac:dyDescent="0.3">
      <c r="M328" s="137" t="str">
        <f t="shared" si="5"/>
        <v xml:space="preserve"> </v>
      </c>
      <c r="N328"/>
    </row>
    <row r="329" spans="13:14" x14ac:dyDescent="0.3">
      <c r="M329" s="137" t="str">
        <f t="shared" si="5"/>
        <v xml:space="preserve"> </v>
      </c>
      <c r="N329"/>
    </row>
    <row r="330" spans="13:14" x14ac:dyDescent="0.3">
      <c r="M330" s="137" t="str">
        <f t="shared" si="5"/>
        <v xml:space="preserve"> </v>
      </c>
      <c r="N330"/>
    </row>
    <row r="331" spans="13:14" x14ac:dyDescent="0.3">
      <c r="M331" s="137" t="str">
        <f t="shared" si="5"/>
        <v xml:space="preserve"> </v>
      </c>
      <c r="N331"/>
    </row>
    <row r="332" spans="13:14" x14ac:dyDescent="0.3">
      <c r="M332" s="137" t="str">
        <f t="shared" si="5"/>
        <v xml:space="preserve"> </v>
      </c>
      <c r="N332"/>
    </row>
    <row r="333" spans="13:14" x14ac:dyDescent="0.3">
      <c r="M333" s="137" t="str">
        <f t="shared" si="5"/>
        <v xml:space="preserve"> </v>
      </c>
      <c r="N333"/>
    </row>
    <row r="334" spans="13:14" x14ac:dyDescent="0.3">
      <c r="M334" s="137" t="str">
        <f t="shared" si="5"/>
        <v xml:space="preserve"> </v>
      </c>
      <c r="N334"/>
    </row>
    <row r="335" spans="13:14" x14ac:dyDescent="0.3">
      <c r="M335" s="137" t="str">
        <f t="shared" si="5"/>
        <v xml:space="preserve"> </v>
      </c>
      <c r="N335"/>
    </row>
    <row r="336" spans="13:14" x14ac:dyDescent="0.3">
      <c r="M336" s="137" t="str">
        <f t="shared" si="5"/>
        <v xml:space="preserve"> </v>
      </c>
      <c r="N336"/>
    </row>
    <row r="337" spans="13:14" x14ac:dyDescent="0.3">
      <c r="M337" s="137" t="str">
        <f t="shared" si="5"/>
        <v xml:space="preserve"> </v>
      </c>
      <c r="N337"/>
    </row>
    <row r="338" spans="13:14" x14ac:dyDescent="0.3">
      <c r="M338" s="137" t="str">
        <f t="shared" si="5"/>
        <v xml:space="preserve"> </v>
      </c>
      <c r="N338"/>
    </row>
    <row r="339" spans="13:14" x14ac:dyDescent="0.3">
      <c r="M339" s="137" t="str">
        <f t="shared" si="5"/>
        <v xml:space="preserve"> </v>
      </c>
      <c r="N339"/>
    </row>
    <row r="340" spans="13:14" x14ac:dyDescent="0.3">
      <c r="M340" s="137" t="str">
        <f t="shared" si="5"/>
        <v xml:space="preserve"> </v>
      </c>
      <c r="N340"/>
    </row>
    <row r="341" spans="13:14" x14ac:dyDescent="0.3">
      <c r="M341" s="137" t="str">
        <f t="shared" si="5"/>
        <v xml:space="preserve"> </v>
      </c>
      <c r="N341"/>
    </row>
    <row r="342" spans="13:14" x14ac:dyDescent="0.3">
      <c r="M342" s="137" t="str">
        <f t="shared" si="5"/>
        <v xml:space="preserve"> </v>
      </c>
      <c r="N342"/>
    </row>
    <row r="343" spans="13:14" x14ac:dyDescent="0.3">
      <c r="M343" s="137" t="str">
        <f t="shared" si="5"/>
        <v xml:space="preserve"> </v>
      </c>
      <c r="N343"/>
    </row>
    <row r="344" spans="13:14" x14ac:dyDescent="0.3">
      <c r="M344" s="137" t="str">
        <f t="shared" si="5"/>
        <v xml:space="preserve"> </v>
      </c>
      <c r="N344"/>
    </row>
    <row r="345" spans="13:14" x14ac:dyDescent="0.3">
      <c r="M345" s="137" t="str">
        <f t="shared" si="5"/>
        <v xml:space="preserve"> </v>
      </c>
      <c r="N345"/>
    </row>
    <row r="346" spans="13:14" x14ac:dyDescent="0.3">
      <c r="M346" s="137" t="str">
        <f t="shared" si="5"/>
        <v xml:space="preserve"> </v>
      </c>
      <c r="N346"/>
    </row>
    <row r="347" spans="13:14" x14ac:dyDescent="0.3">
      <c r="M347" s="137" t="str">
        <f t="shared" si="5"/>
        <v xml:space="preserve"> </v>
      </c>
      <c r="N347"/>
    </row>
    <row r="348" spans="13:14" x14ac:dyDescent="0.3">
      <c r="M348" s="137" t="str">
        <f t="shared" si="5"/>
        <v xml:space="preserve"> </v>
      </c>
      <c r="N348"/>
    </row>
    <row r="349" spans="13:14" x14ac:dyDescent="0.3">
      <c r="M349" s="137" t="str">
        <f t="shared" si="5"/>
        <v xml:space="preserve"> </v>
      </c>
      <c r="N349"/>
    </row>
    <row r="350" spans="13:14" x14ac:dyDescent="0.3">
      <c r="M350" s="137" t="str">
        <f t="shared" si="5"/>
        <v xml:space="preserve"> </v>
      </c>
      <c r="N350"/>
    </row>
    <row r="351" spans="13:14" x14ac:dyDescent="0.3">
      <c r="M351" s="137" t="str">
        <f t="shared" si="5"/>
        <v xml:space="preserve"> </v>
      </c>
      <c r="N351"/>
    </row>
    <row r="352" spans="13:14" x14ac:dyDescent="0.3">
      <c r="M352" s="137" t="str">
        <f t="shared" si="5"/>
        <v xml:space="preserve"> </v>
      </c>
      <c r="N352"/>
    </row>
    <row r="353" spans="13:14" x14ac:dyDescent="0.3">
      <c r="M353" s="137" t="str">
        <f t="shared" si="5"/>
        <v xml:space="preserve"> </v>
      </c>
      <c r="N353"/>
    </row>
    <row r="354" spans="13:14" x14ac:dyDescent="0.3">
      <c r="M354" s="137" t="str">
        <f t="shared" si="5"/>
        <v xml:space="preserve"> </v>
      </c>
      <c r="N354"/>
    </row>
    <row r="355" spans="13:14" x14ac:dyDescent="0.3">
      <c r="M355" s="137" t="str">
        <f t="shared" si="5"/>
        <v xml:space="preserve"> </v>
      </c>
      <c r="N355"/>
    </row>
    <row r="356" spans="13:14" x14ac:dyDescent="0.3">
      <c r="M356" s="137" t="str">
        <f t="shared" si="5"/>
        <v xml:space="preserve"> </v>
      </c>
      <c r="N356"/>
    </row>
    <row r="357" spans="13:14" x14ac:dyDescent="0.3">
      <c r="M357" s="137" t="str">
        <f t="shared" si="5"/>
        <v xml:space="preserve"> </v>
      </c>
      <c r="N357"/>
    </row>
    <row r="358" spans="13:14" x14ac:dyDescent="0.3">
      <c r="M358" s="137" t="str">
        <f t="shared" si="5"/>
        <v xml:space="preserve"> </v>
      </c>
      <c r="N358"/>
    </row>
    <row r="359" spans="13:14" x14ac:dyDescent="0.3">
      <c r="M359" s="137" t="str">
        <f t="shared" si="5"/>
        <v xml:space="preserve"> </v>
      </c>
      <c r="N359"/>
    </row>
    <row r="360" spans="13:14" x14ac:dyDescent="0.3">
      <c r="M360" s="137" t="str">
        <f t="shared" si="5"/>
        <v xml:space="preserve"> </v>
      </c>
      <c r="N360"/>
    </row>
    <row r="361" spans="13:14" x14ac:dyDescent="0.3">
      <c r="M361" s="137" t="str">
        <f t="shared" si="5"/>
        <v xml:space="preserve"> </v>
      </c>
      <c r="N361"/>
    </row>
    <row r="362" spans="13:14" x14ac:dyDescent="0.3">
      <c r="M362" s="137" t="str">
        <f t="shared" si="5"/>
        <v xml:space="preserve"> </v>
      </c>
      <c r="N362"/>
    </row>
    <row r="363" spans="13:14" x14ac:dyDescent="0.3">
      <c r="M363" s="137" t="str">
        <f t="shared" si="5"/>
        <v xml:space="preserve"> </v>
      </c>
      <c r="N363"/>
    </row>
    <row r="364" spans="13:14" x14ac:dyDescent="0.3">
      <c r="M364" s="137" t="str">
        <f t="shared" si="5"/>
        <v xml:space="preserve"> </v>
      </c>
      <c r="N364"/>
    </row>
    <row r="365" spans="13:14" x14ac:dyDescent="0.3">
      <c r="M365" s="137" t="str">
        <f t="shared" si="5"/>
        <v xml:space="preserve"> </v>
      </c>
      <c r="N365"/>
    </row>
    <row r="366" spans="13:14" x14ac:dyDescent="0.3">
      <c r="M366" s="137" t="str">
        <f t="shared" si="5"/>
        <v xml:space="preserve"> </v>
      </c>
      <c r="N366"/>
    </row>
    <row r="367" spans="13:14" x14ac:dyDescent="0.3">
      <c r="M367" s="137" t="str">
        <f t="shared" si="5"/>
        <v xml:space="preserve"> </v>
      </c>
      <c r="N367"/>
    </row>
    <row r="368" spans="13:14" x14ac:dyDescent="0.3">
      <c r="M368" s="137" t="str">
        <f t="shared" si="5"/>
        <v xml:space="preserve"> </v>
      </c>
      <c r="N368"/>
    </row>
    <row r="369" spans="13:14" x14ac:dyDescent="0.3">
      <c r="M369" s="137" t="str">
        <f t="shared" si="5"/>
        <v xml:space="preserve"> </v>
      </c>
      <c r="N369"/>
    </row>
    <row r="370" spans="13:14" x14ac:dyDescent="0.3">
      <c r="M370" s="137" t="str">
        <f t="shared" si="5"/>
        <v xml:space="preserve"> </v>
      </c>
      <c r="N370"/>
    </row>
    <row r="371" spans="13:14" x14ac:dyDescent="0.3">
      <c r="M371" s="137" t="str">
        <f t="shared" si="5"/>
        <v xml:space="preserve"> </v>
      </c>
      <c r="N371"/>
    </row>
    <row r="372" spans="13:14" x14ac:dyDescent="0.3">
      <c r="M372" s="137" t="str">
        <f t="shared" si="5"/>
        <v xml:space="preserve"> </v>
      </c>
      <c r="N372"/>
    </row>
    <row r="373" spans="13:14" x14ac:dyDescent="0.3">
      <c r="M373" s="137" t="str">
        <f t="shared" si="5"/>
        <v xml:space="preserve"> </v>
      </c>
      <c r="N373"/>
    </row>
    <row r="374" spans="13:14" x14ac:dyDescent="0.3">
      <c r="M374" s="137" t="str">
        <f t="shared" si="5"/>
        <v xml:space="preserve"> </v>
      </c>
      <c r="N374"/>
    </row>
    <row r="375" spans="13:14" x14ac:dyDescent="0.3">
      <c r="M375" s="137" t="str">
        <f t="shared" si="5"/>
        <v xml:space="preserve"> </v>
      </c>
      <c r="N375"/>
    </row>
    <row r="376" spans="13:14" x14ac:dyDescent="0.3">
      <c r="M376" s="137" t="str">
        <f t="shared" si="5"/>
        <v xml:space="preserve"> </v>
      </c>
      <c r="N376"/>
    </row>
    <row r="377" spans="13:14" x14ac:dyDescent="0.3">
      <c r="M377" s="137" t="str">
        <f t="shared" si="5"/>
        <v xml:space="preserve"> </v>
      </c>
      <c r="N377"/>
    </row>
    <row r="378" spans="13:14" x14ac:dyDescent="0.3">
      <c r="M378" s="137" t="str">
        <f t="shared" si="5"/>
        <v xml:space="preserve"> </v>
      </c>
      <c r="N378"/>
    </row>
    <row r="379" spans="13:14" x14ac:dyDescent="0.3">
      <c r="M379" s="137" t="str">
        <f t="shared" si="5"/>
        <v xml:space="preserve"> </v>
      </c>
      <c r="N379"/>
    </row>
    <row r="380" spans="13:14" x14ac:dyDescent="0.3">
      <c r="M380" s="137" t="str">
        <f t="shared" si="5"/>
        <v xml:space="preserve"> </v>
      </c>
      <c r="N380"/>
    </row>
    <row r="381" spans="13:14" x14ac:dyDescent="0.3">
      <c r="M381" s="137" t="str">
        <f t="shared" si="5"/>
        <v xml:space="preserve"> </v>
      </c>
      <c r="N381"/>
    </row>
    <row r="382" spans="13:14" x14ac:dyDescent="0.3">
      <c r="M382" s="137" t="str">
        <f t="shared" si="5"/>
        <v xml:space="preserve"> </v>
      </c>
      <c r="N382"/>
    </row>
    <row r="383" spans="13:14" x14ac:dyDescent="0.3">
      <c r="M383" s="137" t="str">
        <f t="shared" si="5"/>
        <v xml:space="preserve"> </v>
      </c>
      <c r="N383"/>
    </row>
    <row r="384" spans="13:14" x14ac:dyDescent="0.3">
      <c r="M384" s="137" t="str">
        <f t="shared" si="5"/>
        <v xml:space="preserve"> </v>
      </c>
      <c r="N384"/>
    </row>
    <row r="385" spans="13:14" x14ac:dyDescent="0.3">
      <c r="M385" s="137" t="str">
        <f t="shared" si="5"/>
        <v xml:space="preserve"> </v>
      </c>
      <c r="N385"/>
    </row>
    <row r="386" spans="13:14" x14ac:dyDescent="0.3">
      <c r="M386" s="137" t="str">
        <f t="shared" ref="M386:M449" si="6">_xlfn.CONCAT(L386," ",F386)</f>
        <v xml:space="preserve"> </v>
      </c>
      <c r="N386"/>
    </row>
    <row r="387" spans="13:14" x14ac:dyDescent="0.3">
      <c r="M387" s="137" t="str">
        <f t="shared" si="6"/>
        <v xml:space="preserve"> </v>
      </c>
      <c r="N387"/>
    </row>
    <row r="388" spans="13:14" x14ac:dyDescent="0.3">
      <c r="M388" s="137" t="str">
        <f t="shared" si="6"/>
        <v xml:space="preserve"> </v>
      </c>
      <c r="N388"/>
    </row>
    <row r="389" spans="13:14" x14ac:dyDescent="0.3">
      <c r="M389" s="137" t="str">
        <f t="shared" si="6"/>
        <v xml:space="preserve"> </v>
      </c>
      <c r="N389"/>
    </row>
    <row r="390" spans="13:14" x14ac:dyDescent="0.3">
      <c r="M390" s="137" t="str">
        <f t="shared" si="6"/>
        <v xml:space="preserve"> </v>
      </c>
      <c r="N390"/>
    </row>
    <row r="391" spans="13:14" x14ac:dyDescent="0.3">
      <c r="M391" s="137" t="str">
        <f t="shared" si="6"/>
        <v xml:space="preserve"> </v>
      </c>
      <c r="N391"/>
    </row>
    <row r="392" spans="13:14" x14ac:dyDescent="0.3">
      <c r="M392" s="137" t="str">
        <f t="shared" si="6"/>
        <v xml:space="preserve"> </v>
      </c>
      <c r="N392"/>
    </row>
    <row r="393" spans="13:14" x14ac:dyDescent="0.3">
      <c r="M393" s="137" t="str">
        <f t="shared" si="6"/>
        <v xml:space="preserve"> </v>
      </c>
      <c r="N393"/>
    </row>
    <row r="394" spans="13:14" x14ac:dyDescent="0.3">
      <c r="M394" s="137" t="str">
        <f t="shared" si="6"/>
        <v xml:space="preserve"> </v>
      </c>
      <c r="N394"/>
    </row>
    <row r="395" spans="13:14" x14ac:dyDescent="0.3">
      <c r="M395" s="137" t="str">
        <f t="shared" si="6"/>
        <v xml:space="preserve"> </v>
      </c>
      <c r="N395"/>
    </row>
    <row r="396" spans="13:14" x14ac:dyDescent="0.3">
      <c r="M396" s="137" t="str">
        <f t="shared" si="6"/>
        <v xml:space="preserve"> </v>
      </c>
      <c r="N396"/>
    </row>
    <row r="397" spans="13:14" x14ac:dyDescent="0.3">
      <c r="M397" s="137" t="str">
        <f t="shared" si="6"/>
        <v xml:space="preserve"> </v>
      </c>
      <c r="N397"/>
    </row>
    <row r="398" spans="13:14" x14ac:dyDescent="0.3">
      <c r="M398" s="137" t="str">
        <f t="shared" si="6"/>
        <v xml:space="preserve"> </v>
      </c>
      <c r="N398"/>
    </row>
    <row r="399" spans="13:14" x14ac:dyDescent="0.3">
      <c r="M399" s="137" t="str">
        <f t="shared" si="6"/>
        <v xml:space="preserve"> </v>
      </c>
      <c r="N399"/>
    </row>
    <row r="400" spans="13:14" x14ac:dyDescent="0.3">
      <c r="M400" s="137" t="str">
        <f t="shared" si="6"/>
        <v xml:space="preserve"> </v>
      </c>
      <c r="N400"/>
    </row>
    <row r="401" spans="13:14" x14ac:dyDescent="0.3">
      <c r="M401" s="137" t="str">
        <f t="shared" si="6"/>
        <v xml:space="preserve"> </v>
      </c>
      <c r="N401"/>
    </row>
    <row r="402" spans="13:14" x14ac:dyDescent="0.3">
      <c r="M402" s="137" t="str">
        <f t="shared" si="6"/>
        <v xml:space="preserve"> </v>
      </c>
      <c r="N402"/>
    </row>
    <row r="403" spans="13:14" x14ac:dyDescent="0.3">
      <c r="M403" s="137" t="str">
        <f t="shared" si="6"/>
        <v xml:space="preserve"> </v>
      </c>
      <c r="N403"/>
    </row>
    <row r="404" spans="13:14" x14ac:dyDescent="0.3">
      <c r="M404" s="137" t="str">
        <f t="shared" si="6"/>
        <v xml:space="preserve"> </v>
      </c>
      <c r="N404"/>
    </row>
    <row r="405" spans="13:14" x14ac:dyDescent="0.3">
      <c r="M405" s="137" t="str">
        <f t="shared" si="6"/>
        <v xml:space="preserve"> </v>
      </c>
      <c r="N405"/>
    </row>
    <row r="406" spans="13:14" x14ac:dyDescent="0.3">
      <c r="M406" s="137" t="str">
        <f t="shared" si="6"/>
        <v xml:space="preserve"> </v>
      </c>
      <c r="N406"/>
    </row>
    <row r="407" spans="13:14" x14ac:dyDescent="0.3">
      <c r="M407" s="137" t="str">
        <f t="shared" si="6"/>
        <v xml:space="preserve"> </v>
      </c>
      <c r="N407"/>
    </row>
    <row r="408" spans="13:14" x14ac:dyDescent="0.3">
      <c r="M408" s="137" t="str">
        <f t="shared" si="6"/>
        <v xml:space="preserve"> </v>
      </c>
      <c r="N408"/>
    </row>
    <row r="409" spans="13:14" x14ac:dyDescent="0.3">
      <c r="M409" s="137" t="str">
        <f t="shared" si="6"/>
        <v xml:space="preserve"> </v>
      </c>
      <c r="N409"/>
    </row>
    <row r="410" spans="13:14" x14ac:dyDescent="0.3">
      <c r="M410" s="137" t="str">
        <f t="shared" si="6"/>
        <v xml:space="preserve"> </v>
      </c>
      <c r="N410"/>
    </row>
    <row r="411" spans="13:14" x14ac:dyDescent="0.3">
      <c r="M411" s="137" t="str">
        <f t="shared" si="6"/>
        <v xml:space="preserve"> </v>
      </c>
      <c r="N411"/>
    </row>
    <row r="412" spans="13:14" x14ac:dyDescent="0.3">
      <c r="M412" s="137" t="str">
        <f t="shared" si="6"/>
        <v xml:space="preserve"> </v>
      </c>
      <c r="N412"/>
    </row>
    <row r="413" spans="13:14" x14ac:dyDescent="0.3">
      <c r="M413" s="137" t="str">
        <f t="shared" si="6"/>
        <v xml:space="preserve"> </v>
      </c>
      <c r="N413"/>
    </row>
    <row r="414" spans="13:14" x14ac:dyDescent="0.3">
      <c r="M414" s="137" t="str">
        <f t="shared" si="6"/>
        <v xml:space="preserve"> </v>
      </c>
      <c r="N414"/>
    </row>
    <row r="415" spans="13:14" x14ac:dyDescent="0.3">
      <c r="M415" s="137" t="str">
        <f t="shared" si="6"/>
        <v xml:space="preserve"> </v>
      </c>
      <c r="N415"/>
    </row>
    <row r="416" spans="13:14" x14ac:dyDescent="0.3">
      <c r="M416" s="137" t="str">
        <f t="shared" si="6"/>
        <v xml:space="preserve"> </v>
      </c>
      <c r="N416"/>
    </row>
    <row r="417" spans="13:14" x14ac:dyDescent="0.3">
      <c r="M417" s="137" t="str">
        <f t="shared" si="6"/>
        <v xml:space="preserve"> </v>
      </c>
      <c r="N417"/>
    </row>
    <row r="418" spans="13:14" x14ac:dyDescent="0.3">
      <c r="M418" s="137" t="str">
        <f t="shared" si="6"/>
        <v xml:space="preserve"> </v>
      </c>
      <c r="N418"/>
    </row>
    <row r="419" spans="13:14" x14ac:dyDescent="0.3">
      <c r="M419" s="137" t="str">
        <f t="shared" si="6"/>
        <v xml:space="preserve"> </v>
      </c>
      <c r="N419"/>
    </row>
    <row r="420" spans="13:14" x14ac:dyDescent="0.3">
      <c r="M420" s="137" t="str">
        <f t="shared" si="6"/>
        <v xml:space="preserve"> </v>
      </c>
      <c r="N420"/>
    </row>
    <row r="421" spans="13:14" x14ac:dyDescent="0.3">
      <c r="M421" s="137" t="str">
        <f t="shared" si="6"/>
        <v xml:space="preserve"> </v>
      </c>
      <c r="N421"/>
    </row>
    <row r="422" spans="13:14" x14ac:dyDescent="0.3">
      <c r="M422" s="137" t="str">
        <f t="shared" si="6"/>
        <v xml:space="preserve"> </v>
      </c>
      <c r="N422"/>
    </row>
    <row r="423" spans="13:14" x14ac:dyDescent="0.3">
      <c r="M423" s="137" t="str">
        <f t="shared" si="6"/>
        <v xml:space="preserve"> </v>
      </c>
      <c r="N423"/>
    </row>
    <row r="424" spans="13:14" x14ac:dyDescent="0.3">
      <c r="M424" s="137" t="str">
        <f t="shared" si="6"/>
        <v xml:space="preserve"> </v>
      </c>
      <c r="N424"/>
    </row>
    <row r="425" spans="13:14" x14ac:dyDescent="0.3">
      <c r="M425" s="137" t="str">
        <f t="shared" si="6"/>
        <v xml:space="preserve"> </v>
      </c>
      <c r="N425"/>
    </row>
    <row r="426" spans="13:14" x14ac:dyDescent="0.3">
      <c r="M426" s="137" t="str">
        <f t="shared" si="6"/>
        <v xml:space="preserve"> </v>
      </c>
      <c r="N426"/>
    </row>
    <row r="427" spans="13:14" x14ac:dyDescent="0.3">
      <c r="M427" s="137" t="str">
        <f t="shared" si="6"/>
        <v xml:space="preserve"> </v>
      </c>
      <c r="N427"/>
    </row>
    <row r="428" spans="13:14" x14ac:dyDescent="0.3">
      <c r="M428" s="137" t="str">
        <f t="shared" si="6"/>
        <v xml:space="preserve"> </v>
      </c>
      <c r="N428"/>
    </row>
    <row r="429" spans="13:14" x14ac:dyDescent="0.3">
      <c r="M429" s="137" t="str">
        <f t="shared" si="6"/>
        <v xml:space="preserve"> </v>
      </c>
      <c r="N429"/>
    </row>
    <row r="430" spans="13:14" x14ac:dyDescent="0.3">
      <c r="M430" s="137" t="str">
        <f t="shared" si="6"/>
        <v xml:space="preserve"> </v>
      </c>
      <c r="N430"/>
    </row>
    <row r="431" spans="13:14" x14ac:dyDescent="0.3">
      <c r="M431" s="137" t="str">
        <f t="shared" si="6"/>
        <v xml:space="preserve"> </v>
      </c>
      <c r="N431"/>
    </row>
    <row r="432" spans="13:14" x14ac:dyDescent="0.3">
      <c r="M432" s="137" t="str">
        <f t="shared" si="6"/>
        <v xml:space="preserve"> </v>
      </c>
      <c r="N432"/>
    </row>
    <row r="433" spans="13:14" x14ac:dyDescent="0.3">
      <c r="M433" s="137" t="str">
        <f t="shared" si="6"/>
        <v xml:space="preserve"> </v>
      </c>
      <c r="N433"/>
    </row>
    <row r="434" spans="13:14" x14ac:dyDescent="0.3">
      <c r="M434" s="137" t="str">
        <f t="shared" si="6"/>
        <v xml:space="preserve"> </v>
      </c>
      <c r="N434"/>
    </row>
    <row r="435" spans="13:14" x14ac:dyDescent="0.3">
      <c r="M435" s="137" t="str">
        <f t="shared" si="6"/>
        <v xml:space="preserve"> </v>
      </c>
      <c r="N435"/>
    </row>
    <row r="436" spans="13:14" x14ac:dyDescent="0.3">
      <c r="M436" s="137" t="str">
        <f t="shared" si="6"/>
        <v xml:space="preserve"> </v>
      </c>
      <c r="N436"/>
    </row>
    <row r="437" spans="13:14" x14ac:dyDescent="0.3">
      <c r="M437" s="137" t="str">
        <f t="shared" si="6"/>
        <v xml:space="preserve"> </v>
      </c>
      <c r="N437"/>
    </row>
    <row r="438" spans="13:14" x14ac:dyDescent="0.3">
      <c r="M438" s="137" t="str">
        <f t="shared" si="6"/>
        <v xml:space="preserve"> </v>
      </c>
      <c r="N438"/>
    </row>
    <row r="439" spans="13:14" x14ac:dyDescent="0.3">
      <c r="M439" s="137" t="str">
        <f t="shared" si="6"/>
        <v xml:space="preserve"> </v>
      </c>
      <c r="N439"/>
    </row>
    <row r="440" spans="13:14" x14ac:dyDescent="0.3">
      <c r="M440" s="137" t="str">
        <f t="shared" si="6"/>
        <v xml:space="preserve"> </v>
      </c>
      <c r="N440"/>
    </row>
    <row r="441" spans="13:14" x14ac:dyDescent="0.3">
      <c r="M441" s="137" t="str">
        <f t="shared" si="6"/>
        <v xml:space="preserve"> </v>
      </c>
      <c r="N441"/>
    </row>
    <row r="442" spans="13:14" x14ac:dyDescent="0.3">
      <c r="M442" s="137" t="str">
        <f t="shared" si="6"/>
        <v xml:space="preserve"> </v>
      </c>
      <c r="N442"/>
    </row>
    <row r="443" spans="13:14" x14ac:dyDescent="0.3">
      <c r="M443" s="137" t="str">
        <f t="shared" si="6"/>
        <v xml:space="preserve"> </v>
      </c>
      <c r="N443"/>
    </row>
    <row r="444" spans="13:14" x14ac:dyDescent="0.3">
      <c r="M444" s="137" t="str">
        <f t="shared" si="6"/>
        <v xml:space="preserve"> </v>
      </c>
      <c r="N444"/>
    </row>
    <row r="445" spans="13:14" x14ac:dyDescent="0.3">
      <c r="M445" s="137" t="str">
        <f t="shared" si="6"/>
        <v xml:space="preserve"> </v>
      </c>
      <c r="N445"/>
    </row>
    <row r="446" spans="13:14" x14ac:dyDescent="0.3">
      <c r="M446" s="137" t="str">
        <f t="shared" si="6"/>
        <v xml:space="preserve"> </v>
      </c>
      <c r="N446"/>
    </row>
    <row r="447" spans="13:14" x14ac:dyDescent="0.3">
      <c r="M447" s="137" t="str">
        <f t="shared" si="6"/>
        <v xml:space="preserve"> </v>
      </c>
      <c r="N447"/>
    </row>
    <row r="448" spans="13:14" x14ac:dyDescent="0.3">
      <c r="M448" s="137" t="str">
        <f t="shared" si="6"/>
        <v xml:space="preserve"> </v>
      </c>
      <c r="N448"/>
    </row>
    <row r="449" spans="13:14" x14ac:dyDescent="0.3">
      <c r="M449" s="137" t="str">
        <f t="shared" si="6"/>
        <v xml:space="preserve"> </v>
      </c>
      <c r="N449"/>
    </row>
    <row r="450" spans="13:14" x14ac:dyDescent="0.3">
      <c r="M450" s="137" t="str">
        <f t="shared" ref="M450:M513" si="7">_xlfn.CONCAT(L450," ",F450)</f>
        <v xml:space="preserve"> </v>
      </c>
      <c r="N450"/>
    </row>
    <row r="451" spans="13:14" x14ac:dyDescent="0.3">
      <c r="M451" s="137" t="str">
        <f t="shared" si="7"/>
        <v xml:space="preserve"> </v>
      </c>
      <c r="N451"/>
    </row>
    <row r="452" spans="13:14" x14ac:dyDescent="0.3">
      <c r="M452" s="137" t="str">
        <f t="shared" si="7"/>
        <v xml:space="preserve"> </v>
      </c>
      <c r="N452"/>
    </row>
    <row r="453" spans="13:14" x14ac:dyDescent="0.3">
      <c r="M453" s="137" t="str">
        <f t="shared" si="7"/>
        <v xml:space="preserve"> </v>
      </c>
      <c r="N453"/>
    </row>
    <row r="454" spans="13:14" x14ac:dyDescent="0.3">
      <c r="M454" s="137" t="str">
        <f t="shared" si="7"/>
        <v xml:space="preserve"> </v>
      </c>
      <c r="N454"/>
    </row>
    <row r="455" spans="13:14" x14ac:dyDescent="0.3">
      <c r="M455" s="137" t="str">
        <f t="shared" si="7"/>
        <v xml:space="preserve"> </v>
      </c>
      <c r="N455"/>
    </row>
    <row r="456" spans="13:14" x14ac:dyDescent="0.3">
      <c r="M456" s="137" t="str">
        <f t="shared" si="7"/>
        <v xml:space="preserve"> </v>
      </c>
      <c r="N456"/>
    </row>
    <row r="457" spans="13:14" x14ac:dyDescent="0.3">
      <c r="M457" s="137" t="str">
        <f t="shared" si="7"/>
        <v xml:space="preserve"> </v>
      </c>
      <c r="N457"/>
    </row>
    <row r="458" spans="13:14" x14ac:dyDescent="0.3">
      <c r="M458" s="137" t="str">
        <f t="shared" si="7"/>
        <v xml:space="preserve"> </v>
      </c>
      <c r="N458"/>
    </row>
    <row r="459" spans="13:14" x14ac:dyDescent="0.3">
      <c r="M459" s="137" t="str">
        <f t="shared" si="7"/>
        <v xml:space="preserve"> </v>
      </c>
      <c r="N459"/>
    </row>
    <row r="460" spans="13:14" x14ac:dyDescent="0.3">
      <c r="M460" s="137" t="str">
        <f t="shared" si="7"/>
        <v xml:space="preserve"> </v>
      </c>
      <c r="N460"/>
    </row>
    <row r="461" spans="13:14" x14ac:dyDescent="0.3">
      <c r="M461" s="137" t="str">
        <f t="shared" si="7"/>
        <v xml:space="preserve"> </v>
      </c>
      <c r="N461"/>
    </row>
    <row r="462" spans="13:14" x14ac:dyDescent="0.3">
      <c r="M462" s="137" t="str">
        <f t="shared" si="7"/>
        <v xml:space="preserve"> </v>
      </c>
      <c r="N462"/>
    </row>
    <row r="463" spans="13:14" x14ac:dyDescent="0.3">
      <c r="M463" s="137" t="str">
        <f t="shared" si="7"/>
        <v xml:space="preserve"> </v>
      </c>
      <c r="N463"/>
    </row>
    <row r="464" spans="13:14" x14ac:dyDescent="0.3">
      <c r="M464" s="137" t="str">
        <f t="shared" si="7"/>
        <v xml:space="preserve"> </v>
      </c>
      <c r="N464"/>
    </row>
    <row r="465" spans="13:14" x14ac:dyDescent="0.3">
      <c r="M465" s="137" t="str">
        <f t="shared" si="7"/>
        <v xml:space="preserve"> </v>
      </c>
      <c r="N465"/>
    </row>
    <row r="466" spans="13:14" x14ac:dyDescent="0.3">
      <c r="M466" s="137" t="str">
        <f t="shared" si="7"/>
        <v xml:space="preserve"> </v>
      </c>
      <c r="N466"/>
    </row>
    <row r="467" spans="13:14" x14ac:dyDescent="0.3">
      <c r="M467" s="137" t="str">
        <f t="shared" si="7"/>
        <v xml:space="preserve"> </v>
      </c>
      <c r="N467"/>
    </row>
    <row r="468" spans="13:14" x14ac:dyDescent="0.3">
      <c r="M468" s="137" t="str">
        <f t="shared" si="7"/>
        <v xml:space="preserve"> </v>
      </c>
      <c r="N468"/>
    </row>
    <row r="469" spans="13:14" x14ac:dyDescent="0.3">
      <c r="M469" s="137" t="str">
        <f t="shared" si="7"/>
        <v xml:space="preserve"> </v>
      </c>
      <c r="N469"/>
    </row>
    <row r="470" spans="13:14" x14ac:dyDescent="0.3">
      <c r="M470" s="137" t="str">
        <f t="shared" si="7"/>
        <v xml:space="preserve"> </v>
      </c>
      <c r="N470"/>
    </row>
    <row r="471" spans="13:14" x14ac:dyDescent="0.3">
      <c r="M471" s="137" t="str">
        <f t="shared" si="7"/>
        <v xml:space="preserve"> </v>
      </c>
      <c r="N471"/>
    </row>
    <row r="472" spans="13:14" x14ac:dyDescent="0.3">
      <c r="M472" s="137" t="str">
        <f t="shared" si="7"/>
        <v xml:space="preserve"> </v>
      </c>
      <c r="N472"/>
    </row>
    <row r="473" spans="13:14" x14ac:dyDescent="0.3">
      <c r="M473" s="137" t="str">
        <f t="shared" si="7"/>
        <v xml:space="preserve"> </v>
      </c>
      <c r="N473"/>
    </row>
    <row r="474" spans="13:14" x14ac:dyDescent="0.3">
      <c r="M474" s="137" t="str">
        <f t="shared" si="7"/>
        <v xml:space="preserve"> </v>
      </c>
      <c r="N474"/>
    </row>
    <row r="475" spans="13:14" x14ac:dyDescent="0.3">
      <c r="M475" s="137" t="str">
        <f t="shared" si="7"/>
        <v xml:space="preserve"> </v>
      </c>
      <c r="N475"/>
    </row>
    <row r="476" spans="13:14" x14ac:dyDescent="0.3">
      <c r="M476" s="137" t="str">
        <f t="shared" si="7"/>
        <v xml:space="preserve"> </v>
      </c>
      <c r="N476"/>
    </row>
    <row r="477" spans="13:14" x14ac:dyDescent="0.3">
      <c r="M477" s="137" t="str">
        <f t="shared" si="7"/>
        <v xml:space="preserve"> </v>
      </c>
      <c r="N477"/>
    </row>
    <row r="478" spans="13:14" x14ac:dyDescent="0.3">
      <c r="M478" s="137" t="str">
        <f t="shared" si="7"/>
        <v xml:space="preserve"> </v>
      </c>
      <c r="N478"/>
    </row>
    <row r="479" spans="13:14" x14ac:dyDescent="0.3">
      <c r="M479" s="137" t="str">
        <f t="shared" si="7"/>
        <v xml:space="preserve"> </v>
      </c>
      <c r="N479"/>
    </row>
    <row r="480" spans="13:14" x14ac:dyDescent="0.3">
      <c r="M480" s="137" t="str">
        <f t="shared" si="7"/>
        <v xml:space="preserve"> </v>
      </c>
      <c r="N480"/>
    </row>
    <row r="481" spans="13:14" x14ac:dyDescent="0.3">
      <c r="M481" s="137" t="str">
        <f t="shared" si="7"/>
        <v xml:space="preserve"> </v>
      </c>
      <c r="N481"/>
    </row>
    <row r="482" spans="13:14" x14ac:dyDescent="0.3">
      <c r="M482" s="137" t="str">
        <f t="shared" si="7"/>
        <v xml:space="preserve"> </v>
      </c>
      <c r="N482"/>
    </row>
    <row r="483" spans="13:14" x14ac:dyDescent="0.3">
      <c r="M483" s="137" t="str">
        <f t="shared" si="7"/>
        <v xml:space="preserve"> </v>
      </c>
      <c r="N483"/>
    </row>
    <row r="484" spans="13:14" x14ac:dyDescent="0.3">
      <c r="M484" s="137" t="str">
        <f t="shared" si="7"/>
        <v xml:space="preserve"> </v>
      </c>
      <c r="N484"/>
    </row>
    <row r="485" spans="13:14" x14ac:dyDescent="0.3">
      <c r="M485" s="137" t="str">
        <f t="shared" si="7"/>
        <v xml:space="preserve"> </v>
      </c>
      <c r="N485"/>
    </row>
    <row r="486" spans="13:14" x14ac:dyDescent="0.3">
      <c r="M486" s="137" t="str">
        <f t="shared" si="7"/>
        <v xml:space="preserve"> </v>
      </c>
      <c r="N486"/>
    </row>
    <row r="487" spans="13:14" x14ac:dyDescent="0.3">
      <c r="M487" s="137" t="str">
        <f t="shared" si="7"/>
        <v xml:space="preserve"> </v>
      </c>
      <c r="N487"/>
    </row>
    <row r="488" spans="13:14" x14ac:dyDescent="0.3">
      <c r="M488" s="137" t="str">
        <f t="shared" si="7"/>
        <v xml:space="preserve"> </v>
      </c>
      <c r="N488"/>
    </row>
    <row r="489" spans="13:14" x14ac:dyDescent="0.3">
      <c r="M489" s="137" t="str">
        <f t="shared" si="7"/>
        <v xml:space="preserve"> </v>
      </c>
      <c r="N489"/>
    </row>
    <row r="490" spans="13:14" x14ac:dyDescent="0.3">
      <c r="M490" s="137" t="str">
        <f t="shared" si="7"/>
        <v xml:space="preserve"> </v>
      </c>
      <c r="N490"/>
    </row>
    <row r="491" spans="13:14" x14ac:dyDescent="0.3">
      <c r="M491" s="137" t="str">
        <f t="shared" si="7"/>
        <v xml:space="preserve"> </v>
      </c>
      <c r="N491"/>
    </row>
    <row r="492" spans="13:14" x14ac:dyDescent="0.3">
      <c r="M492" s="137" t="str">
        <f t="shared" si="7"/>
        <v xml:space="preserve"> </v>
      </c>
      <c r="N492"/>
    </row>
    <row r="493" spans="13:14" x14ac:dyDescent="0.3">
      <c r="M493" s="137" t="str">
        <f t="shared" si="7"/>
        <v xml:space="preserve"> </v>
      </c>
      <c r="N493"/>
    </row>
    <row r="494" spans="13:14" x14ac:dyDescent="0.3">
      <c r="M494" s="137" t="str">
        <f t="shared" si="7"/>
        <v xml:space="preserve"> </v>
      </c>
      <c r="N494"/>
    </row>
    <row r="495" spans="13:14" x14ac:dyDescent="0.3">
      <c r="M495" s="137" t="str">
        <f t="shared" si="7"/>
        <v xml:space="preserve"> </v>
      </c>
      <c r="N495"/>
    </row>
    <row r="496" spans="13:14" x14ac:dyDescent="0.3">
      <c r="M496" s="137" t="str">
        <f t="shared" si="7"/>
        <v xml:space="preserve"> </v>
      </c>
      <c r="N496"/>
    </row>
    <row r="497" spans="13:14" x14ac:dyDescent="0.3">
      <c r="M497" s="137" t="str">
        <f t="shared" si="7"/>
        <v xml:space="preserve"> </v>
      </c>
      <c r="N497"/>
    </row>
    <row r="498" spans="13:14" x14ac:dyDescent="0.3">
      <c r="M498" s="137" t="str">
        <f t="shared" si="7"/>
        <v xml:space="preserve"> </v>
      </c>
      <c r="N498"/>
    </row>
    <row r="499" spans="13:14" x14ac:dyDescent="0.3">
      <c r="M499" s="137" t="str">
        <f t="shared" si="7"/>
        <v xml:space="preserve"> </v>
      </c>
      <c r="N499"/>
    </row>
    <row r="500" spans="13:14" x14ac:dyDescent="0.3">
      <c r="M500" s="137" t="str">
        <f t="shared" si="7"/>
        <v xml:space="preserve"> </v>
      </c>
      <c r="N500"/>
    </row>
    <row r="501" spans="13:14" x14ac:dyDescent="0.3">
      <c r="M501" s="137" t="str">
        <f t="shared" si="7"/>
        <v xml:space="preserve"> </v>
      </c>
      <c r="N501"/>
    </row>
    <row r="502" spans="13:14" x14ac:dyDescent="0.3">
      <c r="M502" s="137" t="str">
        <f t="shared" si="7"/>
        <v xml:space="preserve"> </v>
      </c>
      <c r="N502"/>
    </row>
    <row r="503" spans="13:14" x14ac:dyDescent="0.3">
      <c r="M503" s="137" t="str">
        <f t="shared" si="7"/>
        <v xml:space="preserve"> </v>
      </c>
      <c r="N503"/>
    </row>
    <row r="504" spans="13:14" x14ac:dyDescent="0.3">
      <c r="M504" s="137" t="str">
        <f t="shared" si="7"/>
        <v xml:space="preserve"> </v>
      </c>
      <c r="N504"/>
    </row>
    <row r="505" spans="13:14" x14ac:dyDescent="0.3">
      <c r="M505" s="137" t="str">
        <f t="shared" si="7"/>
        <v xml:space="preserve"> </v>
      </c>
      <c r="N505"/>
    </row>
    <row r="506" spans="13:14" x14ac:dyDescent="0.3">
      <c r="M506" s="137" t="str">
        <f t="shared" si="7"/>
        <v xml:space="preserve"> </v>
      </c>
      <c r="N506"/>
    </row>
    <row r="507" spans="13:14" x14ac:dyDescent="0.3">
      <c r="M507" s="137" t="str">
        <f t="shared" si="7"/>
        <v xml:space="preserve"> </v>
      </c>
      <c r="N507"/>
    </row>
    <row r="508" spans="13:14" x14ac:dyDescent="0.3">
      <c r="M508" s="137" t="str">
        <f t="shared" si="7"/>
        <v xml:space="preserve"> </v>
      </c>
      <c r="N508"/>
    </row>
    <row r="509" spans="13:14" x14ac:dyDescent="0.3">
      <c r="M509" s="137" t="str">
        <f t="shared" si="7"/>
        <v xml:space="preserve"> </v>
      </c>
      <c r="N509"/>
    </row>
    <row r="510" spans="13:14" x14ac:dyDescent="0.3">
      <c r="M510" s="137" t="str">
        <f t="shared" si="7"/>
        <v xml:space="preserve"> </v>
      </c>
      <c r="N510"/>
    </row>
    <row r="511" spans="13:14" x14ac:dyDescent="0.3">
      <c r="M511" s="137" t="str">
        <f t="shared" si="7"/>
        <v xml:space="preserve"> </v>
      </c>
      <c r="N511"/>
    </row>
    <row r="512" spans="13:14" x14ac:dyDescent="0.3">
      <c r="M512" s="137" t="str">
        <f t="shared" si="7"/>
        <v xml:space="preserve"> </v>
      </c>
      <c r="N512"/>
    </row>
    <row r="513" spans="13:14" x14ac:dyDescent="0.3">
      <c r="M513" s="137" t="str">
        <f t="shared" si="7"/>
        <v xml:space="preserve"> </v>
      </c>
      <c r="N513"/>
    </row>
    <row r="514" spans="13:14" x14ac:dyDescent="0.3">
      <c r="M514" s="137" t="str">
        <f t="shared" ref="M514:M577" si="8">_xlfn.CONCAT(L514," ",F514)</f>
        <v xml:space="preserve"> </v>
      </c>
      <c r="N514"/>
    </row>
    <row r="515" spans="13:14" x14ac:dyDescent="0.3">
      <c r="M515" s="137" t="str">
        <f t="shared" si="8"/>
        <v xml:space="preserve"> </v>
      </c>
      <c r="N515"/>
    </row>
    <row r="516" spans="13:14" x14ac:dyDescent="0.3">
      <c r="M516" s="137" t="str">
        <f t="shared" si="8"/>
        <v xml:space="preserve"> </v>
      </c>
      <c r="N516"/>
    </row>
    <row r="517" spans="13:14" x14ac:dyDescent="0.3">
      <c r="M517" s="137" t="str">
        <f t="shared" si="8"/>
        <v xml:space="preserve"> </v>
      </c>
      <c r="N517"/>
    </row>
    <row r="518" spans="13:14" x14ac:dyDescent="0.3">
      <c r="M518" s="137" t="str">
        <f t="shared" si="8"/>
        <v xml:space="preserve"> </v>
      </c>
      <c r="N518"/>
    </row>
    <row r="519" spans="13:14" x14ac:dyDescent="0.3">
      <c r="M519" s="137" t="str">
        <f t="shared" si="8"/>
        <v xml:space="preserve"> </v>
      </c>
      <c r="N519"/>
    </row>
    <row r="520" spans="13:14" x14ac:dyDescent="0.3">
      <c r="M520" s="137" t="str">
        <f t="shared" si="8"/>
        <v xml:space="preserve"> </v>
      </c>
      <c r="N520"/>
    </row>
    <row r="521" spans="13:14" x14ac:dyDescent="0.3">
      <c r="M521" s="137" t="str">
        <f t="shared" si="8"/>
        <v xml:space="preserve"> </v>
      </c>
      <c r="N521"/>
    </row>
    <row r="522" spans="13:14" x14ac:dyDescent="0.3">
      <c r="M522" s="137" t="str">
        <f t="shared" si="8"/>
        <v xml:space="preserve"> </v>
      </c>
      <c r="N522"/>
    </row>
    <row r="523" spans="13:14" x14ac:dyDescent="0.3">
      <c r="M523" s="137" t="str">
        <f t="shared" si="8"/>
        <v xml:space="preserve"> </v>
      </c>
      <c r="N523"/>
    </row>
    <row r="524" spans="13:14" x14ac:dyDescent="0.3">
      <c r="M524" s="137" t="str">
        <f t="shared" si="8"/>
        <v xml:space="preserve"> </v>
      </c>
      <c r="N524"/>
    </row>
    <row r="525" spans="13:14" x14ac:dyDescent="0.3">
      <c r="M525" s="137" t="str">
        <f t="shared" si="8"/>
        <v xml:space="preserve"> </v>
      </c>
      <c r="N525"/>
    </row>
    <row r="526" spans="13:14" x14ac:dyDescent="0.3">
      <c r="M526" s="137" t="str">
        <f t="shared" si="8"/>
        <v xml:space="preserve"> </v>
      </c>
      <c r="N526"/>
    </row>
    <row r="527" spans="13:14" x14ac:dyDescent="0.3">
      <c r="M527" s="137" t="str">
        <f t="shared" si="8"/>
        <v xml:space="preserve"> </v>
      </c>
      <c r="N527"/>
    </row>
    <row r="528" spans="13:14" x14ac:dyDescent="0.3">
      <c r="M528" s="137" t="str">
        <f t="shared" si="8"/>
        <v xml:space="preserve"> </v>
      </c>
      <c r="N528"/>
    </row>
    <row r="529" spans="13:14" x14ac:dyDescent="0.3">
      <c r="M529" s="137" t="str">
        <f t="shared" si="8"/>
        <v xml:space="preserve"> </v>
      </c>
      <c r="N529"/>
    </row>
    <row r="530" spans="13:14" x14ac:dyDescent="0.3">
      <c r="M530" s="137" t="str">
        <f t="shared" si="8"/>
        <v xml:space="preserve"> </v>
      </c>
      <c r="N530"/>
    </row>
    <row r="531" spans="13:14" x14ac:dyDescent="0.3">
      <c r="M531" s="137" t="str">
        <f t="shared" si="8"/>
        <v xml:space="preserve"> </v>
      </c>
      <c r="N531"/>
    </row>
    <row r="532" spans="13:14" x14ac:dyDescent="0.3">
      <c r="M532" s="137" t="str">
        <f t="shared" si="8"/>
        <v xml:space="preserve"> </v>
      </c>
      <c r="N532"/>
    </row>
    <row r="533" spans="13:14" x14ac:dyDescent="0.3">
      <c r="M533" s="137" t="str">
        <f t="shared" si="8"/>
        <v xml:space="preserve"> </v>
      </c>
      <c r="N533"/>
    </row>
    <row r="534" spans="13:14" x14ac:dyDescent="0.3">
      <c r="M534" s="137" t="str">
        <f t="shared" si="8"/>
        <v xml:space="preserve"> </v>
      </c>
      <c r="N534"/>
    </row>
    <row r="535" spans="13:14" x14ac:dyDescent="0.3">
      <c r="M535" s="137" t="str">
        <f t="shared" si="8"/>
        <v xml:space="preserve"> </v>
      </c>
      <c r="N535"/>
    </row>
    <row r="536" spans="13:14" x14ac:dyDescent="0.3">
      <c r="M536" s="137" t="str">
        <f t="shared" si="8"/>
        <v xml:space="preserve"> </v>
      </c>
      <c r="N536"/>
    </row>
    <row r="537" spans="13:14" x14ac:dyDescent="0.3">
      <c r="M537" s="137" t="str">
        <f t="shared" si="8"/>
        <v xml:space="preserve"> </v>
      </c>
      <c r="N537"/>
    </row>
    <row r="538" spans="13:14" x14ac:dyDescent="0.3">
      <c r="M538" s="137" t="str">
        <f t="shared" si="8"/>
        <v xml:space="preserve"> </v>
      </c>
      <c r="N538"/>
    </row>
    <row r="539" spans="13:14" x14ac:dyDescent="0.3">
      <c r="M539" s="137" t="str">
        <f t="shared" si="8"/>
        <v xml:space="preserve"> </v>
      </c>
      <c r="N539"/>
    </row>
    <row r="540" spans="13:14" x14ac:dyDescent="0.3">
      <c r="M540" s="137" t="str">
        <f t="shared" si="8"/>
        <v xml:space="preserve"> </v>
      </c>
      <c r="N540"/>
    </row>
    <row r="541" spans="13:14" x14ac:dyDescent="0.3">
      <c r="M541" s="137" t="str">
        <f t="shared" si="8"/>
        <v xml:space="preserve"> </v>
      </c>
      <c r="N541"/>
    </row>
    <row r="542" spans="13:14" x14ac:dyDescent="0.3">
      <c r="M542" s="137" t="str">
        <f t="shared" si="8"/>
        <v xml:space="preserve"> </v>
      </c>
      <c r="N542"/>
    </row>
    <row r="543" spans="13:14" x14ac:dyDescent="0.3">
      <c r="M543" s="137" t="str">
        <f t="shared" si="8"/>
        <v xml:space="preserve"> </v>
      </c>
      <c r="N543"/>
    </row>
    <row r="544" spans="13:14" x14ac:dyDescent="0.3">
      <c r="M544" s="137" t="str">
        <f t="shared" si="8"/>
        <v xml:space="preserve"> </v>
      </c>
      <c r="N544"/>
    </row>
    <row r="545" spans="13:14" x14ac:dyDescent="0.3">
      <c r="M545" s="137" t="str">
        <f t="shared" si="8"/>
        <v xml:space="preserve"> </v>
      </c>
      <c r="N545"/>
    </row>
    <row r="546" spans="13:14" x14ac:dyDescent="0.3">
      <c r="M546" s="137" t="str">
        <f t="shared" si="8"/>
        <v xml:space="preserve"> </v>
      </c>
      <c r="N546"/>
    </row>
    <row r="547" spans="13:14" x14ac:dyDescent="0.3">
      <c r="M547" s="137" t="str">
        <f t="shared" si="8"/>
        <v xml:space="preserve"> </v>
      </c>
      <c r="N547"/>
    </row>
    <row r="548" spans="13:14" x14ac:dyDescent="0.3">
      <c r="M548" s="137" t="str">
        <f t="shared" si="8"/>
        <v xml:space="preserve"> </v>
      </c>
      <c r="N548"/>
    </row>
    <row r="549" spans="13:14" x14ac:dyDescent="0.3">
      <c r="M549" s="137" t="str">
        <f t="shared" si="8"/>
        <v xml:space="preserve"> </v>
      </c>
      <c r="N549"/>
    </row>
    <row r="550" spans="13:14" x14ac:dyDescent="0.3">
      <c r="M550" s="137" t="str">
        <f t="shared" si="8"/>
        <v xml:space="preserve"> </v>
      </c>
      <c r="N550"/>
    </row>
    <row r="551" spans="13:14" x14ac:dyDescent="0.3">
      <c r="M551" s="137" t="str">
        <f t="shared" si="8"/>
        <v xml:space="preserve"> </v>
      </c>
      <c r="N551"/>
    </row>
    <row r="552" spans="13:14" x14ac:dyDescent="0.3">
      <c r="M552" s="137" t="str">
        <f t="shared" si="8"/>
        <v xml:space="preserve"> </v>
      </c>
      <c r="N552"/>
    </row>
    <row r="553" spans="13:14" x14ac:dyDescent="0.3">
      <c r="M553" s="137" t="str">
        <f t="shared" si="8"/>
        <v xml:space="preserve"> </v>
      </c>
      <c r="N553"/>
    </row>
    <row r="554" spans="13:14" x14ac:dyDescent="0.3">
      <c r="M554" s="137" t="str">
        <f t="shared" si="8"/>
        <v xml:space="preserve"> </v>
      </c>
      <c r="N554"/>
    </row>
    <row r="555" spans="13:14" x14ac:dyDescent="0.3">
      <c r="M555" s="137" t="str">
        <f t="shared" si="8"/>
        <v xml:space="preserve"> </v>
      </c>
      <c r="N555"/>
    </row>
    <row r="556" spans="13:14" x14ac:dyDescent="0.3">
      <c r="M556" s="137" t="str">
        <f t="shared" si="8"/>
        <v xml:space="preserve"> </v>
      </c>
      <c r="N556"/>
    </row>
    <row r="557" spans="13:14" x14ac:dyDescent="0.3">
      <c r="M557" s="137" t="str">
        <f t="shared" si="8"/>
        <v xml:space="preserve"> </v>
      </c>
      <c r="N557"/>
    </row>
    <row r="558" spans="13:14" x14ac:dyDescent="0.3">
      <c r="M558" s="137" t="str">
        <f t="shared" si="8"/>
        <v xml:space="preserve"> </v>
      </c>
      <c r="N558"/>
    </row>
    <row r="559" spans="13:14" x14ac:dyDescent="0.3">
      <c r="M559" s="137" t="str">
        <f t="shared" si="8"/>
        <v xml:space="preserve"> </v>
      </c>
      <c r="N559"/>
    </row>
    <row r="560" spans="13:14" x14ac:dyDescent="0.3">
      <c r="M560" s="137" t="str">
        <f t="shared" si="8"/>
        <v xml:space="preserve"> </v>
      </c>
      <c r="N560"/>
    </row>
    <row r="561" spans="13:14" x14ac:dyDescent="0.3">
      <c r="M561" s="137" t="str">
        <f t="shared" si="8"/>
        <v xml:space="preserve"> </v>
      </c>
      <c r="N561"/>
    </row>
    <row r="562" spans="13:14" x14ac:dyDescent="0.3">
      <c r="M562" s="137" t="str">
        <f t="shared" si="8"/>
        <v xml:space="preserve"> </v>
      </c>
      <c r="N562"/>
    </row>
    <row r="563" spans="13:14" x14ac:dyDescent="0.3">
      <c r="M563" s="137" t="str">
        <f t="shared" si="8"/>
        <v xml:space="preserve"> </v>
      </c>
      <c r="N563"/>
    </row>
    <row r="564" spans="13:14" x14ac:dyDescent="0.3">
      <c r="M564" s="137" t="str">
        <f t="shared" si="8"/>
        <v xml:space="preserve"> </v>
      </c>
      <c r="N564"/>
    </row>
    <row r="565" spans="13:14" x14ac:dyDescent="0.3">
      <c r="M565" s="137" t="str">
        <f t="shared" si="8"/>
        <v xml:space="preserve"> </v>
      </c>
      <c r="N565"/>
    </row>
    <row r="566" spans="13:14" x14ac:dyDescent="0.3">
      <c r="M566" s="137" t="str">
        <f t="shared" si="8"/>
        <v xml:space="preserve"> </v>
      </c>
      <c r="N566"/>
    </row>
    <row r="567" spans="13:14" x14ac:dyDescent="0.3">
      <c r="M567" s="137" t="str">
        <f t="shared" si="8"/>
        <v xml:space="preserve"> </v>
      </c>
      <c r="N567"/>
    </row>
    <row r="568" spans="13:14" x14ac:dyDescent="0.3">
      <c r="M568" s="137" t="str">
        <f t="shared" si="8"/>
        <v xml:space="preserve"> </v>
      </c>
      <c r="N568"/>
    </row>
    <row r="569" spans="13:14" x14ac:dyDescent="0.3">
      <c r="M569" s="137" t="str">
        <f t="shared" si="8"/>
        <v xml:space="preserve"> </v>
      </c>
      <c r="N569"/>
    </row>
    <row r="570" spans="13:14" x14ac:dyDescent="0.3">
      <c r="M570" s="137" t="str">
        <f t="shared" si="8"/>
        <v xml:space="preserve"> </v>
      </c>
      <c r="N570"/>
    </row>
    <row r="571" spans="13:14" x14ac:dyDescent="0.3">
      <c r="M571" s="137" t="str">
        <f t="shared" si="8"/>
        <v xml:space="preserve"> </v>
      </c>
      <c r="N571"/>
    </row>
    <row r="572" spans="13:14" x14ac:dyDescent="0.3">
      <c r="M572" s="137" t="str">
        <f t="shared" si="8"/>
        <v xml:space="preserve"> </v>
      </c>
      <c r="N572"/>
    </row>
    <row r="573" spans="13:14" x14ac:dyDescent="0.3">
      <c r="M573" s="137" t="str">
        <f t="shared" si="8"/>
        <v xml:space="preserve"> </v>
      </c>
      <c r="N573"/>
    </row>
    <row r="574" spans="13:14" x14ac:dyDescent="0.3">
      <c r="M574" s="137" t="str">
        <f t="shared" si="8"/>
        <v xml:space="preserve"> </v>
      </c>
      <c r="N574"/>
    </row>
    <row r="575" spans="13:14" x14ac:dyDescent="0.3">
      <c r="M575" s="137" t="str">
        <f t="shared" si="8"/>
        <v xml:space="preserve"> </v>
      </c>
      <c r="N575"/>
    </row>
    <row r="576" spans="13:14" x14ac:dyDescent="0.3">
      <c r="M576" s="137" t="str">
        <f t="shared" si="8"/>
        <v xml:space="preserve"> </v>
      </c>
      <c r="N576"/>
    </row>
    <row r="577" spans="13:14" x14ac:dyDescent="0.3">
      <c r="M577" s="137" t="str">
        <f t="shared" si="8"/>
        <v xml:space="preserve"> </v>
      </c>
      <c r="N577"/>
    </row>
    <row r="578" spans="13:14" x14ac:dyDescent="0.3">
      <c r="M578" s="137" t="str">
        <f t="shared" ref="M578:M641" si="9">_xlfn.CONCAT(L578," ",F578)</f>
        <v xml:space="preserve"> </v>
      </c>
      <c r="N578"/>
    </row>
    <row r="579" spans="13:14" x14ac:dyDescent="0.3">
      <c r="M579" s="137" t="str">
        <f t="shared" si="9"/>
        <v xml:space="preserve"> </v>
      </c>
      <c r="N579"/>
    </row>
    <row r="580" spans="13:14" x14ac:dyDescent="0.3">
      <c r="M580" s="137" t="str">
        <f t="shared" si="9"/>
        <v xml:space="preserve"> </v>
      </c>
      <c r="N580"/>
    </row>
    <row r="581" spans="13:14" x14ac:dyDescent="0.3">
      <c r="M581" s="137" t="str">
        <f t="shared" si="9"/>
        <v xml:space="preserve"> </v>
      </c>
      <c r="N581"/>
    </row>
    <row r="582" spans="13:14" x14ac:dyDescent="0.3">
      <c r="M582" s="137" t="str">
        <f t="shared" si="9"/>
        <v xml:space="preserve"> </v>
      </c>
      <c r="N582"/>
    </row>
    <row r="583" spans="13:14" x14ac:dyDescent="0.3">
      <c r="M583" s="137" t="str">
        <f t="shared" si="9"/>
        <v xml:space="preserve"> </v>
      </c>
      <c r="N583"/>
    </row>
    <row r="584" spans="13:14" x14ac:dyDescent="0.3">
      <c r="M584" s="137" t="str">
        <f t="shared" si="9"/>
        <v xml:space="preserve"> </v>
      </c>
      <c r="N584"/>
    </row>
    <row r="585" spans="13:14" x14ac:dyDescent="0.3">
      <c r="M585" s="137" t="str">
        <f t="shared" si="9"/>
        <v xml:space="preserve"> </v>
      </c>
      <c r="N585"/>
    </row>
    <row r="586" spans="13:14" x14ac:dyDescent="0.3">
      <c r="M586" s="137" t="str">
        <f t="shared" si="9"/>
        <v xml:space="preserve"> </v>
      </c>
      <c r="N586"/>
    </row>
    <row r="587" spans="13:14" x14ac:dyDescent="0.3">
      <c r="M587" s="137" t="str">
        <f t="shared" si="9"/>
        <v xml:space="preserve"> </v>
      </c>
      <c r="N587"/>
    </row>
    <row r="588" spans="13:14" x14ac:dyDescent="0.3">
      <c r="M588" s="137" t="str">
        <f t="shared" si="9"/>
        <v xml:space="preserve"> </v>
      </c>
      <c r="N588"/>
    </row>
    <row r="589" spans="13:14" x14ac:dyDescent="0.3">
      <c r="M589" s="137" t="str">
        <f t="shared" si="9"/>
        <v xml:space="preserve"> </v>
      </c>
      <c r="N589"/>
    </row>
    <row r="590" spans="13:14" x14ac:dyDescent="0.3">
      <c r="M590" s="137" t="str">
        <f t="shared" si="9"/>
        <v xml:space="preserve"> </v>
      </c>
      <c r="N590"/>
    </row>
    <row r="591" spans="13:14" x14ac:dyDescent="0.3">
      <c r="M591" s="137" t="str">
        <f t="shared" si="9"/>
        <v xml:space="preserve"> </v>
      </c>
      <c r="N591"/>
    </row>
    <row r="592" spans="13:14" x14ac:dyDescent="0.3">
      <c r="M592" s="137" t="str">
        <f t="shared" si="9"/>
        <v xml:space="preserve"> </v>
      </c>
      <c r="N592"/>
    </row>
    <row r="593" spans="13:14" x14ac:dyDescent="0.3">
      <c r="M593" s="137" t="str">
        <f t="shared" si="9"/>
        <v xml:space="preserve"> </v>
      </c>
      <c r="N593"/>
    </row>
    <row r="594" spans="13:14" x14ac:dyDescent="0.3">
      <c r="M594" s="137" t="str">
        <f t="shared" si="9"/>
        <v xml:space="preserve"> </v>
      </c>
      <c r="N594"/>
    </row>
    <row r="595" spans="13:14" x14ac:dyDescent="0.3">
      <c r="M595" s="137" t="str">
        <f t="shared" si="9"/>
        <v xml:space="preserve"> </v>
      </c>
      <c r="N595"/>
    </row>
    <row r="596" spans="13:14" x14ac:dyDescent="0.3">
      <c r="M596" s="137" t="str">
        <f t="shared" si="9"/>
        <v xml:space="preserve"> </v>
      </c>
      <c r="N596"/>
    </row>
    <row r="597" spans="13:14" x14ac:dyDescent="0.3">
      <c r="M597" s="137" t="str">
        <f t="shared" si="9"/>
        <v xml:space="preserve"> </v>
      </c>
      <c r="N597"/>
    </row>
    <row r="598" spans="13:14" x14ac:dyDescent="0.3">
      <c r="M598" s="137" t="str">
        <f t="shared" si="9"/>
        <v xml:space="preserve"> </v>
      </c>
      <c r="N598"/>
    </row>
    <row r="599" spans="13:14" x14ac:dyDescent="0.3">
      <c r="M599" s="137" t="str">
        <f t="shared" si="9"/>
        <v xml:space="preserve"> </v>
      </c>
      <c r="N599"/>
    </row>
    <row r="600" spans="13:14" x14ac:dyDescent="0.3">
      <c r="M600" s="137" t="str">
        <f t="shared" si="9"/>
        <v xml:space="preserve"> </v>
      </c>
      <c r="N600"/>
    </row>
    <row r="601" spans="13:14" x14ac:dyDescent="0.3">
      <c r="M601" s="137" t="str">
        <f t="shared" si="9"/>
        <v xml:space="preserve"> </v>
      </c>
      <c r="N601"/>
    </row>
    <row r="602" spans="13:14" x14ac:dyDescent="0.3">
      <c r="M602" s="137" t="str">
        <f t="shared" si="9"/>
        <v xml:space="preserve"> </v>
      </c>
      <c r="N602"/>
    </row>
    <row r="603" spans="13:14" x14ac:dyDescent="0.3">
      <c r="M603" s="137" t="str">
        <f t="shared" si="9"/>
        <v xml:space="preserve"> </v>
      </c>
      <c r="N603"/>
    </row>
    <row r="604" spans="13:14" x14ac:dyDescent="0.3">
      <c r="M604" s="137" t="str">
        <f t="shared" si="9"/>
        <v xml:space="preserve"> </v>
      </c>
      <c r="N604"/>
    </row>
    <row r="605" spans="13:14" x14ac:dyDescent="0.3">
      <c r="M605" s="137" t="str">
        <f t="shared" si="9"/>
        <v xml:space="preserve"> </v>
      </c>
      <c r="N605"/>
    </row>
    <row r="606" spans="13:14" x14ac:dyDescent="0.3">
      <c r="M606" s="137" t="str">
        <f t="shared" si="9"/>
        <v xml:space="preserve"> </v>
      </c>
      <c r="N606"/>
    </row>
    <row r="607" spans="13:14" x14ac:dyDescent="0.3">
      <c r="M607" s="137" t="str">
        <f t="shared" si="9"/>
        <v xml:space="preserve"> </v>
      </c>
      <c r="N607"/>
    </row>
    <row r="608" spans="13:14" x14ac:dyDescent="0.3">
      <c r="M608" s="137" t="str">
        <f t="shared" si="9"/>
        <v xml:space="preserve"> </v>
      </c>
      <c r="N608"/>
    </row>
    <row r="609" spans="13:14" x14ac:dyDescent="0.3">
      <c r="M609" s="137" t="str">
        <f t="shared" si="9"/>
        <v xml:space="preserve"> </v>
      </c>
      <c r="N609"/>
    </row>
    <row r="610" spans="13:14" x14ac:dyDescent="0.3">
      <c r="M610" s="137" t="str">
        <f t="shared" si="9"/>
        <v xml:space="preserve"> </v>
      </c>
      <c r="N610"/>
    </row>
    <row r="611" spans="13:14" x14ac:dyDescent="0.3">
      <c r="M611" s="137" t="str">
        <f t="shared" si="9"/>
        <v xml:space="preserve"> </v>
      </c>
      <c r="N611"/>
    </row>
    <row r="612" spans="13:14" x14ac:dyDescent="0.3">
      <c r="M612" s="137" t="str">
        <f t="shared" si="9"/>
        <v xml:space="preserve"> </v>
      </c>
      <c r="N612"/>
    </row>
    <row r="613" spans="13:14" x14ac:dyDescent="0.3">
      <c r="M613" s="137" t="str">
        <f t="shared" si="9"/>
        <v xml:space="preserve"> </v>
      </c>
      <c r="N613"/>
    </row>
    <row r="614" spans="13:14" x14ac:dyDescent="0.3">
      <c r="M614" s="137" t="str">
        <f t="shared" si="9"/>
        <v xml:space="preserve"> </v>
      </c>
      <c r="N614"/>
    </row>
    <row r="615" spans="13:14" x14ac:dyDescent="0.3">
      <c r="M615" s="137" t="str">
        <f t="shared" si="9"/>
        <v xml:space="preserve"> </v>
      </c>
      <c r="N615"/>
    </row>
    <row r="616" spans="13:14" x14ac:dyDescent="0.3">
      <c r="M616" s="137" t="str">
        <f t="shared" si="9"/>
        <v xml:space="preserve"> </v>
      </c>
      <c r="N616"/>
    </row>
    <row r="617" spans="13:14" x14ac:dyDescent="0.3">
      <c r="M617" s="137" t="str">
        <f t="shared" si="9"/>
        <v xml:space="preserve"> </v>
      </c>
      <c r="N617"/>
    </row>
    <row r="618" spans="13:14" x14ac:dyDescent="0.3">
      <c r="M618" s="137" t="str">
        <f t="shared" si="9"/>
        <v xml:space="preserve"> </v>
      </c>
      <c r="N618"/>
    </row>
    <row r="619" spans="13:14" x14ac:dyDescent="0.3">
      <c r="M619" s="137" t="str">
        <f t="shared" si="9"/>
        <v xml:space="preserve"> </v>
      </c>
      <c r="N619"/>
    </row>
    <row r="620" spans="13:14" x14ac:dyDescent="0.3">
      <c r="M620" s="137" t="str">
        <f t="shared" si="9"/>
        <v xml:space="preserve"> </v>
      </c>
      <c r="N620"/>
    </row>
    <row r="621" spans="13:14" x14ac:dyDescent="0.3">
      <c r="M621" s="137" t="str">
        <f t="shared" si="9"/>
        <v xml:space="preserve"> </v>
      </c>
      <c r="N621"/>
    </row>
    <row r="622" spans="13:14" x14ac:dyDescent="0.3">
      <c r="M622" s="137" t="str">
        <f t="shared" si="9"/>
        <v xml:space="preserve"> </v>
      </c>
      <c r="N622"/>
    </row>
    <row r="623" spans="13:14" x14ac:dyDescent="0.3">
      <c r="M623" s="137" t="str">
        <f t="shared" si="9"/>
        <v xml:space="preserve"> </v>
      </c>
      <c r="N623"/>
    </row>
    <row r="624" spans="13:14" x14ac:dyDescent="0.3">
      <c r="M624" s="137" t="str">
        <f t="shared" si="9"/>
        <v xml:space="preserve"> </v>
      </c>
      <c r="N624"/>
    </row>
    <row r="625" spans="13:14" x14ac:dyDescent="0.3">
      <c r="M625" s="137" t="str">
        <f t="shared" si="9"/>
        <v xml:space="preserve"> </v>
      </c>
      <c r="N625"/>
    </row>
    <row r="626" spans="13:14" x14ac:dyDescent="0.3">
      <c r="M626" s="137" t="str">
        <f t="shared" si="9"/>
        <v xml:space="preserve"> </v>
      </c>
      <c r="N626"/>
    </row>
    <row r="627" spans="13:14" x14ac:dyDescent="0.3">
      <c r="M627" s="137" t="str">
        <f t="shared" si="9"/>
        <v xml:space="preserve"> </v>
      </c>
      <c r="N627"/>
    </row>
    <row r="628" spans="13:14" x14ac:dyDescent="0.3">
      <c r="M628" s="137" t="str">
        <f t="shared" si="9"/>
        <v xml:space="preserve"> </v>
      </c>
      <c r="N628"/>
    </row>
    <row r="629" spans="13:14" x14ac:dyDescent="0.3">
      <c r="M629" s="137" t="str">
        <f t="shared" si="9"/>
        <v xml:space="preserve"> </v>
      </c>
      <c r="N629"/>
    </row>
    <row r="630" spans="13:14" x14ac:dyDescent="0.3">
      <c r="M630" s="137" t="str">
        <f t="shared" si="9"/>
        <v xml:space="preserve"> </v>
      </c>
      <c r="N630"/>
    </row>
    <row r="631" spans="13:14" x14ac:dyDescent="0.3">
      <c r="M631" s="137" t="str">
        <f t="shared" si="9"/>
        <v xml:space="preserve"> </v>
      </c>
      <c r="N631"/>
    </row>
    <row r="632" spans="13:14" x14ac:dyDescent="0.3">
      <c r="M632" s="137" t="str">
        <f t="shared" si="9"/>
        <v xml:space="preserve"> </v>
      </c>
      <c r="N632"/>
    </row>
    <row r="633" spans="13:14" x14ac:dyDescent="0.3">
      <c r="M633" s="137" t="str">
        <f t="shared" si="9"/>
        <v xml:space="preserve"> </v>
      </c>
      <c r="N633"/>
    </row>
    <row r="634" spans="13:14" x14ac:dyDescent="0.3">
      <c r="M634" s="137" t="str">
        <f t="shared" si="9"/>
        <v xml:space="preserve"> </v>
      </c>
      <c r="N634"/>
    </row>
    <row r="635" spans="13:14" x14ac:dyDescent="0.3">
      <c r="M635" s="137" t="str">
        <f t="shared" si="9"/>
        <v xml:space="preserve"> </v>
      </c>
      <c r="N635"/>
    </row>
    <row r="636" spans="13:14" x14ac:dyDescent="0.3">
      <c r="M636" s="137" t="str">
        <f t="shared" si="9"/>
        <v xml:space="preserve"> </v>
      </c>
      <c r="N636"/>
    </row>
    <row r="637" spans="13:14" x14ac:dyDescent="0.3">
      <c r="M637" s="137" t="str">
        <f t="shared" si="9"/>
        <v xml:space="preserve"> </v>
      </c>
      <c r="N637"/>
    </row>
    <row r="638" spans="13:14" x14ac:dyDescent="0.3">
      <c r="M638" s="137" t="str">
        <f t="shared" si="9"/>
        <v xml:space="preserve"> </v>
      </c>
      <c r="N638"/>
    </row>
    <row r="639" spans="13:14" x14ac:dyDescent="0.3">
      <c r="M639" s="137" t="str">
        <f t="shared" si="9"/>
        <v xml:space="preserve"> </v>
      </c>
      <c r="N639"/>
    </row>
    <row r="640" spans="13:14" x14ac:dyDescent="0.3">
      <c r="M640" s="137" t="str">
        <f t="shared" si="9"/>
        <v xml:space="preserve"> </v>
      </c>
      <c r="N640"/>
    </row>
    <row r="641" spans="13:14" x14ac:dyDescent="0.3">
      <c r="M641" s="137" t="str">
        <f t="shared" si="9"/>
        <v xml:space="preserve"> </v>
      </c>
      <c r="N641"/>
    </row>
    <row r="642" spans="13:14" x14ac:dyDescent="0.3">
      <c r="M642" s="137" t="str">
        <f t="shared" ref="M642:M705" si="10">_xlfn.CONCAT(L642," ",F642)</f>
        <v xml:space="preserve"> </v>
      </c>
      <c r="N642"/>
    </row>
    <row r="643" spans="13:14" x14ac:dyDescent="0.3">
      <c r="M643" s="137" t="str">
        <f t="shared" si="10"/>
        <v xml:space="preserve"> </v>
      </c>
      <c r="N643"/>
    </row>
    <row r="644" spans="13:14" x14ac:dyDescent="0.3">
      <c r="M644" s="137" t="str">
        <f t="shared" si="10"/>
        <v xml:space="preserve"> </v>
      </c>
      <c r="N644"/>
    </row>
    <row r="645" spans="13:14" x14ac:dyDescent="0.3">
      <c r="M645" s="137" t="str">
        <f t="shared" si="10"/>
        <v xml:space="preserve"> </v>
      </c>
      <c r="N645"/>
    </row>
    <row r="646" spans="13:14" x14ac:dyDescent="0.3">
      <c r="M646" s="137" t="str">
        <f t="shared" si="10"/>
        <v xml:space="preserve"> </v>
      </c>
      <c r="N646"/>
    </row>
    <row r="647" spans="13:14" x14ac:dyDescent="0.3">
      <c r="M647" s="137" t="str">
        <f t="shared" si="10"/>
        <v xml:space="preserve"> </v>
      </c>
      <c r="N647"/>
    </row>
    <row r="648" spans="13:14" x14ac:dyDescent="0.3">
      <c r="M648" s="137" t="str">
        <f t="shared" si="10"/>
        <v xml:space="preserve"> </v>
      </c>
      <c r="N648"/>
    </row>
    <row r="649" spans="13:14" x14ac:dyDescent="0.3">
      <c r="M649" s="137" t="str">
        <f t="shared" si="10"/>
        <v xml:space="preserve"> </v>
      </c>
      <c r="N649"/>
    </row>
    <row r="650" spans="13:14" x14ac:dyDescent="0.3">
      <c r="M650" s="137" t="str">
        <f t="shared" si="10"/>
        <v xml:space="preserve"> </v>
      </c>
      <c r="N650"/>
    </row>
    <row r="651" spans="13:14" x14ac:dyDescent="0.3">
      <c r="M651" s="137" t="str">
        <f t="shared" si="10"/>
        <v xml:space="preserve"> </v>
      </c>
      <c r="N651"/>
    </row>
    <row r="652" spans="13:14" x14ac:dyDescent="0.3">
      <c r="M652" s="137" t="str">
        <f t="shared" si="10"/>
        <v xml:space="preserve"> </v>
      </c>
      <c r="N652"/>
    </row>
    <row r="653" spans="13:14" x14ac:dyDescent="0.3">
      <c r="M653" s="137" t="str">
        <f t="shared" si="10"/>
        <v xml:space="preserve"> </v>
      </c>
      <c r="N653"/>
    </row>
    <row r="654" spans="13:14" x14ac:dyDescent="0.3">
      <c r="M654" s="137" t="str">
        <f t="shared" si="10"/>
        <v xml:space="preserve"> </v>
      </c>
      <c r="N654"/>
    </row>
    <row r="655" spans="13:14" x14ac:dyDescent="0.3">
      <c r="M655" s="137" t="str">
        <f t="shared" si="10"/>
        <v xml:space="preserve"> </v>
      </c>
      <c r="N655"/>
    </row>
    <row r="656" spans="13:14" x14ac:dyDescent="0.3">
      <c r="M656" s="137" t="str">
        <f t="shared" si="10"/>
        <v xml:space="preserve"> </v>
      </c>
      <c r="N656"/>
    </row>
    <row r="657" spans="13:14" x14ac:dyDescent="0.3">
      <c r="M657" s="137" t="str">
        <f t="shared" si="10"/>
        <v xml:space="preserve"> </v>
      </c>
      <c r="N657"/>
    </row>
    <row r="658" spans="13:14" x14ac:dyDescent="0.3">
      <c r="M658" s="137" t="str">
        <f t="shared" si="10"/>
        <v xml:space="preserve"> </v>
      </c>
      <c r="N658"/>
    </row>
    <row r="659" spans="13:14" x14ac:dyDescent="0.3">
      <c r="M659" s="137" t="str">
        <f t="shared" si="10"/>
        <v xml:space="preserve"> </v>
      </c>
      <c r="N659"/>
    </row>
    <row r="660" spans="13:14" x14ac:dyDescent="0.3">
      <c r="M660" s="137" t="str">
        <f t="shared" si="10"/>
        <v xml:space="preserve"> </v>
      </c>
      <c r="N660"/>
    </row>
    <row r="661" spans="13:14" x14ac:dyDescent="0.3">
      <c r="M661" s="137" t="str">
        <f t="shared" si="10"/>
        <v xml:space="preserve"> </v>
      </c>
      <c r="N661"/>
    </row>
    <row r="662" spans="13:14" x14ac:dyDescent="0.3">
      <c r="M662" s="137" t="str">
        <f t="shared" si="10"/>
        <v xml:space="preserve"> </v>
      </c>
      <c r="N662"/>
    </row>
    <row r="663" spans="13:14" x14ac:dyDescent="0.3">
      <c r="M663" s="137" t="str">
        <f t="shared" si="10"/>
        <v xml:space="preserve"> </v>
      </c>
      <c r="N663"/>
    </row>
    <row r="664" spans="13:14" x14ac:dyDescent="0.3">
      <c r="M664" s="137" t="str">
        <f t="shared" si="10"/>
        <v xml:space="preserve"> </v>
      </c>
      <c r="N664"/>
    </row>
    <row r="665" spans="13:14" x14ac:dyDescent="0.3">
      <c r="M665" s="137" t="str">
        <f t="shared" si="10"/>
        <v xml:space="preserve"> </v>
      </c>
      <c r="N665"/>
    </row>
    <row r="666" spans="13:14" x14ac:dyDescent="0.3">
      <c r="M666" s="137" t="str">
        <f t="shared" si="10"/>
        <v xml:space="preserve"> </v>
      </c>
      <c r="N666"/>
    </row>
    <row r="667" spans="13:14" x14ac:dyDescent="0.3">
      <c r="M667" s="137" t="str">
        <f t="shared" si="10"/>
        <v xml:space="preserve"> </v>
      </c>
      <c r="N667"/>
    </row>
    <row r="668" spans="13:14" x14ac:dyDescent="0.3">
      <c r="M668" s="137" t="str">
        <f t="shared" si="10"/>
        <v xml:space="preserve"> </v>
      </c>
      <c r="N668"/>
    </row>
    <row r="669" spans="13:14" x14ac:dyDescent="0.3">
      <c r="M669" s="137" t="str">
        <f t="shared" si="10"/>
        <v xml:space="preserve"> </v>
      </c>
      <c r="N669"/>
    </row>
    <row r="670" spans="13:14" x14ac:dyDescent="0.3">
      <c r="M670" s="137" t="str">
        <f t="shared" si="10"/>
        <v xml:space="preserve"> </v>
      </c>
      <c r="N670"/>
    </row>
    <row r="671" spans="13:14" x14ac:dyDescent="0.3">
      <c r="M671" s="137" t="str">
        <f t="shared" si="10"/>
        <v xml:space="preserve"> </v>
      </c>
      <c r="N671"/>
    </row>
    <row r="672" spans="13:14" x14ac:dyDescent="0.3">
      <c r="M672" s="137" t="str">
        <f t="shared" si="10"/>
        <v xml:space="preserve"> </v>
      </c>
      <c r="N672"/>
    </row>
    <row r="673" spans="13:14" x14ac:dyDescent="0.3">
      <c r="M673" s="137" t="str">
        <f t="shared" si="10"/>
        <v xml:space="preserve"> </v>
      </c>
      <c r="N673"/>
    </row>
    <row r="674" spans="13:14" x14ac:dyDescent="0.3">
      <c r="M674" s="137" t="str">
        <f t="shared" si="10"/>
        <v xml:space="preserve"> </v>
      </c>
      <c r="N674"/>
    </row>
    <row r="675" spans="13:14" x14ac:dyDescent="0.3">
      <c r="M675" s="137" t="str">
        <f t="shared" si="10"/>
        <v xml:space="preserve"> </v>
      </c>
      <c r="N675"/>
    </row>
    <row r="676" spans="13:14" x14ac:dyDescent="0.3">
      <c r="M676" s="137" t="str">
        <f t="shared" si="10"/>
        <v xml:space="preserve"> </v>
      </c>
      <c r="N676"/>
    </row>
    <row r="677" spans="13:14" x14ac:dyDescent="0.3">
      <c r="M677" s="137" t="str">
        <f t="shared" si="10"/>
        <v xml:space="preserve"> </v>
      </c>
      <c r="N677"/>
    </row>
    <row r="678" spans="13:14" x14ac:dyDescent="0.3">
      <c r="M678" s="137" t="str">
        <f t="shared" si="10"/>
        <v xml:space="preserve"> </v>
      </c>
      <c r="N678"/>
    </row>
    <row r="679" spans="13:14" x14ac:dyDescent="0.3">
      <c r="M679" s="137" t="str">
        <f t="shared" si="10"/>
        <v xml:space="preserve"> </v>
      </c>
      <c r="N679"/>
    </row>
    <row r="680" spans="13:14" x14ac:dyDescent="0.3">
      <c r="M680" s="137" t="str">
        <f t="shared" si="10"/>
        <v xml:space="preserve"> </v>
      </c>
      <c r="N680"/>
    </row>
    <row r="681" spans="13:14" x14ac:dyDescent="0.3">
      <c r="M681" s="137" t="str">
        <f t="shared" si="10"/>
        <v xml:space="preserve"> </v>
      </c>
      <c r="N681"/>
    </row>
    <row r="682" spans="13:14" x14ac:dyDescent="0.3">
      <c r="M682" s="137" t="str">
        <f t="shared" si="10"/>
        <v xml:space="preserve"> </v>
      </c>
      <c r="N682"/>
    </row>
    <row r="683" spans="13:14" x14ac:dyDescent="0.3">
      <c r="M683" s="137" t="str">
        <f t="shared" si="10"/>
        <v xml:space="preserve"> </v>
      </c>
      <c r="N683"/>
    </row>
    <row r="684" spans="13:14" x14ac:dyDescent="0.3">
      <c r="M684" s="137" t="str">
        <f t="shared" si="10"/>
        <v xml:space="preserve"> </v>
      </c>
      <c r="N684"/>
    </row>
    <row r="685" spans="13:14" x14ac:dyDescent="0.3">
      <c r="M685" s="137" t="str">
        <f t="shared" si="10"/>
        <v xml:space="preserve"> </v>
      </c>
      <c r="N685"/>
    </row>
    <row r="686" spans="13:14" x14ac:dyDescent="0.3">
      <c r="M686" s="137" t="str">
        <f t="shared" si="10"/>
        <v xml:space="preserve"> </v>
      </c>
      <c r="N686"/>
    </row>
    <row r="687" spans="13:14" x14ac:dyDescent="0.3">
      <c r="M687" s="137" t="str">
        <f t="shared" si="10"/>
        <v xml:space="preserve"> </v>
      </c>
      <c r="N687"/>
    </row>
    <row r="688" spans="13:14" x14ac:dyDescent="0.3">
      <c r="M688" s="137" t="str">
        <f t="shared" si="10"/>
        <v xml:space="preserve"> </v>
      </c>
      <c r="N688"/>
    </row>
    <row r="689" spans="13:14" x14ac:dyDescent="0.3">
      <c r="M689" s="137" t="str">
        <f t="shared" si="10"/>
        <v xml:space="preserve"> </v>
      </c>
      <c r="N689"/>
    </row>
    <row r="690" spans="13:14" x14ac:dyDescent="0.3">
      <c r="M690" s="137" t="str">
        <f t="shared" si="10"/>
        <v xml:space="preserve"> </v>
      </c>
      <c r="N690"/>
    </row>
    <row r="691" spans="13:14" x14ac:dyDescent="0.3">
      <c r="M691" s="137" t="str">
        <f t="shared" si="10"/>
        <v xml:space="preserve"> </v>
      </c>
      <c r="N691"/>
    </row>
    <row r="692" spans="13:14" x14ac:dyDescent="0.3">
      <c r="M692" s="137" t="str">
        <f t="shared" si="10"/>
        <v xml:space="preserve"> </v>
      </c>
      <c r="N692"/>
    </row>
    <row r="693" spans="13:14" x14ac:dyDescent="0.3">
      <c r="M693" s="137" t="str">
        <f t="shared" si="10"/>
        <v xml:space="preserve"> </v>
      </c>
      <c r="N693"/>
    </row>
    <row r="694" spans="13:14" x14ac:dyDescent="0.3">
      <c r="M694" s="137" t="str">
        <f t="shared" si="10"/>
        <v xml:space="preserve"> </v>
      </c>
      <c r="N694"/>
    </row>
    <row r="695" spans="13:14" x14ac:dyDescent="0.3">
      <c r="M695" s="137" t="str">
        <f t="shared" si="10"/>
        <v xml:space="preserve"> </v>
      </c>
      <c r="N695"/>
    </row>
    <row r="696" spans="13:14" x14ac:dyDescent="0.3">
      <c r="M696" s="137" t="str">
        <f t="shared" si="10"/>
        <v xml:space="preserve"> </v>
      </c>
      <c r="N696"/>
    </row>
    <row r="697" spans="13:14" x14ac:dyDescent="0.3">
      <c r="M697" s="137" t="str">
        <f t="shared" si="10"/>
        <v xml:space="preserve"> </v>
      </c>
      <c r="N697"/>
    </row>
    <row r="698" spans="13:14" x14ac:dyDescent="0.3">
      <c r="M698" s="137" t="str">
        <f t="shared" si="10"/>
        <v xml:space="preserve"> </v>
      </c>
      <c r="N698"/>
    </row>
    <row r="699" spans="13:14" x14ac:dyDescent="0.3">
      <c r="M699" s="137" t="str">
        <f t="shared" si="10"/>
        <v xml:space="preserve"> </v>
      </c>
      <c r="N699"/>
    </row>
    <row r="700" spans="13:14" x14ac:dyDescent="0.3">
      <c r="M700" s="137" t="str">
        <f t="shared" si="10"/>
        <v xml:space="preserve"> </v>
      </c>
      <c r="N700"/>
    </row>
    <row r="701" spans="13:14" x14ac:dyDescent="0.3">
      <c r="M701" s="137" t="str">
        <f t="shared" si="10"/>
        <v xml:space="preserve"> </v>
      </c>
      <c r="N701"/>
    </row>
    <row r="702" spans="13:14" x14ac:dyDescent="0.3">
      <c r="M702" s="137" t="str">
        <f t="shared" si="10"/>
        <v xml:space="preserve"> </v>
      </c>
      <c r="N702"/>
    </row>
    <row r="703" spans="13:14" x14ac:dyDescent="0.3">
      <c r="M703" s="137" t="str">
        <f t="shared" si="10"/>
        <v xml:space="preserve"> </v>
      </c>
      <c r="N703"/>
    </row>
    <row r="704" spans="13:14" x14ac:dyDescent="0.3">
      <c r="M704" s="137" t="str">
        <f t="shared" si="10"/>
        <v xml:space="preserve"> </v>
      </c>
      <c r="N704"/>
    </row>
    <row r="705" spans="13:14" x14ac:dyDescent="0.3">
      <c r="M705" s="137" t="str">
        <f t="shared" si="10"/>
        <v xml:space="preserve"> </v>
      </c>
      <c r="N705"/>
    </row>
    <row r="706" spans="13:14" x14ac:dyDescent="0.3">
      <c r="M706" s="137" t="str">
        <f t="shared" ref="M706:M769" si="11">_xlfn.CONCAT(L706," ",F706)</f>
        <v xml:space="preserve"> </v>
      </c>
      <c r="N706"/>
    </row>
    <row r="707" spans="13:14" x14ac:dyDescent="0.3">
      <c r="M707" s="137" t="str">
        <f t="shared" si="11"/>
        <v xml:space="preserve"> </v>
      </c>
      <c r="N707"/>
    </row>
    <row r="708" spans="13:14" x14ac:dyDescent="0.3">
      <c r="M708" s="137" t="str">
        <f t="shared" si="11"/>
        <v xml:space="preserve"> </v>
      </c>
      <c r="N708"/>
    </row>
    <row r="709" spans="13:14" x14ac:dyDescent="0.3">
      <c r="M709" s="137" t="str">
        <f t="shared" si="11"/>
        <v xml:space="preserve"> </v>
      </c>
      <c r="N709"/>
    </row>
    <row r="710" spans="13:14" x14ac:dyDescent="0.3">
      <c r="M710" s="137" t="str">
        <f t="shared" si="11"/>
        <v xml:space="preserve"> </v>
      </c>
      <c r="N710"/>
    </row>
    <row r="711" spans="13:14" x14ac:dyDescent="0.3">
      <c r="M711" s="137" t="str">
        <f t="shared" si="11"/>
        <v xml:space="preserve"> </v>
      </c>
      <c r="N711"/>
    </row>
    <row r="712" spans="13:14" x14ac:dyDescent="0.3">
      <c r="M712" s="137" t="str">
        <f t="shared" si="11"/>
        <v xml:space="preserve"> </v>
      </c>
      <c r="N712"/>
    </row>
    <row r="713" spans="13:14" x14ac:dyDescent="0.3">
      <c r="M713" s="137" t="str">
        <f t="shared" si="11"/>
        <v xml:space="preserve"> </v>
      </c>
      <c r="N713"/>
    </row>
    <row r="714" spans="13:14" x14ac:dyDescent="0.3">
      <c r="M714" s="137" t="str">
        <f t="shared" si="11"/>
        <v xml:space="preserve"> </v>
      </c>
      <c r="N714"/>
    </row>
    <row r="715" spans="13:14" x14ac:dyDescent="0.3">
      <c r="M715" s="137" t="str">
        <f t="shared" si="11"/>
        <v xml:space="preserve"> </v>
      </c>
      <c r="N715"/>
    </row>
    <row r="716" spans="13:14" x14ac:dyDescent="0.3">
      <c r="M716" s="137" t="str">
        <f t="shared" si="11"/>
        <v xml:space="preserve"> </v>
      </c>
      <c r="N716"/>
    </row>
    <row r="717" spans="13:14" x14ac:dyDescent="0.3">
      <c r="M717" s="137" t="str">
        <f t="shared" si="11"/>
        <v xml:space="preserve"> </v>
      </c>
      <c r="N717"/>
    </row>
    <row r="718" spans="13:14" x14ac:dyDescent="0.3">
      <c r="M718" s="137" t="str">
        <f t="shared" si="11"/>
        <v xml:space="preserve"> </v>
      </c>
      <c r="N718"/>
    </row>
    <row r="719" spans="13:14" x14ac:dyDescent="0.3">
      <c r="M719" s="137" t="str">
        <f t="shared" si="11"/>
        <v xml:space="preserve"> </v>
      </c>
      <c r="N719"/>
    </row>
    <row r="720" spans="13:14" x14ac:dyDescent="0.3">
      <c r="M720" s="137" t="str">
        <f t="shared" si="11"/>
        <v xml:space="preserve"> </v>
      </c>
      <c r="N720"/>
    </row>
    <row r="721" spans="13:14" x14ac:dyDescent="0.3">
      <c r="M721" s="137" t="str">
        <f t="shared" si="11"/>
        <v xml:space="preserve"> </v>
      </c>
      <c r="N721"/>
    </row>
    <row r="722" spans="13:14" x14ac:dyDescent="0.3">
      <c r="M722" s="137" t="str">
        <f t="shared" si="11"/>
        <v xml:space="preserve"> </v>
      </c>
      <c r="N722"/>
    </row>
    <row r="723" spans="13:14" x14ac:dyDescent="0.3">
      <c r="M723" s="137" t="str">
        <f t="shared" si="11"/>
        <v xml:space="preserve"> </v>
      </c>
      <c r="N723"/>
    </row>
    <row r="724" spans="13:14" x14ac:dyDescent="0.3">
      <c r="M724" s="137" t="str">
        <f t="shared" si="11"/>
        <v xml:space="preserve"> </v>
      </c>
      <c r="N724"/>
    </row>
    <row r="725" spans="13:14" x14ac:dyDescent="0.3">
      <c r="M725" s="137" t="str">
        <f t="shared" si="11"/>
        <v xml:space="preserve"> </v>
      </c>
      <c r="N725"/>
    </row>
    <row r="726" spans="13:14" x14ac:dyDescent="0.3">
      <c r="M726" s="137" t="str">
        <f t="shared" si="11"/>
        <v xml:space="preserve"> </v>
      </c>
      <c r="N726"/>
    </row>
    <row r="727" spans="13:14" x14ac:dyDescent="0.3">
      <c r="M727" s="137" t="str">
        <f t="shared" si="11"/>
        <v xml:space="preserve"> </v>
      </c>
      <c r="N727"/>
    </row>
    <row r="728" spans="13:14" x14ac:dyDescent="0.3">
      <c r="M728" s="137" t="str">
        <f t="shared" si="11"/>
        <v xml:space="preserve"> </v>
      </c>
      <c r="N728"/>
    </row>
    <row r="729" spans="13:14" x14ac:dyDescent="0.3">
      <c r="M729" s="137" t="str">
        <f t="shared" si="11"/>
        <v xml:space="preserve"> </v>
      </c>
      <c r="N729"/>
    </row>
    <row r="730" spans="13:14" x14ac:dyDescent="0.3">
      <c r="M730" s="137" t="str">
        <f t="shared" si="11"/>
        <v xml:space="preserve"> </v>
      </c>
      <c r="N730"/>
    </row>
    <row r="731" spans="13:14" x14ac:dyDescent="0.3">
      <c r="M731" s="137" t="str">
        <f t="shared" si="11"/>
        <v xml:space="preserve"> </v>
      </c>
      <c r="N731"/>
    </row>
    <row r="732" spans="13:14" x14ac:dyDescent="0.3">
      <c r="M732" s="137" t="str">
        <f t="shared" si="11"/>
        <v xml:space="preserve"> </v>
      </c>
      <c r="N732"/>
    </row>
    <row r="733" spans="13:14" x14ac:dyDescent="0.3">
      <c r="M733" s="137" t="str">
        <f t="shared" si="11"/>
        <v xml:space="preserve"> </v>
      </c>
      <c r="N733"/>
    </row>
    <row r="734" spans="13:14" x14ac:dyDescent="0.3">
      <c r="M734" s="137" t="str">
        <f t="shared" si="11"/>
        <v xml:space="preserve"> </v>
      </c>
      <c r="N734"/>
    </row>
    <row r="735" spans="13:14" x14ac:dyDescent="0.3">
      <c r="M735" s="137" t="str">
        <f t="shared" si="11"/>
        <v xml:space="preserve"> </v>
      </c>
      <c r="N735"/>
    </row>
    <row r="736" spans="13:14" x14ac:dyDescent="0.3">
      <c r="M736" s="137" t="str">
        <f t="shared" si="11"/>
        <v xml:space="preserve"> </v>
      </c>
      <c r="N736"/>
    </row>
    <row r="737" spans="13:14" x14ac:dyDescent="0.3">
      <c r="M737" s="137" t="str">
        <f t="shared" si="11"/>
        <v xml:space="preserve"> </v>
      </c>
      <c r="N737"/>
    </row>
    <row r="738" spans="13:14" x14ac:dyDescent="0.3">
      <c r="M738" s="137" t="str">
        <f t="shared" si="11"/>
        <v xml:space="preserve"> </v>
      </c>
      <c r="N738"/>
    </row>
    <row r="739" spans="13:14" x14ac:dyDescent="0.3">
      <c r="M739" s="137" t="str">
        <f t="shared" si="11"/>
        <v xml:space="preserve"> </v>
      </c>
      <c r="N739"/>
    </row>
    <row r="740" spans="13:14" x14ac:dyDescent="0.3">
      <c r="M740" s="137" t="str">
        <f t="shared" si="11"/>
        <v xml:space="preserve"> </v>
      </c>
      <c r="N740"/>
    </row>
    <row r="741" spans="13:14" x14ac:dyDescent="0.3">
      <c r="M741" s="137" t="str">
        <f t="shared" si="11"/>
        <v xml:space="preserve"> </v>
      </c>
      <c r="N741"/>
    </row>
    <row r="742" spans="13:14" x14ac:dyDescent="0.3">
      <c r="M742" s="137" t="str">
        <f t="shared" si="11"/>
        <v xml:space="preserve"> </v>
      </c>
      <c r="N742"/>
    </row>
    <row r="743" spans="13:14" x14ac:dyDescent="0.3">
      <c r="M743" s="137" t="str">
        <f t="shared" si="11"/>
        <v xml:space="preserve"> </v>
      </c>
      <c r="N743"/>
    </row>
    <row r="744" spans="13:14" x14ac:dyDescent="0.3">
      <c r="M744" s="137" t="str">
        <f t="shared" si="11"/>
        <v xml:space="preserve"> </v>
      </c>
      <c r="N744"/>
    </row>
    <row r="745" spans="13:14" x14ac:dyDescent="0.3">
      <c r="M745" s="137" t="str">
        <f t="shared" si="11"/>
        <v xml:space="preserve"> </v>
      </c>
      <c r="N745"/>
    </row>
    <row r="746" spans="13:14" x14ac:dyDescent="0.3">
      <c r="M746" s="137" t="str">
        <f t="shared" si="11"/>
        <v xml:space="preserve"> </v>
      </c>
      <c r="N746"/>
    </row>
    <row r="747" spans="13:14" x14ac:dyDescent="0.3">
      <c r="M747" s="137" t="str">
        <f t="shared" si="11"/>
        <v xml:space="preserve"> </v>
      </c>
      <c r="N747"/>
    </row>
    <row r="748" spans="13:14" x14ac:dyDescent="0.3">
      <c r="M748" s="137" t="str">
        <f t="shared" si="11"/>
        <v xml:space="preserve"> </v>
      </c>
      <c r="N748"/>
    </row>
    <row r="749" spans="13:14" x14ac:dyDescent="0.3">
      <c r="M749" s="137" t="str">
        <f t="shared" si="11"/>
        <v xml:space="preserve"> </v>
      </c>
      <c r="N749"/>
    </row>
    <row r="750" spans="13:14" x14ac:dyDescent="0.3">
      <c r="M750" s="137" t="str">
        <f t="shared" si="11"/>
        <v xml:space="preserve"> </v>
      </c>
      <c r="N750"/>
    </row>
    <row r="751" spans="13:14" x14ac:dyDescent="0.3">
      <c r="M751" s="137" t="str">
        <f t="shared" si="11"/>
        <v xml:space="preserve"> </v>
      </c>
      <c r="N751"/>
    </row>
    <row r="752" spans="13:14" x14ac:dyDescent="0.3">
      <c r="M752" s="137" t="str">
        <f t="shared" si="11"/>
        <v xml:space="preserve"> </v>
      </c>
      <c r="N752"/>
    </row>
    <row r="753" spans="13:14" x14ac:dyDescent="0.3">
      <c r="M753" s="137" t="str">
        <f t="shared" si="11"/>
        <v xml:space="preserve"> </v>
      </c>
      <c r="N753"/>
    </row>
    <row r="754" spans="13:14" x14ac:dyDescent="0.3">
      <c r="M754" s="137" t="str">
        <f t="shared" si="11"/>
        <v xml:space="preserve"> </v>
      </c>
      <c r="N754"/>
    </row>
    <row r="755" spans="13:14" x14ac:dyDescent="0.3">
      <c r="M755" s="137" t="str">
        <f t="shared" si="11"/>
        <v xml:space="preserve"> </v>
      </c>
      <c r="N755"/>
    </row>
    <row r="756" spans="13:14" x14ac:dyDescent="0.3">
      <c r="M756" s="137" t="str">
        <f t="shared" si="11"/>
        <v xml:space="preserve"> </v>
      </c>
      <c r="N756"/>
    </row>
    <row r="757" spans="13:14" x14ac:dyDescent="0.3">
      <c r="M757" s="137" t="str">
        <f t="shared" si="11"/>
        <v xml:space="preserve"> </v>
      </c>
      <c r="N757"/>
    </row>
    <row r="758" spans="13:14" x14ac:dyDescent="0.3">
      <c r="M758" s="137" t="str">
        <f t="shared" si="11"/>
        <v xml:space="preserve"> </v>
      </c>
      <c r="N758"/>
    </row>
    <row r="759" spans="13:14" x14ac:dyDescent="0.3">
      <c r="M759" s="137" t="str">
        <f t="shared" si="11"/>
        <v xml:space="preserve"> </v>
      </c>
      <c r="N759"/>
    </row>
    <row r="760" spans="13:14" x14ac:dyDescent="0.3">
      <c r="M760" s="137" t="str">
        <f t="shared" si="11"/>
        <v xml:space="preserve"> </v>
      </c>
      <c r="N760"/>
    </row>
    <row r="761" spans="13:14" x14ac:dyDescent="0.3">
      <c r="M761" s="137" t="str">
        <f t="shared" si="11"/>
        <v xml:space="preserve"> </v>
      </c>
      <c r="N761"/>
    </row>
    <row r="762" spans="13:14" x14ac:dyDescent="0.3">
      <c r="M762" s="137" t="str">
        <f t="shared" si="11"/>
        <v xml:space="preserve"> </v>
      </c>
      <c r="N762"/>
    </row>
    <row r="763" spans="13:14" x14ac:dyDescent="0.3">
      <c r="M763" s="137" t="str">
        <f t="shared" si="11"/>
        <v xml:space="preserve"> </v>
      </c>
      <c r="N763"/>
    </row>
    <row r="764" spans="13:14" x14ac:dyDescent="0.3">
      <c r="M764" s="137" t="str">
        <f t="shared" si="11"/>
        <v xml:space="preserve"> </v>
      </c>
      <c r="N764"/>
    </row>
    <row r="765" spans="13:14" x14ac:dyDescent="0.3">
      <c r="M765" s="137" t="str">
        <f t="shared" si="11"/>
        <v xml:space="preserve"> </v>
      </c>
      <c r="N765"/>
    </row>
    <row r="766" spans="13:14" x14ac:dyDescent="0.3">
      <c r="M766" s="137" t="str">
        <f t="shared" si="11"/>
        <v xml:space="preserve"> </v>
      </c>
      <c r="N766"/>
    </row>
    <row r="767" spans="13:14" x14ac:dyDescent="0.3">
      <c r="M767" s="137" t="str">
        <f t="shared" si="11"/>
        <v xml:space="preserve"> </v>
      </c>
      <c r="N767"/>
    </row>
    <row r="768" spans="13:14" x14ac:dyDescent="0.3">
      <c r="M768" s="137" t="str">
        <f t="shared" si="11"/>
        <v xml:space="preserve"> </v>
      </c>
      <c r="N768"/>
    </row>
    <row r="769" spans="13:14" x14ac:dyDescent="0.3">
      <c r="M769" s="137" t="str">
        <f t="shared" si="11"/>
        <v xml:space="preserve"> </v>
      </c>
      <c r="N769"/>
    </row>
    <row r="770" spans="13:14" x14ac:dyDescent="0.3">
      <c r="M770" s="137" t="str">
        <f t="shared" ref="M770:M833" si="12">_xlfn.CONCAT(L770," ",F770)</f>
        <v xml:space="preserve"> </v>
      </c>
      <c r="N770"/>
    </row>
    <row r="771" spans="13:14" x14ac:dyDescent="0.3">
      <c r="M771" s="137" t="str">
        <f t="shared" si="12"/>
        <v xml:space="preserve"> </v>
      </c>
      <c r="N771"/>
    </row>
    <row r="772" spans="13:14" x14ac:dyDescent="0.3">
      <c r="M772" s="137" t="str">
        <f t="shared" si="12"/>
        <v xml:space="preserve"> </v>
      </c>
      <c r="N772"/>
    </row>
    <row r="773" spans="13:14" x14ac:dyDescent="0.3">
      <c r="M773" s="137" t="str">
        <f t="shared" si="12"/>
        <v xml:space="preserve"> </v>
      </c>
      <c r="N773"/>
    </row>
    <row r="774" spans="13:14" x14ac:dyDescent="0.3">
      <c r="M774" s="137" t="str">
        <f t="shared" si="12"/>
        <v xml:space="preserve"> </v>
      </c>
      <c r="N774"/>
    </row>
    <row r="775" spans="13:14" x14ac:dyDescent="0.3">
      <c r="M775" s="137" t="str">
        <f t="shared" si="12"/>
        <v xml:space="preserve"> </v>
      </c>
      <c r="N775"/>
    </row>
    <row r="776" spans="13:14" x14ac:dyDescent="0.3">
      <c r="M776" s="137" t="str">
        <f t="shared" si="12"/>
        <v xml:space="preserve"> </v>
      </c>
      <c r="N776"/>
    </row>
    <row r="777" spans="13:14" x14ac:dyDescent="0.3">
      <c r="M777" s="137" t="str">
        <f t="shared" si="12"/>
        <v xml:space="preserve"> </v>
      </c>
      <c r="N777"/>
    </row>
    <row r="778" spans="13:14" x14ac:dyDescent="0.3">
      <c r="M778" s="137" t="str">
        <f t="shared" si="12"/>
        <v xml:space="preserve"> </v>
      </c>
      <c r="N778"/>
    </row>
    <row r="779" spans="13:14" x14ac:dyDescent="0.3">
      <c r="M779" s="137" t="str">
        <f t="shared" si="12"/>
        <v xml:space="preserve"> </v>
      </c>
      <c r="N779"/>
    </row>
    <row r="780" spans="13:14" x14ac:dyDescent="0.3">
      <c r="M780" s="137" t="str">
        <f t="shared" si="12"/>
        <v xml:space="preserve"> </v>
      </c>
      <c r="N780"/>
    </row>
    <row r="781" spans="13:14" x14ac:dyDescent="0.3">
      <c r="M781" s="137" t="str">
        <f t="shared" si="12"/>
        <v xml:space="preserve"> </v>
      </c>
      <c r="N781"/>
    </row>
    <row r="782" spans="13:14" x14ac:dyDescent="0.3">
      <c r="M782" s="137" t="str">
        <f t="shared" si="12"/>
        <v xml:space="preserve"> </v>
      </c>
      <c r="N782"/>
    </row>
    <row r="783" spans="13:14" x14ac:dyDescent="0.3">
      <c r="M783" s="137" t="str">
        <f t="shared" si="12"/>
        <v xml:space="preserve"> </v>
      </c>
      <c r="N783"/>
    </row>
    <row r="784" spans="13:14" x14ac:dyDescent="0.3">
      <c r="M784" s="137" t="str">
        <f t="shared" si="12"/>
        <v xml:space="preserve"> </v>
      </c>
      <c r="N784"/>
    </row>
    <row r="785" spans="13:14" x14ac:dyDescent="0.3">
      <c r="M785" s="137" t="str">
        <f t="shared" si="12"/>
        <v xml:space="preserve"> </v>
      </c>
      <c r="N785"/>
    </row>
    <row r="786" spans="13:14" x14ac:dyDescent="0.3">
      <c r="M786" s="137" t="str">
        <f t="shared" si="12"/>
        <v xml:space="preserve"> </v>
      </c>
      <c r="N786"/>
    </row>
    <row r="787" spans="13:14" x14ac:dyDescent="0.3">
      <c r="M787" s="137" t="str">
        <f t="shared" si="12"/>
        <v xml:space="preserve"> </v>
      </c>
      <c r="N787"/>
    </row>
    <row r="788" spans="13:14" x14ac:dyDescent="0.3">
      <c r="M788" s="137" t="str">
        <f t="shared" si="12"/>
        <v xml:space="preserve"> </v>
      </c>
      <c r="N788"/>
    </row>
    <row r="789" spans="13:14" x14ac:dyDescent="0.3">
      <c r="M789" s="137" t="str">
        <f t="shared" si="12"/>
        <v xml:space="preserve"> </v>
      </c>
      <c r="N789"/>
    </row>
    <row r="790" spans="13:14" x14ac:dyDescent="0.3">
      <c r="M790" s="137" t="str">
        <f t="shared" si="12"/>
        <v xml:space="preserve"> </v>
      </c>
      <c r="N790"/>
    </row>
    <row r="791" spans="13:14" x14ac:dyDescent="0.3">
      <c r="M791" s="137" t="str">
        <f t="shared" si="12"/>
        <v xml:space="preserve"> </v>
      </c>
      <c r="N791"/>
    </row>
    <row r="792" spans="13:14" x14ac:dyDescent="0.3">
      <c r="M792" s="137" t="str">
        <f t="shared" si="12"/>
        <v xml:space="preserve"> </v>
      </c>
      <c r="N792"/>
    </row>
    <row r="793" spans="13:14" x14ac:dyDescent="0.3">
      <c r="M793" s="137" t="str">
        <f t="shared" si="12"/>
        <v xml:space="preserve"> </v>
      </c>
      <c r="N793"/>
    </row>
    <row r="794" spans="13:14" x14ac:dyDescent="0.3">
      <c r="M794" s="137" t="str">
        <f t="shared" si="12"/>
        <v xml:space="preserve"> </v>
      </c>
      <c r="N794"/>
    </row>
    <row r="795" spans="13:14" x14ac:dyDescent="0.3">
      <c r="M795" s="137" t="str">
        <f t="shared" si="12"/>
        <v xml:space="preserve"> </v>
      </c>
      <c r="N795"/>
    </row>
    <row r="796" spans="13:14" x14ac:dyDescent="0.3">
      <c r="M796" s="137" t="str">
        <f t="shared" si="12"/>
        <v xml:space="preserve"> </v>
      </c>
      <c r="N796"/>
    </row>
    <row r="797" spans="13:14" x14ac:dyDescent="0.3">
      <c r="M797" s="137" t="str">
        <f t="shared" si="12"/>
        <v xml:space="preserve"> </v>
      </c>
      <c r="N797"/>
    </row>
    <row r="798" spans="13:14" x14ac:dyDescent="0.3">
      <c r="M798" s="137" t="str">
        <f t="shared" si="12"/>
        <v xml:space="preserve"> </v>
      </c>
      <c r="N798"/>
    </row>
    <row r="799" spans="13:14" x14ac:dyDescent="0.3">
      <c r="M799" s="137" t="str">
        <f t="shared" si="12"/>
        <v xml:space="preserve"> </v>
      </c>
      <c r="N799"/>
    </row>
    <row r="800" spans="13:14" x14ac:dyDescent="0.3">
      <c r="M800" s="137" t="str">
        <f t="shared" si="12"/>
        <v xml:space="preserve"> </v>
      </c>
      <c r="N800"/>
    </row>
    <row r="801" spans="13:14" x14ac:dyDescent="0.3">
      <c r="M801" s="137" t="str">
        <f t="shared" si="12"/>
        <v xml:space="preserve"> </v>
      </c>
      <c r="N801"/>
    </row>
    <row r="802" spans="13:14" x14ac:dyDescent="0.3">
      <c r="M802" s="137" t="str">
        <f t="shared" si="12"/>
        <v xml:space="preserve"> </v>
      </c>
      <c r="N802"/>
    </row>
    <row r="803" spans="13:14" x14ac:dyDescent="0.3">
      <c r="M803" s="137" t="str">
        <f t="shared" si="12"/>
        <v xml:space="preserve"> </v>
      </c>
      <c r="N803"/>
    </row>
    <row r="804" spans="13:14" x14ac:dyDescent="0.3">
      <c r="M804" s="137" t="str">
        <f t="shared" si="12"/>
        <v xml:space="preserve"> </v>
      </c>
      <c r="N804"/>
    </row>
    <row r="805" spans="13:14" x14ac:dyDescent="0.3">
      <c r="M805" s="137" t="str">
        <f t="shared" si="12"/>
        <v xml:space="preserve"> </v>
      </c>
      <c r="N805"/>
    </row>
    <row r="806" spans="13:14" x14ac:dyDescent="0.3">
      <c r="M806" s="137" t="str">
        <f t="shared" si="12"/>
        <v xml:space="preserve"> </v>
      </c>
      <c r="N806"/>
    </row>
    <row r="807" spans="13:14" x14ac:dyDescent="0.3">
      <c r="M807" s="137" t="str">
        <f t="shared" si="12"/>
        <v xml:space="preserve"> </v>
      </c>
      <c r="N807"/>
    </row>
    <row r="808" spans="13:14" x14ac:dyDescent="0.3">
      <c r="M808" s="137" t="str">
        <f t="shared" si="12"/>
        <v xml:space="preserve"> </v>
      </c>
      <c r="N808"/>
    </row>
    <row r="809" spans="13:14" x14ac:dyDescent="0.3">
      <c r="M809" s="137" t="str">
        <f t="shared" si="12"/>
        <v xml:space="preserve"> </v>
      </c>
      <c r="N809"/>
    </row>
    <row r="810" spans="13:14" x14ac:dyDescent="0.3">
      <c r="M810" s="137" t="str">
        <f t="shared" si="12"/>
        <v xml:space="preserve"> </v>
      </c>
      <c r="N810"/>
    </row>
    <row r="811" spans="13:14" x14ac:dyDescent="0.3">
      <c r="M811" s="137" t="str">
        <f t="shared" si="12"/>
        <v xml:space="preserve"> </v>
      </c>
      <c r="N811"/>
    </row>
    <row r="812" spans="13:14" x14ac:dyDescent="0.3">
      <c r="M812" s="137" t="str">
        <f t="shared" si="12"/>
        <v xml:space="preserve"> </v>
      </c>
      <c r="N812"/>
    </row>
    <row r="813" spans="13:14" x14ac:dyDescent="0.3">
      <c r="M813" s="137" t="str">
        <f t="shared" si="12"/>
        <v xml:space="preserve"> </v>
      </c>
      <c r="N813"/>
    </row>
    <row r="814" spans="13:14" x14ac:dyDescent="0.3">
      <c r="M814" s="137" t="str">
        <f t="shared" si="12"/>
        <v xml:space="preserve"> </v>
      </c>
      <c r="N814"/>
    </row>
    <row r="815" spans="13:14" x14ac:dyDescent="0.3">
      <c r="M815" s="137" t="str">
        <f t="shared" si="12"/>
        <v xml:space="preserve"> </v>
      </c>
      <c r="N815"/>
    </row>
    <row r="816" spans="13:14" x14ac:dyDescent="0.3">
      <c r="M816" s="137" t="str">
        <f t="shared" si="12"/>
        <v xml:space="preserve"> </v>
      </c>
      <c r="N816"/>
    </row>
    <row r="817" spans="13:14" x14ac:dyDescent="0.3">
      <c r="M817" s="137" t="str">
        <f t="shared" si="12"/>
        <v xml:space="preserve"> </v>
      </c>
      <c r="N817"/>
    </row>
    <row r="818" spans="13:14" x14ac:dyDescent="0.3">
      <c r="M818" s="137" t="str">
        <f t="shared" si="12"/>
        <v xml:space="preserve"> </v>
      </c>
      <c r="N818"/>
    </row>
    <row r="819" spans="13:14" x14ac:dyDescent="0.3">
      <c r="M819" s="137" t="str">
        <f t="shared" si="12"/>
        <v xml:space="preserve"> </v>
      </c>
      <c r="N819"/>
    </row>
    <row r="820" spans="13:14" x14ac:dyDescent="0.3">
      <c r="M820" s="137" t="str">
        <f t="shared" si="12"/>
        <v xml:space="preserve"> </v>
      </c>
      <c r="N820"/>
    </row>
    <row r="821" spans="13:14" x14ac:dyDescent="0.3">
      <c r="M821" s="137" t="str">
        <f t="shared" si="12"/>
        <v xml:space="preserve"> </v>
      </c>
      <c r="N821"/>
    </row>
    <row r="822" spans="13:14" x14ac:dyDescent="0.3">
      <c r="M822" s="137" t="str">
        <f t="shared" si="12"/>
        <v xml:space="preserve"> </v>
      </c>
      <c r="N822"/>
    </row>
    <row r="823" spans="13:14" x14ac:dyDescent="0.3">
      <c r="M823" s="137" t="str">
        <f t="shared" si="12"/>
        <v xml:space="preserve"> </v>
      </c>
      <c r="N823"/>
    </row>
    <row r="824" spans="13:14" x14ac:dyDescent="0.3">
      <c r="M824" s="137" t="str">
        <f t="shared" si="12"/>
        <v xml:space="preserve"> </v>
      </c>
      <c r="N824"/>
    </row>
    <row r="825" spans="13:14" x14ac:dyDescent="0.3">
      <c r="M825" s="137" t="str">
        <f t="shared" si="12"/>
        <v xml:space="preserve"> </v>
      </c>
      <c r="N825"/>
    </row>
    <row r="826" spans="13:14" x14ac:dyDescent="0.3">
      <c r="M826" s="137" t="str">
        <f t="shared" si="12"/>
        <v xml:space="preserve"> </v>
      </c>
      <c r="N826"/>
    </row>
    <row r="827" spans="13:14" x14ac:dyDescent="0.3">
      <c r="M827" s="137" t="str">
        <f t="shared" si="12"/>
        <v xml:space="preserve"> </v>
      </c>
      <c r="N827"/>
    </row>
    <row r="828" spans="13:14" x14ac:dyDescent="0.3">
      <c r="M828" s="137" t="str">
        <f t="shared" si="12"/>
        <v xml:space="preserve"> </v>
      </c>
      <c r="N828"/>
    </row>
    <row r="829" spans="13:14" x14ac:dyDescent="0.3">
      <c r="M829" s="137" t="str">
        <f t="shared" si="12"/>
        <v xml:space="preserve"> </v>
      </c>
      <c r="N829"/>
    </row>
    <row r="830" spans="13:14" x14ac:dyDescent="0.3">
      <c r="M830" s="137" t="str">
        <f t="shared" si="12"/>
        <v xml:space="preserve"> </v>
      </c>
      <c r="N830"/>
    </row>
    <row r="831" spans="13:14" x14ac:dyDescent="0.3">
      <c r="M831" s="137" t="str">
        <f t="shared" si="12"/>
        <v xml:space="preserve"> </v>
      </c>
      <c r="N831"/>
    </row>
    <row r="832" spans="13:14" x14ac:dyDescent="0.3">
      <c r="M832" s="137" t="str">
        <f t="shared" si="12"/>
        <v xml:space="preserve"> </v>
      </c>
      <c r="N832"/>
    </row>
    <row r="833" spans="13:14" x14ac:dyDescent="0.3">
      <c r="M833" s="137" t="str">
        <f t="shared" si="12"/>
        <v xml:space="preserve"> </v>
      </c>
      <c r="N833"/>
    </row>
    <row r="834" spans="13:14" x14ac:dyDescent="0.3">
      <c r="M834" s="137" t="str">
        <f t="shared" ref="M834:M897" si="13">_xlfn.CONCAT(L834," ",F834)</f>
        <v xml:space="preserve"> </v>
      </c>
      <c r="N834"/>
    </row>
    <row r="835" spans="13:14" x14ac:dyDescent="0.3">
      <c r="M835" s="137" t="str">
        <f t="shared" si="13"/>
        <v xml:space="preserve"> </v>
      </c>
      <c r="N835"/>
    </row>
    <row r="836" spans="13:14" x14ac:dyDescent="0.3">
      <c r="M836" s="137" t="str">
        <f t="shared" si="13"/>
        <v xml:space="preserve"> </v>
      </c>
      <c r="N836"/>
    </row>
    <row r="837" spans="13:14" x14ac:dyDescent="0.3">
      <c r="M837" s="137" t="str">
        <f t="shared" si="13"/>
        <v xml:space="preserve"> </v>
      </c>
      <c r="N837"/>
    </row>
    <row r="838" spans="13:14" x14ac:dyDescent="0.3">
      <c r="M838" s="137" t="str">
        <f t="shared" si="13"/>
        <v xml:space="preserve"> </v>
      </c>
      <c r="N838"/>
    </row>
    <row r="839" spans="13:14" x14ac:dyDescent="0.3">
      <c r="M839" s="137" t="str">
        <f t="shared" si="13"/>
        <v xml:space="preserve"> </v>
      </c>
      <c r="N839"/>
    </row>
    <row r="840" spans="13:14" x14ac:dyDescent="0.3">
      <c r="M840" s="137" t="str">
        <f t="shared" si="13"/>
        <v xml:space="preserve"> </v>
      </c>
      <c r="N840"/>
    </row>
    <row r="841" spans="13:14" x14ac:dyDescent="0.3">
      <c r="M841" s="137" t="str">
        <f t="shared" si="13"/>
        <v xml:space="preserve"> </v>
      </c>
      <c r="N841"/>
    </row>
    <row r="842" spans="13:14" x14ac:dyDescent="0.3">
      <c r="M842" s="137" t="str">
        <f t="shared" si="13"/>
        <v xml:space="preserve"> </v>
      </c>
      <c r="N842"/>
    </row>
    <row r="843" spans="13:14" x14ac:dyDescent="0.3">
      <c r="M843" s="137" t="str">
        <f t="shared" si="13"/>
        <v xml:space="preserve"> </v>
      </c>
      <c r="N843"/>
    </row>
    <row r="844" spans="13:14" x14ac:dyDescent="0.3">
      <c r="M844" s="137" t="str">
        <f t="shared" si="13"/>
        <v xml:space="preserve"> </v>
      </c>
      <c r="N844"/>
    </row>
    <row r="845" spans="13:14" x14ac:dyDescent="0.3">
      <c r="M845" s="137" t="str">
        <f t="shared" si="13"/>
        <v xml:space="preserve"> </v>
      </c>
      <c r="N845"/>
    </row>
    <row r="846" spans="13:14" x14ac:dyDescent="0.3">
      <c r="M846" s="137" t="str">
        <f t="shared" si="13"/>
        <v xml:space="preserve"> </v>
      </c>
      <c r="N846"/>
    </row>
    <row r="847" spans="13:14" x14ac:dyDescent="0.3">
      <c r="M847" s="137" t="str">
        <f t="shared" si="13"/>
        <v xml:space="preserve"> </v>
      </c>
      <c r="N847"/>
    </row>
    <row r="848" spans="13:14" x14ac:dyDescent="0.3">
      <c r="M848" s="137" t="str">
        <f t="shared" si="13"/>
        <v xml:space="preserve"> </v>
      </c>
      <c r="N848"/>
    </row>
    <row r="849" spans="13:14" x14ac:dyDescent="0.3">
      <c r="M849" s="137" t="str">
        <f t="shared" si="13"/>
        <v xml:space="preserve"> </v>
      </c>
      <c r="N849"/>
    </row>
    <row r="850" spans="13:14" x14ac:dyDescent="0.3">
      <c r="M850" s="137" t="str">
        <f t="shared" si="13"/>
        <v xml:space="preserve"> </v>
      </c>
      <c r="N850"/>
    </row>
    <row r="851" spans="13:14" x14ac:dyDescent="0.3">
      <c r="M851" s="137" t="str">
        <f t="shared" si="13"/>
        <v xml:space="preserve"> </v>
      </c>
      <c r="N851"/>
    </row>
    <row r="852" spans="13:14" x14ac:dyDescent="0.3">
      <c r="M852" s="137" t="str">
        <f t="shared" si="13"/>
        <v xml:space="preserve"> </v>
      </c>
      <c r="N852"/>
    </row>
    <row r="853" spans="13:14" x14ac:dyDescent="0.3">
      <c r="M853" s="137" t="str">
        <f t="shared" si="13"/>
        <v xml:space="preserve"> </v>
      </c>
      <c r="N853"/>
    </row>
    <row r="854" spans="13:14" x14ac:dyDescent="0.3">
      <c r="M854" s="137" t="str">
        <f t="shared" si="13"/>
        <v xml:space="preserve"> </v>
      </c>
      <c r="N854"/>
    </row>
    <row r="855" spans="13:14" x14ac:dyDescent="0.3">
      <c r="M855" s="137" t="str">
        <f t="shared" si="13"/>
        <v xml:space="preserve"> </v>
      </c>
      <c r="N855"/>
    </row>
    <row r="856" spans="13:14" x14ac:dyDescent="0.3">
      <c r="M856" s="137" t="str">
        <f t="shared" si="13"/>
        <v xml:space="preserve"> </v>
      </c>
      <c r="N856"/>
    </row>
    <row r="857" spans="13:14" x14ac:dyDescent="0.3">
      <c r="M857" s="137" t="str">
        <f t="shared" si="13"/>
        <v xml:space="preserve"> </v>
      </c>
      <c r="N857"/>
    </row>
    <row r="858" spans="13:14" x14ac:dyDescent="0.3">
      <c r="M858" s="137" t="str">
        <f t="shared" si="13"/>
        <v xml:space="preserve"> </v>
      </c>
      <c r="N858"/>
    </row>
    <row r="859" spans="13:14" x14ac:dyDescent="0.3">
      <c r="M859" s="137" t="str">
        <f t="shared" si="13"/>
        <v xml:space="preserve"> </v>
      </c>
      <c r="N859"/>
    </row>
    <row r="860" spans="13:14" x14ac:dyDescent="0.3">
      <c r="M860" s="137" t="str">
        <f t="shared" si="13"/>
        <v xml:space="preserve"> </v>
      </c>
      <c r="N860"/>
    </row>
    <row r="861" spans="13:14" x14ac:dyDescent="0.3">
      <c r="M861" s="137" t="str">
        <f t="shared" si="13"/>
        <v xml:space="preserve"> </v>
      </c>
      <c r="N861"/>
    </row>
    <row r="862" spans="13:14" x14ac:dyDescent="0.3">
      <c r="M862" s="137" t="str">
        <f t="shared" si="13"/>
        <v xml:space="preserve"> </v>
      </c>
      <c r="N862"/>
    </row>
    <row r="863" spans="13:14" x14ac:dyDescent="0.3">
      <c r="M863" s="137" t="str">
        <f t="shared" si="13"/>
        <v xml:space="preserve"> </v>
      </c>
      <c r="N863"/>
    </row>
    <row r="864" spans="13:14" x14ac:dyDescent="0.3">
      <c r="M864" s="137" t="str">
        <f t="shared" si="13"/>
        <v xml:space="preserve"> </v>
      </c>
      <c r="N864"/>
    </row>
    <row r="865" spans="13:14" x14ac:dyDescent="0.3">
      <c r="M865" s="137" t="str">
        <f t="shared" si="13"/>
        <v xml:space="preserve"> </v>
      </c>
      <c r="N865"/>
    </row>
    <row r="866" spans="13:14" x14ac:dyDescent="0.3">
      <c r="M866" s="137" t="str">
        <f t="shared" si="13"/>
        <v xml:space="preserve"> </v>
      </c>
      <c r="N866"/>
    </row>
    <row r="867" spans="13:14" x14ac:dyDescent="0.3">
      <c r="M867" s="137" t="str">
        <f t="shared" si="13"/>
        <v xml:space="preserve"> </v>
      </c>
      <c r="N867"/>
    </row>
    <row r="868" spans="13:14" x14ac:dyDescent="0.3">
      <c r="M868" s="137" t="str">
        <f t="shared" si="13"/>
        <v xml:space="preserve"> </v>
      </c>
      <c r="N868"/>
    </row>
    <row r="869" spans="13:14" x14ac:dyDescent="0.3">
      <c r="M869" s="137" t="str">
        <f t="shared" si="13"/>
        <v xml:space="preserve"> </v>
      </c>
      <c r="N869"/>
    </row>
    <row r="870" spans="13:14" x14ac:dyDescent="0.3">
      <c r="M870" s="137" t="str">
        <f t="shared" si="13"/>
        <v xml:space="preserve"> </v>
      </c>
      <c r="N870"/>
    </row>
    <row r="871" spans="13:14" x14ac:dyDescent="0.3">
      <c r="M871" s="137" t="str">
        <f t="shared" si="13"/>
        <v xml:space="preserve"> </v>
      </c>
      <c r="N871"/>
    </row>
    <row r="872" spans="13:14" x14ac:dyDescent="0.3">
      <c r="M872" s="137" t="str">
        <f t="shared" si="13"/>
        <v xml:space="preserve"> </v>
      </c>
      <c r="N872"/>
    </row>
    <row r="873" spans="13:14" x14ac:dyDescent="0.3">
      <c r="M873" s="137" t="str">
        <f t="shared" si="13"/>
        <v xml:space="preserve"> </v>
      </c>
      <c r="N873"/>
    </row>
    <row r="874" spans="13:14" x14ac:dyDescent="0.3">
      <c r="M874" s="137" t="str">
        <f t="shared" si="13"/>
        <v xml:space="preserve"> </v>
      </c>
      <c r="N874"/>
    </row>
    <row r="875" spans="13:14" x14ac:dyDescent="0.3">
      <c r="M875" s="137" t="str">
        <f t="shared" si="13"/>
        <v xml:space="preserve"> </v>
      </c>
      <c r="N875"/>
    </row>
    <row r="876" spans="13:14" x14ac:dyDescent="0.3">
      <c r="M876" s="137" t="str">
        <f t="shared" si="13"/>
        <v xml:space="preserve"> </v>
      </c>
      <c r="N876"/>
    </row>
    <row r="877" spans="13:14" x14ac:dyDescent="0.3">
      <c r="M877" s="137" t="str">
        <f t="shared" si="13"/>
        <v xml:space="preserve"> </v>
      </c>
      <c r="N877"/>
    </row>
    <row r="878" spans="13:14" x14ac:dyDescent="0.3">
      <c r="M878" s="137" t="str">
        <f t="shared" si="13"/>
        <v xml:space="preserve"> </v>
      </c>
      <c r="N878"/>
    </row>
    <row r="879" spans="13:14" x14ac:dyDescent="0.3">
      <c r="M879" s="137" t="str">
        <f t="shared" si="13"/>
        <v xml:space="preserve"> </v>
      </c>
      <c r="N879"/>
    </row>
    <row r="880" spans="13:14" x14ac:dyDescent="0.3">
      <c r="M880" s="137" t="str">
        <f t="shared" si="13"/>
        <v xml:space="preserve"> </v>
      </c>
      <c r="N880"/>
    </row>
    <row r="881" spans="13:14" x14ac:dyDescent="0.3">
      <c r="M881" s="137" t="str">
        <f t="shared" si="13"/>
        <v xml:space="preserve"> </v>
      </c>
      <c r="N881"/>
    </row>
    <row r="882" spans="13:14" x14ac:dyDescent="0.3">
      <c r="M882" s="137" t="str">
        <f t="shared" si="13"/>
        <v xml:space="preserve"> </v>
      </c>
      <c r="N882"/>
    </row>
    <row r="883" spans="13:14" x14ac:dyDescent="0.3">
      <c r="M883" s="137" t="str">
        <f t="shared" si="13"/>
        <v xml:space="preserve"> </v>
      </c>
      <c r="N883"/>
    </row>
    <row r="884" spans="13:14" x14ac:dyDescent="0.3">
      <c r="M884" s="137" t="str">
        <f t="shared" si="13"/>
        <v xml:space="preserve"> </v>
      </c>
      <c r="N884"/>
    </row>
    <row r="885" spans="13:14" x14ac:dyDescent="0.3">
      <c r="M885" s="137" t="str">
        <f t="shared" si="13"/>
        <v xml:space="preserve"> </v>
      </c>
      <c r="N885"/>
    </row>
    <row r="886" spans="13:14" x14ac:dyDescent="0.3">
      <c r="M886" s="137" t="str">
        <f t="shared" si="13"/>
        <v xml:space="preserve"> </v>
      </c>
      <c r="N886"/>
    </row>
    <row r="887" spans="13:14" x14ac:dyDescent="0.3">
      <c r="M887" s="137" t="str">
        <f t="shared" si="13"/>
        <v xml:space="preserve"> </v>
      </c>
      <c r="N887"/>
    </row>
    <row r="888" spans="13:14" x14ac:dyDescent="0.3">
      <c r="M888" s="137" t="str">
        <f t="shared" si="13"/>
        <v xml:space="preserve"> </v>
      </c>
      <c r="N888"/>
    </row>
    <row r="889" spans="13:14" x14ac:dyDescent="0.3">
      <c r="M889" s="137" t="str">
        <f t="shared" si="13"/>
        <v xml:space="preserve"> </v>
      </c>
      <c r="N889"/>
    </row>
    <row r="890" spans="13:14" x14ac:dyDescent="0.3">
      <c r="M890" s="137" t="str">
        <f t="shared" si="13"/>
        <v xml:space="preserve"> </v>
      </c>
      <c r="N890"/>
    </row>
    <row r="891" spans="13:14" x14ac:dyDescent="0.3">
      <c r="M891" s="137" t="str">
        <f t="shared" si="13"/>
        <v xml:space="preserve"> </v>
      </c>
      <c r="N891"/>
    </row>
    <row r="892" spans="13:14" x14ac:dyDescent="0.3">
      <c r="M892" s="137" t="str">
        <f t="shared" si="13"/>
        <v xml:space="preserve"> </v>
      </c>
      <c r="N892"/>
    </row>
    <row r="893" spans="13:14" x14ac:dyDescent="0.3">
      <c r="M893" s="137" t="str">
        <f t="shared" si="13"/>
        <v xml:space="preserve"> </v>
      </c>
      <c r="N893"/>
    </row>
    <row r="894" spans="13:14" x14ac:dyDescent="0.3">
      <c r="M894" s="137" t="str">
        <f t="shared" si="13"/>
        <v xml:space="preserve"> </v>
      </c>
      <c r="N894"/>
    </row>
    <row r="895" spans="13:14" x14ac:dyDescent="0.3">
      <c r="M895" s="137" t="str">
        <f t="shared" si="13"/>
        <v xml:space="preserve"> </v>
      </c>
      <c r="N895"/>
    </row>
    <row r="896" spans="13:14" x14ac:dyDescent="0.3">
      <c r="M896" s="137" t="str">
        <f t="shared" si="13"/>
        <v xml:space="preserve"> </v>
      </c>
      <c r="N896"/>
    </row>
    <row r="897" spans="13:14" x14ac:dyDescent="0.3">
      <c r="M897" s="137" t="str">
        <f t="shared" si="13"/>
        <v xml:space="preserve"> </v>
      </c>
      <c r="N897"/>
    </row>
    <row r="898" spans="13:14" x14ac:dyDescent="0.3">
      <c r="M898" s="137" t="str">
        <f t="shared" ref="M898:M961" si="14">_xlfn.CONCAT(L898," ",F898)</f>
        <v xml:space="preserve"> </v>
      </c>
      <c r="N898"/>
    </row>
    <row r="899" spans="13:14" x14ac:dyDescent="0.3">
      <c r="M899" s="137" t="str">
        <f t="shared" si="14"/>
        <v xml:space="preserve"> </v>
      </c>
      <c r="N899"/>
    </row>
    <row r="900" spans="13:14" x14ac:dyDescent="0.3">
      <c r="M900" s="137" t="str">
        <f t="shared" si="14"/>
        <v xml:space="preserve"> </v>
      </c>
      <c r="N900"/>
    </row>
    <row r="901" spans="13:14" x14ac:dyDescent="0.3">
      <c r="M901" s="137" t="str">
        <f t="shared" si="14"/>
        <v xml:space="preserve"> </v>
      </c>
      <c r="N901"/>
    </row>
    <row r="902" spans="13:14" x14ac:dyDescent="0.3">
      <c r="M902" s="137" t="str">
        <f t="shared" si="14"/>
        <v xml:space="preserve"> </v>
      </c>
      <c r="N902"/>
    </row>
    <row r="903" spans="13:14" x14ac:dyDescent="0.3">
      <c r="M903" s="137" t="str">
        <f t="shared" si="14"/>
        <v xml:space="preserve"> </v>
      </c>
      <c r="N903"/>
    </row>
    <row r="904" spans="13:14" x14ac:dyDescent="0.3">
      <c r="M904" s="137" t="str">
        <f t="shared" si="14"/>
        <v xml:space="preserve"> </v>
      </c>
      <c r="N904"/>
    </row>
    <row r="905" spans="13:14" x14ac:dyDescent="0.3">
      <c r="M905" s="137" t="str">
        <f t="shared" si="14"/>
        <v xml:space="preserve"> </v>
      </c>
      <c r="N905"/>
    </row>
    <row r="906" spans="13:14" x14ac:dyDescent="0.3">
      <c r="M906" s="137" t="str">
        <f t="shared" si="14"/>
        <v xml:space="preserve"> </v>
      </c>
      <c r="N906"/>
    </row>
    <row r="907" spans="13:14" x14ac:dyDescent="0.3">
      <c r="M907" s="137" t="str">
        <f t="shared" si="14"/>
        <v xml:space="preserve"> </v>
      </c>
      <c r="N907"/>
    </row>
    <row r="908" spans="13:14" x14ac:dyDescent="0.3">
      <c r="M908" s="137" t="str">
        <f t="shared" si="14"/>
        <v xml:space="preserve"> </v>
      </c>
      <c r="N908"/>
    </row>
    <row r="909" spans="13:14" x14ac:dyDescent="0.3">
      <c r="M909" s="137" t="str">
        <f t="shared" si="14"/>
        <v xml:space="preserve"> </v>
      </c>
      <c r="N909"/>
    </row>
    <row r="910" spans="13:14" x14ac:dyDescent="0.3">
      <c r="M910" s="137" t="str">
        <f t="shared" si="14"/>
        <v xml:space="preserve"> </v>
      </c>
      <c r="N910"/>
    </row>
    <row r="911" spans="13:14" x14ac:dyDescent="0.3">
      <c r="M911" s="137" t="str">
        <f t="shared" si="14"/>
        <v xml:space="preserve"> </v>
      </c>
      <c r="N911"/>
    </row>
    <row r="912" spans="13:14" x14ac:dyDescent="0.3">
      <c r="M912" s="137" t="str">
        <f t="shared" si="14"/>
        <v xml:space="preserve"> </v>
      </c>
      <c r="N912"/>
    </row>
    <row r="913" spans="13:14" x14ac:dyDescent="0.3">
      <c r="M913" s="137" t="str">
        <f t="shared" si="14"/>
        <v xml:space="preserve"> </v>
      </c>
      <c r="N913"/>
    </row>
    <row r="914" spans="13:14" x14ac:dyDescent="0.3">
      <c r="M914" s="137" t="str">
        <f t="shared" si="14"/>
        <v xml:space="preserve"> </v>
      </c>
      <c r="N914"/>
    </row>
    <row r="915" spans="13:14" x14ac:dyDescent="0.3">
      <c r="M915" s="137" t="str">
        <f t="shared" si="14"/>
        <v xml:space="preserve"> </v>
      </c>
      <c r="N915"/>
    </row>
    <row r="916" spans="13:14" x14ac:dyDescent="0.3">
      <c r="M916" s="137" t="str">
        <f t="shared" si="14"/>
        <v xml:space="preserve"> </v>
      </c>
      <c r="N916"/>
    </row>
    <row r="917" spans="13:14" x14ac:dyDescent="0.3">
      <c r="M917" s="137" t="str">
        <f t="shared" si="14"/>
        <v xml:space="preserve"> </v>
      </c>
      <c r="N917"/>
    </row>
    <row r="918" spans="13:14" x14ac:dyDescent="0.3">
      <c r="M918" s="137" t="str">
        <f t="shared" si="14"/>
        <v xml:space="preserve"> </v>
      </c>
      <c r="N918"/>
    </row>
    <row r="919" spans="13:14" x14ac:dyDescent="0.3">
      <c r="M919" s="137" t="str">
        <f t="shared" si="14"/>
        <v xml:space="preserve"> </v>
      </c>
      <c r="N919"/>
    </row>
    <row r="920" spans="13:14" x14ac:dyDescent="0.3">
      <c r="M920" s="137" t="str">
        <f t="shared" si="14"/>
        <v xml:space="preserve"> </v>
      </c>
      <c r="N920"/>
    </row>
    <row r="921" spans="13:14" x14ac:dyDescent="0.3">
      <c r="M921" s="137" t="str">
        <f t="shared" si="14"/>
        <v xml:space="preserve"> </v>
      </c>
      <c r="N921"/>
    </row>
    <row r="922" spans="13:14" x14ac:dyDescent="0.3">
      <c r="M922" s="137" t="str">
        <f t="shared" si="14"/>
        <v xml:space="preserve"> </v>
      </c>
      <c r="N922"/>
    </row>
    <row r="923" spans="13:14" x14ac:dyDescent="0.3">
      <c r="M923" s="137" t="str">
        <f t="shared" si="14"/>
        <v xml:space="preserve"> </v>
      </c>
      <c r="N923"/>
    </row>
    <row r="924" spans="13:14" x14ac:dyDescent="0.3">
      <c r="M924" s="137" t="str">
        <f t="shared" si="14"/>
        <v xml:space="preserve"> </v>
      </c>
      <c r="N924"/>
    </row>
    <row r="925" spans="13:14" x14ac:dyDescent="0.3">
      <c r="M925" s="137" t="str">
        <f t="shared" si="14"/>
        <v xml:space="preserve"> </v>
      </c>
      <c r="N925"/>
    </row>
    <row r="926" spans="13:14" x14ac:dyDescent="0.3">
      <c r="M926" s="137" t="str">
        <f t="shared" si="14"/>
        <v xml:space="preserve"> </v>
      </c>
      <c r="N926"/>
    </row>
    <row r="927" spans="13:14" x14ac:dyDescent="0.3">
      <c r="M927" s="137" t="str">
        <f t="shared" si="14"/>
        <v xml:space="preserve"> </v>
      </c>
      <c r="N927"/>
    </row>
    <row r="928" spans="13:14" x14ac:dyDescent="0.3">
      <c r="M928" s="137" t="str">
        <f t="shared" si="14"/>
        <v xml:space="preserve"> </v>
      </c>
      <c r="N928"/>
    </row>
    <row r="929" spans="13:14" x14ac:dyDescent="0.3">
      <c r="M929" s="137" t="str">
        <f t="shared" si="14"/>
        <v xml:space="preserve"> </v>
      </c>
      <c r="N929"/>
    </row>
    <row r="930" spans="13:14" x14ac:dyDescent="0.3">
      <c r="M930" s="137" t="str">
        <f t="shared" si="14"/>
        <v xml:space="preserve"> </v>
      </c>
      <c r="N930"/>
    </row>
    <row r="931" spans="13:14" x14ac:dyDescent="0.3">
      <c r="M931" s="137" t="str">
        <f t="shared" si="14"/>
        <v xml:space="preserve"> </v>
      </c>
      <c r="N931"/>
    </row>
    <row r="932" spans="13:14" x14ac:dyDescent="0.3">
      <c r="M932" s="137" t="str">
        <f t="shared" si="14"/>
        <v xml:space="preserve"> </v>
      </c>
      <c r="N932"/>
    </row>
    <row r="933" spans="13:14" x14ac:dyDescent="0.3">
      <c r="M933" s="137" t="str">
        <f t="shared" si="14"/>
        <v xml:space="preserve"> </v>
      </c>
      <c r="N933"/>
    </row>
    <row r="934" spans="13:14" x14ac:dyDescent="0.3">
      <c r="M934" s="137" t="str">
        <f t="shared" si="14"/>
        <v xml:space="preserve"> </v>
      </c>
      <c r="N934"/>
    </row>
    <row r="935" spans="13:14" x14ac:dyDescent="0.3">
      <c r="M935" s="137" t="str">
        <f t="shared" si="14"/>
        <v xml:space="preserve"> </v>
      </c>
      <c r="N935"/>
    </row>
    <row r="936" spans="13:14" x14ac:dyDescent="0.3">
      <c r="M936" s="137" t="str">
        <f t="shared" si="14"/>
        <v xml:space="preserve"> </v>
      </c>
      <c r="N936"/>
    </row>
    <row r="937" spans="13:14" x14ac:dyDescent="0.3">
      <c r="M937" s="137" t="str">
        <f t="shared" si="14"/>
        <v xml:space="preserve"> </v>
      </c>
      <c r="N937"/>
    </row>
    <row r="938" spans="13:14" x14ac:dyDescent="0.3">
      <c r="M938" s="137" t="str">
        <f t="shared" si="14"/>
        <v xml:space="preserve"> </v>
      </c>
      <c r="N938"/>
    </row>
    <row r="939" spans="13:14" x14ac:dyDescent="0.3">
      <c r="M939" s="137" t="str">
        <f t="shared" si="14"/>
        <v xml:space="preserve"> </v>
      </c>
      <c r="N939"/>
    </row>
    <row r="940" spans="13:14" x14ac:dyDescent="0.3">
      <c r="M940" s="137" t="str">
        <f t="shared" si="14"/>
        <v xml:space="preserve"> </v>
      </c>
      <c r="N940"/>
    </row>
    <row r="941" spans="13:14" x14ac:dyDescent="0.3">
      <c r="M941" s="137" t="str">
        <f t="shared" si="14"/>
        <v xml:space="preserve"> </v>
      </c>
      <c r="N941"/>
    </row>
    <row r="942" spans="13:14" x14ac:dyDescent="0.3">
      <c r="M942" s="137" t="str">
        <f t="shared" si="14"/>
        <v xml:space="preserve"> </v>
      </c>
      <c r="N942"/>
    </row>
    <row r="943" spans="13:14" x14ac:dyDescent="0.3">
      <c r="M943" s="137" t="str">
        <f t="shared" si="14"/>
        <v xml:space="preserve"> </v>
      </c>
      <c r="N943"/>
    </row>
    <row r="944" spans="13:14" x14ac:dyDescent="0.3">
      <c r="M944" s="137" t="str">
        <f t="shared" si="14"/>
        <v xml:space="preserve"> </v>
      </c>
      <c r="N944"/>
    </row>
    <row r="945" spans="13:14" x14ac:dyDescent="0.3">
      <c r="M945" s="137" t="str">
        <f t="shared" si="14"/>
        <v xml:space="preserve"> </v>
      </c>
      <c r="N945"/>
    </row>
    <row r="946" spans="13:14" x14ac:dyDescent="0.3">
      <c r="M946" s="137" t="str">
        <f t="shared" si="14"/>
        <v xml:space="preserve"> </v>
      </c>
      <c r="N946"/>
    </row>
    <row r="947" spans="13:14" x14ac:dyDescent="0.3">
      <c r="M947" s="137" t="str">
        <f t="shared" si="14"/>
        <v xml:space="preserve"> </v>
      </c>
      <c r="N947"/>
    </row>
    <row r="948" spans="13:14" x14ac:dyDescent="0.3">
      <c r="M948" s="137" t="str">
        <f t="shared" si="14"/>
        <v xml:space="preserve"> </v>
      </c>
      <c r="N948"/>
    </row>
    <row r="949" spans="13:14" x14ac:dyDescent="0.3">
      <c r="M949" s="137" t="str">
        <f t="shared" si="14"/>
        <v xml:space="preserve"> </v>
      </c>
      <c r="N949"/>
    </row>
    <row r="950" spans="13:14" x14ac:dyDescent="0.3">
      <c r="M950" s="137" t="str">
        <f t="shared" si="14"/>
        <v xml:space="preserve"> </v>
      </c>
      <c r="N950"/>
    </row>
    <row r="951" spans="13:14" x14ac:dyDescent="0.3">
      <c r="M951" s="137" t="str">
        <f t="shared" si="14"/>
        <v xml:space="preserve"> </v>
      </c>
      <c r="N951"/>
    </row>
    <row r="952" spans="13:14" x14ac:dyDescent="0.3">
      <c r="M952" s="137" t="str">
        <f t="shared" si="14"/>
        <v xml:space="preserve"> </v>
      </c>
      <c r="N952"/>
    </row>
    <row r="953" spans="13:14" x14ac:dyDescent="0.3">
      <c r="M953" s="137" t="str">
        <f t="shared" si="14"/>
        <v xml:space="preserve"> </v>
      </c>
      <c r="N953"/>
    </row>
    <row r="954" spans="13:14" x14ac:dyDescent="0.3">
      <c r="M954" s="137" t="str">
        <f t="shared" si="14"/>
        <v xml:space="preserve"> </v>
      </c>
      <c r="N954"/>
    </row>
    <row r="955" spans="13:14" x14ac:dyDescent="0.3">
      <c r="M955" s="137" t="str">
        <f t="shared" si="14"/>
        <v xml:space="preserve"> </v>
      </c>
      <c r="N955"/>
    </row>
    <row r="956" spans="13:14" x14ac:dyDescent="0.3">
      <c r="M956" s="137" t="str">
        <f t="shared" si="14"/>
        <v xml:space="preserve"> </v>
      </c>
      <c r="N956"/>
    </row>
    <row r="957" spans="13:14" x14ac:dyDescent="0.3">
      <c r="M957" s="137" t="str">
        <f t="shared" si="14"/>
        <v xml:space="preserve"> </v>
      </c>
      <c r="N957"/>
    </row>
    <row r="958" spans="13:14" x14ac:dyDescent="0.3">
      <c r="M958" s="137" t="str">
        <f t="shared" si="14"/>
        <v xml:space="preserve"> </v>
      </c>
      <c r="N958"/>
    </row>
    <row r="959" spans="13:14" x14ac:dyDescent="0.3">
      <c r="M959" s="137" t="str">
        <f t="shared" si="14"/>
        <v xml:space="preserve"> </v>
      </c>
      <c r="N959"/>
    </row>
    <row r="960" spans="13:14" x14ac:dyDescent="0.3">
      <c r="M960" s="137" t="str">
        <f t="shared" si="14"/>
        <v xml:space="preserve"> </v>
      </c>
      <c r="N960"/>
    </row>
    <row r="961" spans="13:14" x14ac:dyDescent="0.3">
      <c r="M961" s="137" t="str">
        <f t="shared" si="14"/>
        <v xml:space="preserve"> </v>
      </c>
      <c r="N961"/>
    </row>
    <row r="962" spans="13:14" x14ac:dyDescent="0.3">
      <c r="M962" s="137" t="str">
        <f t="shared" ref="M962:M1025" si="15">_xlfn.CONCAT(L962," ",F962)</f>
        <v xml:space="preserve"> </v>
      </c>
      <c r="N962"/>
    </row>
    <row r="963" spans="13:14" x14ac:dyDescent="0.3">
      <c r="M963" s="137" t="str">
        <f t="shared" si="15"/>
        <v xml:space="preserve"> </v>
      </c>
      <c r="N963"/>
    </row>
    <row r="964" spans="13:14" x14ac:dyDescent="0.3">
      <c r="M964" s="137" t="str">
        <f t="shared" si="15"/>
        <v xml:space="preserve"> </v>
      </c>
      <c r="N964"/>
    </row>
    <row r="965" spans="13:14" x14ac:dyDescent="0.3">
      <c r="M965" s="137" t="str">
        <f t="shared" si="15"/>
        <v xml:space="preserve"> </v>
      </c>
      <c r="N965"/>
    </row>
    <row r="966" spans="13:14" x14ac:dyDescent="0.3">
      <c r="M966" s="137" t="str">
        <f t="shared" si="15"/>
        <v xml:space="preserve"> </v>
      </c>
      <c r="N966"/>
    </row>
    <row r="967" spans="13:14" x14ac:dyDescent="0.3">
      <c r="M967" s="137" t="str">
        <f t="shared" si="15"/>
        <v xml:space="preserve"> </v>
      </c>
      <c r="N967"/>
    </row>
    <row r="968" spans="13:14" x14ac:dyDescent="0.3">
      <c r="M968" s="137" t="str">
        <f t="shared" si="15"/>
        <v xml:space="preserve"> </v>
      </c>
      <c r="N968"/>
    </row>
    <row r="969" spans="13:14" x14ac:dyDescent="0.3">
      <c r="M969" s="137" t="str">
        <f t="shared" si="15"/>
        <v xml:space="preserve"> </v>
      </c>
      <c r="N969"/>
    </row>
    <row r="970" spans="13:14" x14ac:dyDescent="0.3">
      <c r="M970" s="137" t="str">
        <f t="shared" si="15"/>
        <v xml:space="preserve"> </v>
      </c>
      <c r="N970"/>
    </row>
    <row r="971" spans="13:14" x14ac:dyDescent="0.3">
      <c r="M971" s="137" t="str">
        <f t="shared" si="15"/>
        <v xml:space="preserve"> </v>
      </c>
      <c r="N971"/>
    </row>
    <row r="972" spans="13:14" x14ac:dyDescent="0.3">
      <c r="M972" s="137" t="str">
        <f t="shared" si="15"/>
        <v xml:space="preserve"> </v>
      </c>
      <c r="N972"/>
    </row>
    <row r="973" spans="13:14" x14ac:dyDescent="0.3">
      <c r="M973" s="137" t="str">
        <f t="shared" si="15"/>
        <v xml:space="preserve"> </v>
      </c>
      <c r="N973"/>
    </row>
    <row r="974" spans="13:14" x14ac:dyDescent="0.3">
      <c r="M974" s="137" t="str">
        <f t="shared" si="15"/>
        <v xml:space="preserve"> </v>
      </c>
      <c r="N974"/>
    </row>
    <row r="975" spans="13:14" x14ac:dyDescent="0.3">
      <c r="M975" s="137" t="str">
        <f t="shared" si="15"/>
        <v xml:space="preserve"> </v>
      </c>
      <c r="N975"/>
    </row>
    <row r="976" spans="13:14" x14ac:dyDescent="0.3">
      <c r="M976" s="137" t="str">
        <f t="shared" si="15"/>
        <v xml:space="preserve"> </v>
      </c>
      <c r="N976"/>
    </row>
    <row r="977" spans="13:14" x14ac:dyDescent="0.3">
      <c r="M977" s="137" t="str">
        <f t="shared" si="15"/>
        <v xml:space="preserve"> </v>
      </c>
      <c r="N977"/>
    </row>
    <row r="978" spans="13:14" x14ac:dyDescent="0.3">
      <c r="M978" s="137" t="str">
        <f t="shared" si="15"/>
        <v xml:space="preserve"> </v>
      </c>
      <c r="N978"/>
    </row>
    <row r="979" spans="13:14" x14ac:dyDescent="0.3">
      <c r="M979" s="137" t="str">
        <f t="shared" si="15"/>
        <v xml:space="preserve"> </v>
      </c>
      <c r="N979"/>
    </row>
    <row r="980" spans="13:14" x14ac:dyDescent="0.3">
      <c r="M980" s="137" t="str">
        <f t="shared" si="15"/>
        <v xml:space="preserve"> </v>
      </c>
      <c r="N980"/>
    </row>
    <row r="981" spans="13:14" x14ac:dyDescent="0.3">
      <c r="M981" s="137" t="str">
        <f t="shared" si="15"/>
        <v xml:space="preserve"> </v>
      </c>
      <c r="N981"/>
    </row>
    <row r="982" spans="13:14" x14ac:dyDescent="0.3">
      <c r="M982" s="137" t="str">
        <f t="shared" si="15"/>
        <v xml:space="preserve"> </v>
      </c>
      <c r="N982"/>
    </row>
    <row r="983" spans="13:14" x14ac:dyDescent="0.3">
      <c r="M983" s="137" t="str">
        <f t="shared" si="15"/>
        <v xml:space="preserve"> </v>
      </c>
      <c r="N983"/>
    </row>
    <row r="984" spans="13:14" x14ac:dyDescent="0.3">
      <c r="M984" s="137" t="str">
        <f t="shared" si="15"/>
        <v xml:space="preserve"> </v>
      </c>
      <c r="N984"/>
    </row>
    <row r="985" spans="13:14" x14ac:dyDescent="0.3">
      <c r="M985" s="137" t="str">
        <f t="shared" si="15"/>
        <v xml:space="preserve"> </v>
      </c>
      <c r="N985"/>
    </row>
    <row r="986" spans="13:14" x14ac:dyDescent="0.3">
      <c r="M986" s="137" t="str">
        <f t="shared" si="15"/>
        <v xml:space="preserve"> </v>
      </c>
      <c r="N986"/>
    </row>
    <row r="987" spans="13:14" x14ac:dyDescent="0.3">
      <c r="M987" s="137" t="str">
        <f t="shared" si="15"/>
        <v xml:space="preserve"> </v>
      </c>
      <c r="N987"/>
    </row>
    <row r="988" spans="13:14" x14ac:dyDescent="0.3">
      <c r="M988" s="137" t="str">
        <f t="shared" si="15"/>
        <v xml:space="preserve"> </v>
      </c>
      <c r="N988"/>
    </row>
    <row r="989" spans="13:14" x14ac:dyDescent="0.3">
      <c r="M989" s="137" t="str">
        <f t="shared" si="15"/>
        <v xml:space="preserve"> </v>
      </c>
      <c r="N989"/>
    </row>
    <row r="990" spans="13:14" x14ac:dyDescent="0.3">
      <c r="M990" s="137" t="str">
        <f t="shared" si="15"/>
        <v xml:space="preserve"> </v>
      </c>
      <c r="N990"/>
    </row>
    <row r="991" spans="13:14" x14ac:dyDescent="0.3">
      <c r="M991" s="137" t="str">
        <f t="shared" si="15"/>
        <v xml:space="preserve"> </v>
      </c>
      <c r="N991"/>
    </row>
    <row r="992" spans="13:14" x14ac:dyDescent="0.3">
      <c r="M992" s="137" t="str">
        <f t="shared" si="15"/>
        <v xml:space="preserve"> </v>
      </c>
      <c r="N992"/>
    </row>
    <row r="993" spans="13:14" x14ac:dyDescent="0.3">
      <c r="M993" s="137" t="str">
        <f t="shared" si="15"/>
        <v xml:space="preserve"> </v>
      </c>
      <c r="N993"/>
    </row>
    <row r="994" spans="13:14" x14ac:dyDescent="0.3">
      <c r="M994" s="137" t="str">
        <f t="shared" si="15"/>
        <v xml:space="preserve"> </v>
      </c>
      <c r="N994"/>
    </row>
    <row r="995" spans="13:14" x14ac:dyDescent="0.3">
      <c r="M995" s="137" t="str">
        <f t="shared" si="15"/>
        <v xml:space="preserve"> </v>
      </c>
      <c r="N995"/>
    </row>
    <row r="996" spans="13:14" x14ac:dyDescent="0.3">
      <c r="M996" s="137" t="str">
        <f t="shared" si="15"/>
        <v xml:space="preserve"> </v>
      </c>
      <c r="N996"/>
    </row>
    <row r="997" spans="13:14" x14ac:dyDescent="0.3">
      <c r="M997" s="137" t="str">
        <f t="shared" si="15"/>
        <v xml:space="preserve"> </v>
      </c>
      <c r="N997"/>
    </row>
    <row r="998" spans="13:14" x14ac:dyDescent="0.3">
      <c r="M998" s="137" t="str">
        <f t="shared" si="15"/>
        <v xml:space="preserve"> </v>
      </c>
      <c r="N998"/>
    </row>
    <row r="999" spans="13:14" x14ac:dyDescent="0.3">
      <c r="M999" s="137" t="str">
        <f t="shared" si="15"/>
        <v xml:space="preserve"> </v>
      </c>
      <c r="N999"/>
    </row>
    <row r="1000" spans="13:14" x14ac:dyDescent="0.3">
      <c r="M1000" s="137" t="str">
        <f t="shared" si="15"/>
        <v xml:space="preserve"> </v>
      </c>
      <c r="N1000"/>
    </row>
    <row r="1001" spans="13:14" x14ac:dyDescent="0.3">
      <c r="N1001"/>
    </row>
    <row r="1002" spans="13:14" x14ac:dyDescent="0.3">
      <c r="N1002"/>
    </row>
    <row r="1003" spans="13:14" x14ac:dyDescent="0.3">
      <c r="N1003"/>
    </row>
    <row r="1004" spans="13:14" x14ac:dyDescent="0.3">
      <c r="N1004"/>
    </row>
    <row r="1005" spans="13:14" x14ac:dyDescent="0.3">
      <c r="N1005"/>
    </row>
    <row r="1006" spans="13:14" x14ac:dyDescent="0.3">
      <c r="N1006"/>
    </row>
    <row r="1007" spans="13:14" x14ac:dyDescent="0.3">
      <c r="N1007"/>
    </row>
    <row r="1008" spans="13:14" x14ac:dyDescent="0.3">
      <c r="N1008"/>
    </row>
    <row r="1009" spans="14:14" x14ac:dyDescent="0.3">
      <c r="N1009"/>
    </row>
    <row r="1010" spans="14:14" x14ac:dyDescent="0.3">
      <c r="N1010"/>
    </row>
    <row r="1011" spans="14:14" x14ac:dyDescent="0.3">
      <c r="N1011"/>
    </row>
    <row r="1012" spans="14:14" x14ac:dyDescent="0.3">
      <c r="N1012"/>
    </row>
    <row r="1013" spans="14:14" x14ac:dyDescent="0.3">
      <c r="N1013"/>
    </row>
    <row r="1014" spans="14:14" x14ac:dyDescent="0.3">
      <c r="N1014"/>
    </row>
    <row r="1015" spans="14:14" x14ac:dyDescent="0.3">
      <c r="N1015"/>
    </row>
    <row r="1016" spans="14:14" x14ac:dyDescent="0.3">
      <c r="N1016"/>
    </row>
    <row r="1017" spans="14:14" x14ac:dyDescent="0.3">
      <c r="N1017"/>
    </row>
    <row r="1018" spans="14:14" x14ac:dyDescent="0.3">
      <c r="N1018"/>
    </row>
    <row r="1019" spans="14:14" x14ac:dyDescent="0.3">
      <c r="N1019"/>
    </row>
    <row r="1020" spans="14:14" x14ac:dyDescent="0.3">
      <c r="N1020"/>
    </row>
    <row r="1021" spans="14:14" x14ac:dyDescent="0.3">
      <c r="N1021"/>
    </row>
    <row r="1022" spans="14:14" x14ac:dyDescent="0.3">
      <c r="N1022"/>
    </row>
    <row r="1023" spans="14:14" x14ac:dyDescent="0.3">
      <c r="N1023"/>
    </row>
    <row r="1024" spans="14:14" x14ac:dyDescent="0.3">
      <c r="N1024"/>
    </row>
    <row r="1025" spans="14:14" x14ac:dyDescent="0.3">
      <c r="N1025"/>
    </row>
    <row r="1026" spans="14:14" x14ac:dyDescent="0.3">
      <c r="N1026"/>
    </row>
    <row r="1027" spans="14:14" x14ac:dyDescent="0.3">
      <c r="N1027"/>
    </row>
    <row r="1028" spans="14:14" x14ac:dyDescent="0.3">
      <c r="N1028"/>
    </row>
    <row r="1029" spans="14:14" x14ac:dyDescent="0.3">
      <c r="N1029"/>
    </row>
    <row r="1030" spans="14:14" x14ac:dyDescent="0.3">
      <c r="N1030"/>
    </row>
    <row r="1031" spans="14:14" x14ac:dyDescent="0.3">
      <c r="N1031"/>
    </row>
    <row r="1032" spans="14:14" x14ac:dyDescent="0.3">
      <c r="N1032"/>
    </row>
    <row r="1033" spans="14:14" x14ac:dyDescent="0.3">
      <c r="N1033"/>
    </row>
    <row r="1034" spans="14:14" x14ac:dyDescent="0.3">
      <c r="N1034"/>
    </row>
    <row r="1035" spans="14:14" x14ac:dyDescent="0.3">
      <c r="N1035"/>
    </row>
    <row r="1036" spans="14:14" x14ac:dyDescent="0.3">
      <c r="N1036"/>
    </row>
    <row r="1037" spans="14:14" x14ac:dyDescent="0.3">
      <c r="N1037"/>
    </row>
    <row r="1038" spans="14:14" x14ac:dyDescent="0.3">
      <c r="N1038"/>
    </row>
    <row r="1039" spans="14:14" x14ac:dyDescent="0.3">
      <c r="N1039"/>
    </row>
    <row r="1040" spans="14:14" x14ac:dyDescent="0.3">
      <c r="N1040"/>
    </row>
    <row r="1041" spans="14:14" x14ac:dyDescent="0.3">
      <c r="N1041"/>
    </row>
    <row r="1042" spans="14:14" x14ac:dyDescent="0.3">
      <c r="N1042"/>
    </row>
    <row r="1043" spans="14:14" x14ac:dyDescent="0.3">
      <c r="N1043"/>
    </row>
    <row r="1044" spans="14:14" x14ac:dyDescent="0.3">
      <c r="N1044"/>
    </row>
    <row r="1045" spans="14:14" x14ac:dyDescent="0.3">
      <c r="N1045"/>
    </row>
    <row r="1046" spans="14:14" x14ac:dyDescent="0.3">
      <c r="N1046"/>
    </row>
    <row r="1047" spans="14:14" x14ac:dyDescent="0.3">
      <c r="N1047"/>
    </row>
    <row r="1048" spans="14:14" x14ac:dyDescent="0.3">
      <c r="N1048"/>
    </row>
    <row r="1049" spans="14:14" x14ac:dyDescent="0.3">
      <c r="N1049"/>
    </row>
    <row r="1050" spans="14:14" x14ac:dyDescent="0.3">
      <c r="N1050"/>
    </row>
    <row r="1051" spans="14:14" x14ac:dyDescent="0.3">
      <c r="N1051"/>
    </row>
    <row r="1052" spans="14:14" x14ac:dyDescent="0.3">
      <c r="N1052"/>
    </row>
    <row r="1053" spans="14:14" x14ac:dyDescent="0.3">
      <c r="N1053"/>
    </row>
    <row r="1054" spans="14:14" x14ac:dyDescent="0.3">
      <c r="N1054"/>
    </row>
    <row r="1055" spans="14:14" x14ac:dyDescent="0.3">
      <c r="N1055"/>
    </row>
    <row r="1056" spans="14:14" x14ac:dyDescent="0.3">
      <c r="N1056"/>
    </row>
    <row r="1057" spans="14:14" x14ac:dyDescent="0.3">
      <c r="N1057"/>
    </row>
    <row r="1058" spans="14:14" x14ac:dyDescent="0.3">
      <c r="N1058"/>
    </row>
    <row r="1059" spans="14:14" x14ac:dyDescent="0.3">
      <c r="N1059"/>
    </row>
    <row r="1060" spans="14:14" x14ac:dyDescent="0.3">
      <c r="N1060"/>
    </row>
    <row r="1061" spans="14:14" x14ac:dyDescent="0.3">
      <c r="N1061"/>
    </row>
    <row r="1062" spans="14:14" x14ac:dyDescent="0.3">
      <c r="N1062"/>
    </row>
    <row r="1063" spans="14:14" x14ac:dyDescent="0.3">
      <c r="N1063"/>
    </row>
    <row r="1064" spans="14:14" x14ac:dyDescent="0.3">
      <c r="N1064"/>
    </row>
    <row r="1065" spans="14:14" x14ac:dyDescent="0.3">
      <c r="N1065"/>
    </row>
    <row r="1066" spans="14:14" x14ac:dyDescent="0.3">
      <c r="N1066"/>
    </row>
    <row r="1067" spans="14:14" x14ac:dyDescent="0.3">
      <c r="N1067"/>
    </row>
    <row r="1068" spans="14:14" x14ac:dyDescent="0.3">
      <c r="N1068"/>
    </row>
    <row r="1069" spans="14:14" x14ac:dyDescent="0.3">
      <c r="N1069"/>
    </row>
    <row r="1070" spans="14:14" x14ac:dyDescent="0.3">
      <c r="N1070"/>
    </row>
    <row r="1071" spans="14:14" x14ac:dyDescent="0.3">
      <c r="N1071"/>
    </row>
    <row r="1072" spans="14:14" x14ac:dyDescent="0.3">
      <c r="N1072"/>
    </row>
    <row r="1073" spans="14:14" x14ac:dyDescent="0.3">
      <c r="N1073"/>
    </row>
    <row r="1074" spans="14:14" x14ac:dyDescent="0.3">
      <c r="N1074"/>
    </row>
    <row r="1075" spans="14:14" x14ac:dyDescent="0.3">
      <c r="N1075"/>
    </row>
    <row r="1076" spans="14:14" x14ac:dyDescent="0.3">
      <c r="N1076"/>
    </row>
    <row r="1077" spans="14:14" x14ac:dyDescent="0.3">
      <c r="N1077"/>
    </row>
    <row r="1078" spans="14:14" x14ac:dyDescent="0.3">
      <c r="N1078"/>
    </row>
    <row r="1079" spans="14:14" x14ac:dyDescent="0.3">
      <c r="N1079"/>
    </row>
    <row r="1080" spans="14:14" x14ac:dyDescent="0.3">
      <c r="N1080"/>
    </row>
    <row r="1081" spans="14:14" x14ac:dyDescent="0.3">
      <c r="N1081"/>
    </row>
    <row r="1082" spans="14:14" x14ac:dyDescent="0.3">
      <c r="N1082"/>
    </row>
    <row r="1083" spans="14:14" x14ac:dyDescent="0.3">
      <c r="N1083"/>
    </row>
    <row r="1084" spans="14:14" x14ac:dyDescent="0.3">
      <c r="N1084"/>
    </row>
    <row r="1085" spans="14:14" x14ac:dyDescent="0.3">
      <c r="N1085"/>
    </row>
    <row r="1086" spans="14:14" x14ac:dyDescent="0.3">
      <c r="N1086"/>
    </row>
    <row r="1087" spans="14:14" x14ac:dyDescent="0.3">
      <c r="N1087"/>
    </row>
    <row r="1088" spans="14:14" x14ac:dyDescent="0.3">
      <c r="N1088"/>
    </row>
    <row r="1089" spans="14:14" x14ac:dyDescent="0.3">
      <c r="N1089"/>
    </row>
    <row r="1090" spans="14:14" x14ac:dyDescent="0.3">
      <c r="N1090"/>
    </row>
    <row r="1091" spans="14:14" x14ac:dyDescent="0.3">
      <c r="N1091"/>
    </row>
    <row r="1092" spans="14:14" x14ac:dyDescent="0.3">
      <c r="N1092"/>
    </row>
    <row r="1093" spans="14:14" x14ac:dyDescent="0.3">
      <c r="N1093"/>
    </row>
    <row r="1094" spans="14:14" x14ac:dyDescent="0.3">
      <c r="N1094"/>
    </row>
    <row r="1095" spans="14:14" x14ac:dyDescent="0.3">
      <c r="N1095"/>
    </row>
    <row r="1096" spans="14:14" x14ac:dyDescent="0.3">
      <c r="N1096"/>
    </row>
    <row r="1097" spans="14:14" x14ac:dyDescent="0.3">
      <c r="N1097"/>
    </row>
    <row r="1098" spans="14:14" x14ac:dyDescent="0.3">
      <c r="N1098"/>
    </row>
    <row r="1099" spans="14:14" x14ac:dyDescent="0.3">
      <c r="N1099"/>
    </row>
    <row r="1100" spans="14:14" x14ac:dyDescent="0.3">
      <c r="N1100"/>
    </row>
    <row r="1101" spans="14:14" x14ac:dyDescent="0.3">
      <c r="N1101"/>
    </row>
    <row r="1102" spans="14:14" x14ac:dyDescent="0.3">
      <c r="N1102"/>
    </row>
    <row r="1103" spans="14:14" x14ac:dyDescent="0.3">
      <c r="N1103"/>
    </row>
    <row r="1104" spans="14:14" x14ac:dyDescent="0.3">
      <c r="N1104"/>
    </row>
    <row r="1105" spans="14:14" x14ac:dyDescent="0.3">
      <c r="N1105"/>
    </row>
    <row r="1106" spans="14:14" x14ac:dyDescent="0.3">
      <c r="N1106"/>
    </row>
    <row r="1107" spans="14:14" x14ac:dyDescent="0.3">
      <c r="N1107"/>
    </row>
    <row r="1108" spans="14:14" x14ac:dyDescent="0.3">
      <c r="N1108"/>
    </row>
    <row r="1109" spans="14:14" x14ac:dyDescent="0.3">
      <c r="N1109"/>
    </row>
    <row r="1110" spans="14:14" x14ac:dyDescent="0.3">
      <c r="N1110"/>
    </row>
    <row r="1111" spans="14:14" x14ac:dyDescent="0.3">
      <c r="N1111"/>
    </row>
    <row r="1112" spans="14:14" x14ac:dyDescent="0.3">
      <c r="N1112"/>
    </row>
    <row r="1113" spans="14:14" x14ac:dyDescent="0.3">
      <c r="N1113"/>
    </row>
    <row r="1114" spans="14:14" x14ac:dyDescent="0.3">
      <c r="N1114"/>
    </row>
    <row r="1115" spans="14:14" x14ac:dyDescent="0.3">
      <c r="N1115"/>
    </row>
    <row r="1116" spans="14:14" x14ac:dyDescent="0.3">
      <c r="N1116"/>
    </row>
    <row r="1117" spans="14:14" x14ac:dyDescent="0.3">
      <c r="N1117"/>
    </row>
    <row r="1118" spans="14:14" x14ac:dyDescent="0.3">
      <c r="N1118"/>
    </row>
    <row r="1119" spans="14:14" x14ac:dyDescent="0.3">
      <c r="N1119"/>
    </row>
    <row r="1120" spans="14:14" x14ac:dyDescent="0.3">
      <c r="N1120"/>
    </row>
    <row r="1121" spans="14:14" x14ac:dyDescent="0.3">
      <c r="N1121"/>
    </row>
    <row r="1122" spans="14:14" x14ac:dyDescent="0.3">
      <c r="N1122"/>
    </row>
    <row r="1123" spans="14:14" x14ac:dyDescent="0.3">
      <c r="N1123"/>
    </row>
    <row r="1124" spans="14:14" x14ac:dyDescent="0.3">
      <c r="N1124"/>
    </row>
    <row r="1125" spans="14:14" x14ac:dyDescent="0.3">
      <c r="N1125"/>
    </row>
    <row r="1126" spans="14:14" x14ac:dyDescent="0.3">
      <c r="N1126"/>
    </row>
    <row r="1127" spans="14:14" x14ac:dyDescent="0.3">
      <c r="N1127"/>
    </row>
    <row r="1128" spans="14:14" x14ac:dyDescent="0.3">
      <c r="N1128"/>
    </row>
    <row r="1129" spans="14:14" x14ac:dyDescent="0.3">
      <c r="N1129"/>
    </row>
    <row r="1130" spans="14:14" x14ac:dyDescent="0.3">
      <c r="N1130"/>
    </row>
    <row r="1131" spans="14:14" x14ac:dyDescent="0.3">
      <c r="N1131"/>
    </row>
    <row r="1132" spans="14:14" x14ac:dyDescent="0.3">
      <c r="N1132"/>
    </row>
    <row r="1133" spans="14:14" x14ac:dyDescent="0.3">
      <c r="N1133"/>
    </row>
    <row r="1134" spans="14:14" x14ac:dyDescent="0.3">
      <c r="N1134"/>
    </row>
    <row r="1135" spans="14:14" x14ac:dyDescent="0.3">
      <c r="N1135"/>
    </row>
    <row r="1136" spans="14:14" x14ac:dyDescent="0.3">
      <c r="N1136"/>
    </row>
    <row r="1137" spans="14:14" x14ac:dyDescent="0.3">
      <c r="N1137"/>
    </row>
    <row r="1138" spans="14:14" x14ac:dyDescent="0.3">
      <c r="N1138"/>
    </row>
    <row r="1139" spans="14:14" x14ac:dyDescent="0.3">
      <c r="N1139"/>
    </row>
    <row r="1140" spans="14:14" x14ac:dyDescent="0.3">
      <c r="N1140"/>
    </row>
    <row r="1141" spans="14:14" x14ac:dyDescent="0.3">
      <c r="N1141"/>
    </row>
    <row r="1142" spans="14:14" x14ac:dyDescent="0.3">
      <c r="N1142"/>
    </row>
    <row r="1143" spans="14:14" x14ac:dyDescent="0.3">
      <c r="N1143"/>
    </row>
    <row r="1144" spans="14:14" x14ac:dyDescent="0.3">
      <c r="N1144"/>
    </row>
    <row r="1145" spans="14:14" x14ac:dyDescent="0.3">
      <c r="N1145"/>
    </row>
    <row r="1146" spans="14:14" x14ac:dyDescent="0.3">
      <c r="N1146"/>
    </row>
    <row r="1147" spans="14:14" x14ac:dyDescent="0.3">
      <c r="N1147"/>
    </row>
    <row r="1148" spans="14:14" x14ac:dyDescent="0.3">
      <c r="N1148"/>
    </row>
    <row r="1149" spans="14:14" x14ac:dyDescent="0.3">
      <c r="N1149"/>
    </row>
    <row r="1150" spans="14:14" x14ac:dyDescent="0.3">
      <c r="N1150"/>
    </row>
    <row r="1151" spans="14:14" x14ac:dyDescent="0.3">
      <c r="N1151"/>
    </row>
    <row r="1152" spans="14:14" x14ac:dyDescent="0.3">
      <c r="N1152"/>
    </row>
    <row r="1153" spans="14:14" x14ac:dyDescent="0.3">
      <c r="N1153"/>
    </row>
    <row r="1154" spans="14:14" x14ac:dyDescent="0.3">
      <c r="N1154"/>
    </row>
    <row r="1155" spans="14:14" x14ac:dyDescent="0.3">
      <c r="N1155"/>
    </row>
    <row r="1156" spans="14:14" x14ac:dyDescent="0.3">
      <c r="N1156"/>
    </row>
    <row r="1157" spans="14:14" x14ac:dyDescent="0.3">
      <c r="N1157"/>
    </row>
    <row r="1158" spans="14:14" x14ac:dyDescent="0.3">
      <c r="N1158"/>
    </row>
    <row r="1159" spans="14:14" x14ac:dyDescent="0.3">
      <c r="N1159"/>
    </row>
    <row r="1160" spans="14:14" x14ac:dyDescent="0.3">
      <c r="N1160"/>
    </row>
    <row r="1161" spans="14:14" x14ac:dyDescent="0.3">
      <c r="N1161"/>
    </row>
    <row r="1162" spans="14:14" x14ac:dyDescent="0.3">
      <c r="N1162"/>
    </row>
    <row r="1163" spans="14:14" x14ac:dyDescent="0.3">
      <c r="N1163"/>
    </row>
    <row r="1164" spans="14:14" x14ac:dyDescent="0.3">
      <c r="N1164"/>
    </row>
    <row r="1165" spans="14:14" x14ac:dyDescent="0.3">
      <c r="N1165"/>
    </row>
    <row r="1166" spans="14:14" x14ac:dyDescent="0.3">
      <c r="N1166"/>
    </row>
    <row r="1167" spans="14:14" x14ac:dyDescent="0.3">
      <c r="N1167"/>
    </row>
    <row r="1168" spans="14:14" x14ac:dyDescent="0.3">
      <c r="N1168"/>
    </row>
    <row r="1169" spans="14:14" x14ac:dyDescent="0.3">
      <c r="N1169"/>
    </row>
    <row r="1170" spans="14:14" x14ac:dyDescent="0.3">
      <c r="N1170"/>
    </row>
    <row r="1171" spans="14:14" x14ac:dyDescent="0.3">
      <c r="N1171"/>
    </row>
    <row r="1172" spans="14:14" x14ac:dyDescent="0.3">
      <c r="N1172"/>
    </row>
    <row r="1173" spans="14:14" x14ac:dyDescent="0.3">
      <c r="N1173"/>
    </row>
    <row r="1174" spans="14:14" x14ac:dyDescent="0.3">
      <c r="N1174"/>
    </row>
    <row r="1175" spans="14:14" x14ac:dyDescent="0.3">
      <c r="N1175"/>
    </row>
    <row r="1176" spans="14:14" x14ac:dyDescent="0.3">
      <c r="N1176"/>
    </row>
    <row r="1177" spans="14:14" x14ac:dyDescent="0.3">
      <c r="N1177"/>
    </row>
    <row r="1178" spans="14:14" x14ac:dyDescent="0.3">
      <c r="N1178"/>
    </row>
    <row r="1179" spans="14:14" x14ac:dyDescent="0.3">
      <c r="N1179"/>
    </row>
    <row r="1180" spans="14:14" x14ac:dyDescent="0.3">
      <c r="N1180"/>
    </row>
    <row r="1181" spans="14:14" x14ac:dyDescent="0.3">
      <c r="N1181"/>
    </row>
    <row r="1182" spans="14:14" x14ac:dyDescent="0.3">
      <c r="N1182"/>
    </row>
    <row r="1183" spans="14:14" x14ac:dyDescent="0.3">
      <c r="N1183"/>
    </row>
    <row r="1184" spans="14:14" x14ac:dyDescent="0.3">
      <c r="N1184"/>
    </row>
    <row r="1185" spans="14:14" x14ac:dyDescent="0.3">
      <c r="N1185"/>
    </row>
    <row r="1186" spans="14:14" x14ac:dyDescent="0.3">
      <c r="N1186"/>
    </row>
    <row r="1187" spans="14:14" x14ac:dyDescent="0.3">
      <c r="N1187"/>
    </row>
    <row r="1188" spans="14:14" x14ac:dyDescent="0.3">
      <c r="N1188"/>
    </row>
    <row r="1189" spans="14:14" x14ac:dyDescent="0.3">
      <c r="N1189"/>
    </row>
    <row r="1190" spans="14:14" x14ac:dyDescent="0.3">
      <c r="N1190"/>
    </row>
    <row r="1191" spans="14:14" x14ac:dyDescent="0.3">
      <c r="N1191"/>
    </row>
    <row r="1192" spans="14:14" x14ac:dyDescent="0.3">
      <c r="N1192"/>
    </row>
    <row r="1193" spans="14:14" x14ac:dyDescent="0.3">
      <c r="N1193"/>
    </row>
    <row r="1194" spans="14:14" x14ac:dyDescent="0.3">
      <c r="N1194"/>
    </row>
    <row r="1195" spans="14:14" x14ac:dyDescent="0.3">
      <c r="N1195"/>
    </row>
    <row r="1196" spans="14:14" x14ac:dyDescent="0.3">
      <c r="N1196"/>
    </row>
    <row r="1197" spans="14:14" x14ac:dyDescent="0.3">
      <c r="N1197"/>
    </row>
    <row r="1198" spans="14:14" x14ac:dyDescent="0.3">
      <c r="N1198"/>
    </row>
    <row r="1199" spans="14:14" x14ac:dyDescent="0.3">
      <c r="N1199"/>
    </row>
    <row r="1200" spans="14:14" x14ac:dyDescent="0.3">
      <c r="N1200"/>
    </row>
    <row r="1201" spans="14:14" x14ac:dyDescent="0.3">
      <c r="N1201"/>
    </row>
    <row r="1202" spans="14:14" x14ac:dyDescent="0.3">
      <c r="N1202"/>
    </row>
    <row r="1203" spans="14:14" x14ac:dyDescent="0.3">
      <c r="N1203"/>
    </row>
    <row r="1204" spans="14:14" x14ac:dyDescent="0.3">
      <c r="N1204"/>
    </row>
    <row r="1205" spans="14:14" x14ac:dyDescent="0.3">
      <c r="N1205"/>
    </row>
    <row r="1206" spans="14:14" x14ac:dyDescent="0.3">
      <c r="N1206"/>
    </row>
    <row r="1207" spans="14:14" x14ac:dyDescent="0.3">
      <c r="N1207"/>
    </row>
    <row r="1208" spans="14:14" x14ac:dyDescent="0.3">
      <c r="N1208"/>
    </row>
    <row r="1209" spans="14:14" x14ac:dyDescent="0.3">
      <c r="N1209"/>
    </row>
    <row r="1210" spans="14:14" x14ac:dyDescent="0.3">
      <c r="N1210"/>
    </row>
    <row r="1211" spans="14:14" x14ac:dyDescent="0.3">
      <c r="N1211"/>
    </row>
    <row r="1212" spans="14:14" x14ac:dyDescent="0.3">
      <c r="N1212"/>
    </row>
    <row r="1213" spans="14:14" x14ac:dyDescent="0.3">
      <c r="N1213"/>
    </row>
    <row r="1214" spans="14:14" x14ac:dyDescent="0.3">
      <c r="N1214"/>
    </row>
    <row r="1215" spans="14:14" x14ac:dyDescent="0.3">
      <c r="N1215"/>
    </row>
    <row r="1216" spans="14:14" x14ac:dyDescent="0.3">
      <c r="N1216"/>
    </row>
    <row r="1217" spans="14:14" x14ac:dyDescent="0.3">
      <c r="N1217"/>
    </row>
    <row r="1218" spans="14:14" x14ac:dyDescent="0.3">
      <c r="N1218"/>
    </row>
    <row r="1219" spans="14:14" x14ac:dyDescent="0.3">
      <c r="N1219"/>
    </row>
    <row r="1220" spans="14:14" x14ac:dyDescent="0.3">
      <c r="N1220"/>
    </row>
    <row r="1221" spans="14:14" x14ac:dyDescent="0.3">
      <c r="N1221"/>
    </row>
    <row r="1222" spans="14:14" x14ac:dyDescent="0.3">
      <c r="N1222"/>
    </row>
    <row r="1223" spans="14:14" x14ac:dyDescent="0.3">
      <c r="N1223"/>
    </row>
    <row r="1224" spans="14:14" x14ac:dyDescent="0.3">
      <c r="N1224"/>
    </row>
    <row r="1225" spans="14:14" x14ac:dyDescent="0.3">
      <c r="N1225"/>
    </row>
    <row r="1226" spans="14:14" x14ac:dyDescent="0.3">
      <c r="N1226"/>
    </row>
    <row r="1227" spans="14:14" x14ac:dyDescent="0.3">
      <c r="N1227"/>
    </row>
    <row r="1228" spans="14:14" x14ac:dyDescent="0.3">
      <c r="N1228"/>
    </row>
    <row r="1229" spans="14:14" x14ac:dyDescent="0.3">
      <c r="N1229"/>
    </row>
    <row r="1230" spans="14:14" x14ac:dyDescent="0.3">
      <c r="N1230"/>
    </row>
    <row r="1231" spans="14:14" x14ac:dyDescent="0.3">
      <c r="N1231"/>
    </row>
    <row r="1232" spans="14:14" x14ac:dyDescent="0.3">
      <c r="N1232"/>
    </row>
    <row r="1233" spans="14:14" x14ac:dyDescent="0.3">
      <c r="N1233"/>
    </row>
    <row r="1234" spans="14:14" x14ac:dyDescent="0.3">
      <c r="N1234"/>
    </row>
    <row r="1235" spans="14:14" x14ac:dyDescent="0.3">
      <c r="N1235"/>
    </row>
    <row r="1236" spans="14:14" x14ac:dyDescent="0.3">
      <c r="N1236"/>
    </row>
    <row r="1237" spans="14:14" x14ac:dyDescent="0.3">
      <c r="N1237"/>
    </row>
    <row r="1238" spans="14:14" x14ac:dyDescent="0.3">
      <c r="N1238"/>
    </row>
    <row r="1239" spans="14:14" x14ac:dyDescent="0.3">
      <c r="N1239"/>
    </row>
    <row r="1240" spans="14:14" x14ac:dyDescent="0.3">
      <c r="N1240"/>
    </row>
    <row r="1241" spans="14:14" x14ac:dyDescent="0.3">
      <c r="N1241"/>
    </row>
    <row r="1242" spans="14:14" x14ac:dyDescent="0.3">
      <c r="N1242"/>
    </row>
    <row r="1243" spans="14:14" x14ac:dyDescent="0.3">
      <c r="N1243"/>
    </row>
    <row r="1244" spans="14:14" x14ac:dyDescent="0.3">
      <c r="N1244"/>
    </row>
    <row r="1245" spans="14:14" x14ac:dyDescent="0.3">
      <c r="N1245"/>
    </row>
    <row r="1246" spans="14:14" x14ac:dyDescent="0.3">
      <c r="N1246"/>
    </row>
    <row r="1247" spans="14:14" x14ac:dyDescent="0.3">
      <c r="N1247"/>
    </row>
    <row r="1248" spans="14:14" x14ac:dyDescent="0.3">
      <c r="N1248"/>
    </row>
    <row r="1249" spans="14:14" x14ac:dyDescent="0.3">
      <c r="N1249"/>
    </row>
    <row r="1250" spans="14:14" x14ac:dyDescent="0.3">
      <c r="N1250"/>
    </row>
    <row r="1251" spans="14:14" x14ac:dyDescent="0.3">
      <c r="N1251"/>
    </row>
    <row r="1252" spans="14:14" x14ac:dyDescent="0.3">
      <c r="N1252"/>
    </row>
    <row r="1253" spans="14:14" x14ac:dyDescent="0.3">
      <c r="N1253"/>
    </row>
    <row r="1254" spans="14:14" x14ac:dyDescent="0.3">
      <c r="N1254"/>
    </row>
    <row r="1255" spans="14:14" x14ac:dyDescent="0.3">
      <c r="N1255"/>
    </row>
    <row r="1256" spans="14:14" x14ac:dyDescent="0.3">
      <c r="N1256"/>
    </row>
    <row r="1257" spans="14:14" x14ac:dyDescent="0.3">
      <c r="N1257"/>
    </row>
    <row r="1258" spans="14:14" x14ac:dyDescent="0.3">
      <c r="N1258"/>
    </row>
    <row r="1259" spans="14:14" x14ac:dyDescent="0.3">
      <c r="N1259"/>
    </row>
    <row r="1260" spans="14:14" x14ac:dyDescent="0.3">
      <c r="N1260"/>
    </row>
    <row r="1261" spans="14:14" x14ac:dyDescent="0.3">
      <c r="N1261"/>
    </row>
    <row r="1262" spans="14:14" x14ac:dyDescent="0.3">
      <c r="N1262"/>
    </row>
    <row r="1263" spans="14:14" x14ac:dyDescent="0.3">
      <c r="N1263"/>
    </row>
    <row r="1264" spans="14:14" x14ac:dyDescent="0.3">
      <c r="N1264"/>
    </row>
    <row r="1265" spans="14:14" x14ac:dyDescent="0.3">
      <c r="N1265"/>
    </row>
    <row r="1266" spans="14:14" x14ac:dyDescent="0.3">
      <c r="N1266"/>
    </row>
    <row r="1267" spans="14:14" x14ac:dyDescent="0.3">
      <c r="N1267"/>
    </row>
    <row r="1268" spans="14:14" x14ac:dyDescent="0.3">
      <c r="N1268"/>
    </row>
    <row r="1269" spans="14:14" x14ac:dyDescent="0.3">
      <c r="N1269"/>
    </row>
    <row r="1270" spans="14:14" x14ac:dyDescent="0.3">
      <c r="N1270"/>
    </row>
    <row r="1271" spans="14:14" x14ac:dyDescent="0.3">
      <c r="N1271"/>
    </row>
    <row r="1272" spans="14:14" x14ac:dyDescent="0.3">
      <c r="N1272"/>
    </row>
    <row r="1273" spans="14:14" x14ac:dyDescent="0.3">
      <c r="N1273"/>
    </row>
    <row r="1274" spans="14:14" x14ac:dyDescent="0.3">
      <c r="N1274"/>
    </row>
    <row r="1275" spans="14:14" x14ac:dyDescent="0.3">
      <c r="N1275"/>
    </row>
    <row r="1276" spans="14:14" x14ac:dyDescent="0.3">
      <c r="N1276"/>
    </row>
    <row r="1277" spans="14:14" x14ac:dyDescent="0.3">
      <c r="N1277"/>
    </row>
    <row r="1278" spans="14:14" x14ac:dyDescent="0.3">
      <c r="N1278"/>
    </row>
    <row r="1279" spans="14:14" x14ac:dyDescent="0.3">
      <c r="N1279"/>
    </row>
    <row r="1280" spans="14:14" x14ac:dyDescent="0.3">
      <c r="N1280"/>
    </row>
    <row r="1281" spans="14:14" x14ac:dyDescent="0.3">
      <c r="N1281"/>
    </row>
    <row r="1282" spans="14:14" x14ac:dyDescent="0.3">
      <c r="N1282"/>
    </row>
    <row r="1283" spans="14:14" x14ac:dyDescent="0.3">
      <c r="N1283"/>
    </row>
    <row r="1284" spans="14:14" x14ac:dyDescent="0.3">
      <c r="N1284"/>
    </row>
    <row r="1285" spans="14:14" x14ac:dyDescent="0.3">
      <c r="N1285"/>
    </row>
    <row r="1286" spans="14:14" x14ac:dyDescent="0.3">
      <c r="N1286"/>
    </row>
    <row r="1287" spans="14:14" x14ac:dyDescent="0.3">
      <c r="N1287"/>
    </row>
    <row r="1288" spans="14:14" x14ac:dyDescent="0.3">
      <c r="N1288"/>
    </row>
    <row r="1289" spans="14:14" x14ac:dyDescent="0.3">
      <c r="N1289"/>
    </row>
    <row r="1290" spans="14:14" x14ac:dyDescent="0.3">
      <c r="N1290"/>
    </row>
    <row r="1291" spans="14:14" x14ac:dyDescent="0.3">
      <c r="N1291"/>
    </row>
    <row r="1292" spans="14:14" x14ac:dyDescent="0.3">
      <c r="N1292"/>
    </row>
    <row r="1293" spans="14:14" x14ac:dyDescent="0.3">
      <c r="N1293"/>
    </row>
    <row r="1294" spans="14:14" x14ac:dyDescent="0.3">
      <c r="N1294"/>
    </row>
    <row r="1295" spans="14:14" x14ac:dyDescent="0.3">
      <c r="N1295"/>
    </row>
    <row r="1296" spans="14:14" x14ac:dyDescent="0.3">
      <c r="N1296"/>
    </row>
    <row r="1297" spans="14:14" x14ac:dyDescent="0.3">
      <c r="N1297"/>
    </row>
    <row r="1298" spans="14:14" x14ac:dyDescent="0.3">
      <c r="N1298"/>
    </row>
    <row r="1299" spans="14:14" x14ac:dyDescent="0.3">
      <c r="N1299"/>
    </row>
    <row r="1300" spans="14:14" x14ac:dyDescent="0.3">
      <c r="N1300"/>
    </row>
    <row r="1301" spans="14:14" x14ac:dyDescent="0.3">
      <c r="N1301"/>
    </row>
    <row r="1302" spans="14:14" x14ac:dyDescent="0.3">
      <c r="N1302"/>
    </row>
    <row r="1303" spans="14:14" x14ac:dyDescent="0.3">
      <c r="N1303"/>
    </row>
    <row r="1304" spans="14:14" x14ac:dyDescent="0.3">
      <c r="N1304"/>
    </row>
    <row r="1305" spans="14:14" x14ac:dyDescent="0.3">
      <c r="N1305"/>
    </row>
    <row r="1306" spans="14:14" x14ac:dyDescent="0.3">
      <c r="N1306"/>
    </row>
    <row r="1307" spans="14:14" x14ac:dyDescent="0.3">
      <c r="N1307"/>
    </row>
    <row r="1308" spans="14:14" x14ac:dyDescent="0.3">
      <c r="N1308"/>
    </row>
    <row r="1309" spans="14:14" x14ac:dyDescent="0.3">
      <c r="N1309"/>
    </row>
    <row r="1310" spans="14:14" x14ac:dyDescent="0.3">
      <c r="N1310"/>
    </row>
    <row r="1311" spans="14:14" x14ac:dyDescent="0.3">
      <c r="N1311"/>
    </row>
    <row r="1312" spans="14:14" x14ac:dyDescent="0.3">
      <c r="N1312"/>
    </row>
    <row r="1313" spans="14:14" x14ac:dyDescent="0.3">
      <c r="N1313"/>
    </row>
    <row r="1314" spans="14:14" x14ac:dyDescent="0.3">
      <c r="N1314"/>
    </row>
    <row r="1315" spans="14:14" x14ac:dyDescent="0.3">
      <c r="N1315"/>
    </row>
    <row r="1316" spans="14:14" x14ac:dyDescent="0.3">
      <c r="N1316"/>
    </row>
    <row r="1317" spans="14:14" x14ac:dyDescent="0.3">
      <c r="N1317"/>
    </row>
    <row r="1318" spans="14:14" x14ac:dyDescent="0.3">
      <c r="N1318"/>
    </row>
    <row r="1319" spans="14:14" x14ac:dyDescent="0.3">
      <c r="N1319"/>
    </row>
    <row r="1320" spans="14:14" x14ac:dyDescent="0.3">
      <c r="N1320"/>
    </row>
    <row r="1321" spans="14:14" x14ac:dyDescent="0.3">
      <c r="N1321"/>
    </row>
    <row r="1322" spans="14:14" x14ac:dyDescent="0.3">
      <c r="N1322"/>
    </row>
    <row r="1323" spans="14:14" x14ac:dyDescent="0.3">
      <c r="N1323"/>
    </row>
    <row r="1324" spans="14:14" x14ac:dyDescent="0.3">
      <c r="N1324"/>
    </row>
    <row r="1325" spans="14:14" x14ac:dyDescent="0.3">
      <c r="N1325"/>
    </row>
    <row r="1326" spans="14:14" x14ac:dyDescent="0.3">
      <c r="N1326"/>
    </row>
    <row r="1327" spans="14:14" x14ac:dyDescent="0.3">
      <c r="N1327"/>
    </row>
    <row r="1328" spans="14:14" x14ac:dyDescent="0.3">
      <c r="N1328"/>
    </row>
    <row r="1329" spans="14:14" x14ac:dyDescent="0.3">
      <c r="N1329"/>
    </row>
    <row r="1330" spans="14:14" x14ac:dyDescent="0.3">
      <c r="N1330"/>
    </row>
    <row r="1331" spans="14:14" x14ac:dyDescent="0.3">
      <c r="N1331"/>
    </row>
    <row r="1332" spans="14:14" x14ac:dyDescent="0.3">
      <c r="N1332"/>
    </row>
    <row r="1333" spans="14:14" x14ac:dyDescent="0.3">
      <c r="N1333"/>
    </row>
    <row r="1334" spans="14:14" x14ac:dyDescent="0.3">
      <c r="N1334"/>
    </row>
    <row r="1335" spans="14:14" x14ac:dyDescent="0.3">
      <c r="N1335"/>
    </row>
    <row r="1336" spans="14:14" x14ac:dyDescent="0.3">
      <c r="N1336"/>
    </row>
    <row r="1337" spans="14:14" x14ac:dyDescent="0.3">
      <c r="N1337"/>
    </row>
    <row r="1338" spans="14:14" x14ac:dyDescent="0.3">
      <c r="N1338"/>
    </row>
    <row r="1339" spans="14:14" x14ac:dyDescent="0.3">
      <c r="N1339"/>
    </row>
    <row r="1340" spans="14:14" x14ac:dyDescent="0.3">
      <c r="N1340"/>
    </row>
    <row r="1341" spans="14:14" x14ac:dyDescent="0.3">
      <c r="N1341"/>
    </row>
    <row r="1342" spans="14:14" x14ac:dyDescent="0.3">
      <c r="N1342"/>
    </row>
    <row r="1343" spans="14:14" x14ac:dyDescent="0.3">
      <c r="N1343"/>
    </row>
    <row r="1344" spans="14:14" x14ac:dyDescent="0.3">
      <c r="N1344"/>
    </row>
    <row r="1345" spans="14:14" x14ac:dyDescent="0.3">
      <c r="N1345"/>
    </row>
    <row r="1346" spans="14:14" x14ac:dyDescent="0.3">
      <c r="N1346"/>
    </row>
    <row r="1347" spans="14:14" x14ac:dyDescent="0.3">
      <c r="N1347"/>
    </row>
    <row r="1348" spans="14:14" x14ac:dyDescent="0.3">
      <c r="N1348"/>
    </row>
    <row r="1349" spans="14:14" x14ac:dyDescent="0.3">
      <c r="N1349"/>
    </row>
    <row r="1350" spans="14:14" x14ac:dyDescent="0.3">
      <c r="N1350"/>
    </row>
    <row r="1351" spans="14:14" x14ac:dyDescent="0.3">
      <c r="N1351"/>
    </row>
    <row r="1352" spans="14:14" x14ac:dyDescent="0.3">
      <c r="N1352"/>
    </row>
    <row r="1353" spans="14:14" x14ac:dyDescent="0.3">
      <c r="N1353"/>
    </row>
    <row r="1354" spans="14:14" x14ac:dyDescent="0.3">
      <c r="N1354"/>
    </row>
    <row r="1355" spans="14:14" x14ac:dyDescent="0.3">
      <c r="N1355"/>
    </row>
    <row r="1356" spans="14:14" x14ac:dyDescent="0.3">
      <c r="N1356"/>
    </row>
    <row r="1357" spans="14:14" x14ac:dyDescent="0.3">
      <c r="N1357"/>
    </row>
    <row r="1358" spans="14:14" x14ac:dyDescent="0.3">
      <c r="N1358"/>
    </row>
    <row r="1359" spans="14:14" x14ac:dyDescent="0.3">
      <c r="N1359"/>
    </row>
    <row r="1360" spans="14:14" x14ac:dyDescent="0.3">
      <c r="N1360"/>
    </row>
    <row r="1361" spans="14:14" x14ac:dyDescent="0.3">
      <c r="N1361"/>
    </row>
    <row r="1362" spans="14:14" x14ac:dyDescent="0.3">
      <c r="N1362"/>
    </row>
    <row r="1363" spans="14:14" x14ac:dyDescent="0.3">
      <c r="N1363"/>
    </row>
    <row r="1364" spans="14:14" x14ac:dyDescent="0.3">
      <c r="N1364"/>
    </row>
    <row r="1365" spans="14:14" x14ac:dyDescent="0.3">
      <c r="N1365"/>
    </row>
    <row r="1366" spans="14:14" x14ac:dyDescent="0.3">
      <c r="N1366"/>
    </row>
    <row r="1367" spans="14:14" x14ac:dyDescent="0.3">
      <c r="N1367"/>
    </row>
    <row r="1368" spans="14:14" x14ac:dyDescent="0.3">
      <c r="N1368"/>
    </row>
    <row r="1369" spans="14:14" x14ac:dyDescent="0.3">
      <c r="N1369"/>
    </row>
    <row r="1370" spans="14:14" x14ac:dyDescent="0.3">
      <c r="N1370"/>
    </row>
    <row r="1371" spans="14:14" x14ac:dyDescent="0.3">
      <c r="N1371"/>
    </row>
    <row r="1372" spans="14:14" x14ac:dyDescent="0.3">
      <c r="N1372"/>
    </row>
    <row r="1373" spans="14:14" x14ac:dyDescent="0.3">
      <c r="N1373"/>
    </row>
    <row r="1374" spans="14:14" x14ac:dyDescent="0.3">
      <c r="N1374"/>
    </row>
    <row r="1375" spans="14:14" x14ac:dyDescent="0.3">
      <c r="N1375"/>
    </row>
    <row r="1376" spans="14:14" x14ac:dyDescent="0.3">
      <c r="N1376"/>
    </row>
    <row r="1377" spans="14:14" x14ac:dyDescent="0.3">
      <c r="N1377"/>
    </row>
    <row r="1378" spans="14:14" x14ac:dyDescent="0.3">
      <c r="N1378"/>
    </row>
    <row r="1379" spans="14:14" x14ac:dyDescent="0.3">
      <c r="N1379"/>
    </row>
    <row r="1380" spans="14:14" x14ac:dyDescent="0.3">
      <c r="N1380"/>
    </row>
    <row r="1381" spans="14:14" x14ac:dyDescent="0.3">
      <c r="N1381"/>
    </row>
    <row r="1382" spans="14:14" x14ac:dyDescent="0.3">
      <c r="N1382"/>
    </row>
    <row r="1383" spans="14:14" x14ac:dyDescent="0.3">
      <c r="N1383"/>
    </row>
    <row r="1384" spans="14:14" x14ac:dyDescent="0.3">
      <c r="N1384"/>
    </row>
    <row r="1385" spans="14:14" x14ac:dyDescent="0.3">
      <c r="N1385"/>
    </row>
    <row r="1386" spans="14:14" x14ac:dyDescent="0.3">
      <c r="N1386"/>
    </row>
    <row r="1387" spans="14:14" x14ac:dyDescent="0.3">
      <c r="N1387"/>
    </row>
    <row r="1388" spans="14:14" x14ac:dyDescent="0.3">
      <c r="N1388"/>
    </row>
    <row r="1389" spans="14:14" x14ac:dyDescent="0.3">
      <c r="N1389"/>
    </row>
    <row r="1390" spans="14:14" x14ac:dyDescent="0.3">
      <c r="N1390"/>
    </row>
    <row r="1391" spans="14:14" x14ac:dyDescent="0.3">
      <c r="N1391"/>
    </row>
    <row r="1392" spans="14:14" x14ac:dyDescent="0.3">
      <c r="N1392"/>
    </row>
    <row r="1393" spans="14:14" x14ac:dyDescent="0.3">
      <c r="N1393"/>
    </row>
    <row r="1394" spans="14:14" x14ac:dyDescent="0.3">
      <c r="N1394"/>
    </row>
    <row r="1395" spans="14:14" x14ac:dyDescent="0.3">
      <c r="N1395"/>
    </row>
    <row r="1396" spans="14:14" x14ac:dyDescent="0.3">
      <c r="N1396"/>
    </row>
    <row r="1397" spans="14:14" x14ac:dyDescent="0.3">
      <c r="N1397"/>
    </row>
    <row r="1398" spans="14:14" x14ac:dyDescent="0.3">
      <c r="N1398"/>
    </row>
    <row r="1399" spans="14:14" x14ac:dyDescent="0.3">
      <c r="N1399"/>
    </row>
    <row r="1400" spans="14:14" x14ac:dyDescent="0.3">
      <c r="N1400"/>
    </row>
    <row r="1401" spans="14:14" x14ac:dyDescent="0.3">
      <c r="N1401"/>
    </row>
    <row r="1402" spans="14:14" x14ac:dyDescent="0.3">
      <c r="N1402"/>
    </row>
    <row r="1403" spans="14:14" x14ac:dyDescent="0.3">
      <c r="N1403"/>
    </row>
    <row r="1404" spans="14:14" x14ac:dyDescent="0.3">
      <c r="N1404"/>
    </row>
    <row r="1405" spans="14:14" x14ac:dyDescent="0.3">
      <c r="N1405"/>
    </row>
    <row r="1406" spans="14:14" x14ac:dyDescent="0.3">
      <c r="N1406"/>
    </row>
    <row r="1407" spans="14:14" x14ac:dyDescent="0.3">
      <c r="N1407"/>
    </row>
    <row r="1408" spans="14:14" x14ac:dyDescent="0.3">
      <c r="N1408"/>
    </row>
    <row r="1409" spans="14:14" x14ac:dyDescent="0.3">
      <c r="N1409"/>
    </row>
    <row r="1410" spans="14:14" x14ac:dyDescent="0.3">
      <c r="N1410"/>
    </row>
    <row r="1411" spans="14:14" x14ac:dyDescent="0.3">
      <c r="N1411"/>
    </row>
    <row r="1412" spans="14:14" x14ac:dyDescent="0.3">
      <c r="N1412"/>
    </row>
    <row r="1413" spans="14:14" x14ac:dyDescent="0.3">
      <c r="N1413"/>
    </row>
    <row r="1414" spans="14:14" x14ac:dyDescent="0.3">
      <c r="N1414"/>
    </row>
    <row r="1415" spans="14:14" x14ac:dyDescent="0.3">
      <c r="N1415"/>
    </row>
    <row r="1416" spans="14:14" x14ac:dyDescent="0.3">
      <c r="N1416"/>
    </row>
    <row r="1417" spans="14:14" x14ac:dyDescent="0.3">
      <c r="N1417"/>
    </row>
    <row r="1418" spans="14:14" x14ac:dyDescent="0.3">
      <c r="N1418"/>
    </row>
    <row r="1419" spans="14:14" x14ac:dyDescent="0.3">
      <c r="N1419"/>
    </row>
    <row r="1420" spans="14:14" x14ac:dyDescent="0.3">
      <c r="N1420"/>
    </row>
    <row r="1421" spans="14:14" x14ac:dyDescent="0.3">
      <c r="N1421"/>
    </row>
    <row r="1422" spans="14:14" x14ac:dyDescent="0.3">
      <c r="N1422"/>
    </row>
    <row r="1423" spans="14:14" x14ac:dyDescent="0.3">
      <c r="N1423"/>
    </row>
    <row r="1424" spans="14:14" x14ac:dyDescent="0.3">
      <c r="N1424"/>
    </row>
    <row r="1425" spans="14:14" x14ac:dyDescent="0.3">
      <c r="N1425"/>
    </row>
    <row r="1426" spans="14:14" x14ac:dyDescent="0.3">
      <c r="N1426"/>
    </row>
    <row r="1427" spans="14:14" x14ac:dyDescent="0.3">
      <c r="N1427"/>
    </row>
    <row r="1428" spans="14:14" x14ac:dyDescent="0.3">
      <c r="N1428"/>
    </row>
    <row r="1429" spans="14:14" x14ac:dyDescent="0.3">
      <c r="N1429"/>
    </row>
    <row r="1430" spans="14:14" x14ac:dyDescent="0.3">
      <c r="N1430"/>
    </row>
    <row r="1431" spans="14:14" x14ac:dyDescent="0.3">
      <c r="N1431"/>
    </row>
    <row r="1432" spans="14:14" x14ac:dyDescent="0.3">
      <c r="N1432"/>
    </row>
    <row r="1433" spans="14:14" x14ac:dyDescent="0.3">
      <c r="N1433"/>
    </row>
    <row r="1434" spans="14:14" x14ac:dyDescent="0.3">
      <c r="N1434"/>
    </row>
    <row r="1435" spans="14:14" x14ac:dyDescent="0.3">
      <c r="N1435"/>
    </row>
    <row r="1436" spans="14:14" x14ac:dyDescent="0.3">
      <c r="N1436"/>
    </row>
    <row r="1437" spans="14:14" x14ac:dyDescent="0.3">
      <c r="N1437"/>
    </row>
    <row r="1438" spans="14:14" x14ac:dyDescent="0.3">
      <c r="N1438"/>
    </row>
    <row r="1439" spans="14:14" x14ac:dyDescent="0.3">
      <c r="N1439"/>
    </row>
    <row r="1440" spans="14:14" x14ac:dyDescent="0.3">
      <c r="N1440"/>
    </row>
    <row r="1441" spans="14:14" x14ac:dyDescent="0.3">
      <c r="N1441"/>
    </row>
    <row r="1442" spans="14:14" x14ac:dyDescent="0.3">
      <c r="N1442"/>
    </row>
    <row r="1443" spans="14:14" x14ac:dyDescent="0.3">
      <c r="N1443"/>
    </row>
    <row r="1444" spans="14:14" x14ac:dyDescent="0.3">
      <c r="N1444"/>
    </row>
    <row r="1445" spans="14:14" x14ac:dyDescent="0.3">
      <c r="N1445"/>
    </row>
    <row r="1446" spans="14:14" x14ac:dyDescent="0.3">
      <c r="N1446"/>
    </row>
    <row r="1447" spans="14:14" x14ac:dyDescent="0.3">
      <c r="N1447"/>
    </row>
    <row r="1448" spans="14:14" x14ac:dyDescent="0.3">
      <c r="N1448"/>
    </row>
    <row r="1449" spans="14:14" x14ac:dyDescent="0.3">
      <c r="N1449"/>
    </row>
    <row r="1450" spans="14:14" x14ac:dyDescent="0.3">
      <c r="N1450"/>
    </row>
    <row r="1451" spans="14:14" x14ac:dyDescent="0.3">
      <c r="N1451"/>
    </row>
    <row r="1452" spans="14:14" x14ac:dyDescent="0.3">
      <c r="N1452"/>
    </row>
    <row r="1453" spans="14:14" x14ac:dyDescent="0.3">
      <c r="N1453"/>
    </row>
    <row r="1454" spans="14:14" x14ac:dyDescent="0.3">
      <c r="N1454"/>
    </row>
    <row r="1455" spans="14:14" x14ac:dyDescent="0.3">
      <c r="N1455"/>
    </row>
    <row r="1456" spans="14:14" x14ac:dyDescent="0.3">
      <c r="N1456"/>
    </row>
    <row r="1457" spans="14:14" x14ac:dyDescent="0.3">
      <c r="N1457"/>
    </row>
    <row r="1458" spans="14:14" x14ac:dyDescent="0.3">
      <c r="N1458"/>
    </row>
    <row r="1459" spans="14:14" x14ac:dyDescent="0.3">
      <c r="N1459"/>
    </row>
    <row r="1460" spans="14:14" x14ac:dyDescent="0.3">
      <c r="N1460"/>
    </row>
    <row r="1461" spans="14:14" x14ac:dyDescent="0.3">
      <c r="N1461"/>
    </row>
    <row r="1462" spans="14:14" x14ac:dyDescent="0.3">
      <c r="N1462"/>
    </row>
    <row r="1463" spans="14:14" x14ac:dyDescent="0.3">
      <c r="N1463"/>
    </row>
    <row r="1464" spans="14:14" x14ac:dyDescent="0.3">
      <c r="N1464"/>
    </row>
    <row r="1465" spans="14:14" x14ac:dyDescent="0.3">
      <c r="N1465"/>
    </row>
    <row r="1466" spans="14:14" x14ac:dyDescent="0.3">
      <c r="N1466"/>
    </row>
    <row r="1467" spans="14:14" x14ac:dyDescent="0.3">
      <c r="N1467"/>
    </row>
    <row r="1468" spans="14:14" x14ac:dyDescent="0.3">
      <c r="N1468"/>
    </row>
    <row r="1469" spans="14:14" x14ac:dyDescent="0.3">
      <c r="N1469"/>
    </row>
    <row r="1470" spans="14:14" x14ac:dyDescent="0.3">
      <c r="N1470"/>
    </row>
    <row r="1471" spans="14:14" x14ac:dyDescent="0.3">
      <c r="N1471"/>
    </row>
    <row r="1472" spans="14:14" x14ac:dyDescent="0.3">
      <c r="N1472"/>
    </row>
    <row r="1473" spans="14:14" x14ac:dyDescent="0.3">
      <c r="N1473"/>
    </row>
    <row r="1474" spans="14:14" x14ac:dyDescent="0.3">
      <c r="N1474"/>
    </row>
    <row r="1475" spans="14:14" x14ac:dyDescent="0.3">
      <c r="N1475"/>
    </row>
    <row r="1476" spans="14:14" x14ac:dyDescent="0.3">
      <c r="N1476"/>
    </row>
    <row r="1477" spans="14:14" x14ac:dyDescent="0.3">
      <c r="N1477"/>
    </row>
    <row r="1478" spans="14:14" x14ac:dyDescent="0.3">
      <c r="N1478"/>
    </row>
    <row r="1479" spans="14:14" x14ac:dyDescent="0.3">
      <c r="N1479"/>
    </row>
    <row r="1480" spans="14:14" x14ac:dyDescent="0.3">
      <c r="N1480"/>
    </row>
    <row r="1481" spans="14:14" x14ac:dyDescent="0.3">
      <c r="N1481"/>
    </row>
    <row r="1482" spans="14:14" x14ac:dyDescent="0.3">
      <c r="N1482"/>
    </row>
    <row r="1483" spans="14:14" x14ac:dyDescent="0.3">
      <c r="N1483"/>
    </row>
    <row r="1484" spans="14:14" x14ac:dyDescent="0.3">
      <c r="N1484"/>
    </row>
    <row r="1485" spans="14:14" x14ac:dyDescent="0.3">
      <c r="N1485"/>
    </row>
    <row r="1486" spans="14:14" x14ac:dyDescent="0.3">
      <c r="N1486"/>
    </row>
    <row r="1487" spans="14:14" x14ac:dyDescent="0.3">
      <c r="N1487"/>
    </row>
    <row r="1488" spans="14:14" x14ac:dyDescent="0.3">
      <c r="N1488"/>
    </row>
    <row r="1489" spans="14:14" x14ac:dyDescent="0.3">
      <c r="N1489"/>
    </row>
    <row r="1490" spans="14:14" x14ac:dyDescent="0.3">
      <c r="N1490"/>
    </row>
    <row r="1491" spans="14:14" x14ac:dyDescent="0.3">
      <c r="N1491"/>
    </row>
    <row r="1492" spans="14:14" x14ac:dyDescent="0.3">
      <c r="N1492"/>
    </row>
    <row r="1493" spans="14:14" x14ac:dyDescent="0.3">
      <c r="N1493"/>
    </row>
    <row r="1494" spans="14:14" x14ac:dyDescent="0.3">
      <c r="N1494"/>
    </row>
    <row r="1495" spans="14:14" x14ac:dyDescent="0.3">
      <c r="N1495"/>
    </row>
    <row r="1496" spans="14:14" x14ac:dyDescent="0.3">
      <c r="N1496"/>
    </row>
    <row r="1497" spans="14:14" x14ac:dyDescent="0.3">
      <c r="N1497"/>
    </row>
    <row r="1498" spans="14:14" x14ac:dyDescent="0.3">
      <c r="N1498"/>
    </row>
    <row r="1499" spans="14:14" x14ac:dyDescent="0.3">
      <c r="N1499"/>
    </row>
    <row r="1500" spans="14:14" x14ac:dyDescent="0.3">
      <c r="N1500"/>
    </row>
    <row r="1501" spans="14:14" x14ac:dyDescent="0.3">
      <c r="N1501"/>
    </row>
    <row r="1502" spans="14:14" x14ac:dyDescent="0.3">
      <c r="N1502"/>
    </row>
    <row r="1503" spans="14:14" x14ac:dyDescent="0.3">
      <c r="N1503"/>
    </row>
    <row r="1504" spans="14:14" x14ac:dyDescent="0.3">
      <c r="N1504"/>
    </row>
    <row r="1505" spans="14:14" x14ac:dyDescent="0.3">
      <c r="N1505"/>
    </row>
    <row r="1506" spans="14:14" x14ac:dyDescent="0.3">
      <c r="N1506"/>
    </row>
    <row r="1507" spans="14:14" x14ac:dyDescent="0.3">
      <c r="N1507"/>
    </row>
    <row r="1508" spans="14:14" x14ac:dyDescent="0.3">
      <c r="N1508"/>
    </row>
    <row r="1509" spans="14:14" x14ac:dyDescent="0.3">
      <c r="N1509"/>
    </row>
    <row r="1510" spans="14:14" x14ac:dyDescent="0.3">
      <c r="N1510"/>
    </row>
    <row r="1511" spans="14:14" x14ac:dyDescent="0.3">
      <c r="N1511"/>
    </row>
    <row r="1512" spans="14:14" x14ac:dyDescent="0.3">
      <c r="N1512"/>
    </row>
    <row r="1513" spans="14:14" x14ac:dyDescent="0.3">
      <c r="N1513"/>
    </row>
    <row r="1514" spans="14:14" x14ac:dyDescent="0.3">
      <c r="N1514"/>
    </row>
    <row r="1515" spans="14:14" x14ac:dyDescent="0.3">
      <c r="N1515"/>
    </row>
    <row r="1516" spans="14:14" x14ac:dyDescent="0.3">
      <c r="N1516"/>
    </row>
    <row r="1517" spans="14:14" x14ac:dyDescent="0.3">
      <c r="N1517"/>
    </row>
    <row r="1518" spans="14:14" x14ac:dyDescent="0.3">
      <c r="N1518"/>
    </row>
    <row r="1519" spans="14:14" x14ac:dyDescent="0.3">
      <c r="N1519"/>
    </row>
    <row r="1520" spans="14:14" x14ac:dyDescent="0.3">
      <c r="N1520"/>
    </row>
    <row r="1521" spans="14:14" x14ac:dyDescent="0.3">
      <c r="N1521"/>
    </row>
    <row r="1522" spans="14:14" x14ac:dyDescent="0.3">
      <c r="N1522"/>
    </row>
    <row r="1523" spans="14:14" x14ac:dyDescent="0.3">
      <c r="N1523"/>
    </row>
    <row r="1524" spans="14:14" x14ac:dyDescent="0.3">
      <c r="N1524"/>
    </row>
    <row r="1525" spans="14:14" x14ac:dyDescent="0.3">
      <c r="N1525"/>
    </row>
    <row r="1526" spans="14:14" x14ac:dyDescent="0.3">
      <c r="N1526"/>
    </row>
    <row r="1527" spans="14:14" x14ac:dyDescent="0.3">
      <c r="N1527"/>
    </row>
    <row r="1528" spans="14:14" x14ac:dyDescent="0.3">
      <c r="N1528"/>
    </row>
    <row r="1529" spans="14:14" x14ac:dyDescent="0.3">
      <c r="N1529"/>
    </row>
    <row r="1530" spans="14:14" x14ac:dyDescent="0.3">
      <c r="N1530"/>
    </row>
    <row r="1531" spans="14:14" x14ac:dyDescent="0.3">
      <c r="N1531"/>
    </row>
    <row r="1532" spans="14:14" x14ac:dyDescent="0.3">
      <c r="N1532"/>
    </row>
    <row r="1533" spans="14:14" x14ac:dyDescent="0.3">
      <c r="N1533"/>
    </row>
    <row r="1534" spans="14:14" x14ac:dyDescent="0.3">
      <c r="N1534"/>
    </row>
    <row r="1535" spans="14:14" x14ac:dyDescent="0.3">
      <c r="N1535"/>
    </row>
    <row r="1536" spans="14:14" x14ac:dyDescent="0.3">
      <c r="N1536"/>
    </row>
    <row r="1537" spans="14:14" x14ac:dyDescent="0.3">
      <c r="N1537"/>
    </row>
    <row r="1538" spans="14:14" x14ac:dyDescent="0.3">
      <c r="N1538"/>
    </row>
    <row r="1539" spans="14:14" x14ac:dyDescent="0.3">
      <c r="N1539"/>
    </row>
    <row r="1540" spans="14:14" x14ac:dyDescent="0.3">
      <c r="N1540"/>
    </row>
    <row r="1541" spans="14:14" x14ac:dyDescent="0.3">
      <c r="N1541"/>
    </row>
    <row r="1542" spans="14:14" x14ac:dyDescent="0.3">
      <c r="N1542"/>
    </row>
    <row r="1543" spans="14:14" x14ac:dyDescent="0.3">
      <c r="N1543"/>
    </row>
    <row r="1544" spans="14:14" x14ac:dyDescent="0.3">
      <c r="N1544"/>
    </row>
    <row r="1545" spans="14:14" x14ac:dyDescent="0.3">
      <c r="N1545"/>
    </row>
    <row r="1546" spans="14:14" x14ac:dyDescent="0.3">
      <c r="N1546"/>
    </row>
    <row r="1547" spans="14:14" x14ac:dyDescent="0.3">
      <c r="N1547"/>
    </row>
    <row r="1548" spans="14:14" x14ac:dyDescent="0.3">
      <c r="N1548"/>
    </row>
    <row r="1549" spans="14:14" x14ac:dyDescent="0.3">
      <c r="N1549"/>
    </row>
    <row r="1550" spans="14:14" x14ac:dyDescent="0.3">
      <c r="N1550"/>
    </row>
    <row r="1551" spans="14:14" x14ac:dyDescent="0.3">
      <c r="N1551"/>
    </row>
    <row r="1552" spans="14:14" x14ac:dyDescent="0.3">
      <c r="N1552"/>
    </row>
    <row r="1553" spans="14:14" x14ac:dyDescent="0.3">
      <c r="N1553"/>
    </row>
    <row r="1554" spans="14:14" x14ac:dyDescent="0.3">
      <c r="N1554"/>
    </row>
    <row r="1555" spans="14:14" x14ac:dyDescent="0.3">
      <c r="N1555"/>
    </row>
    <row r="1556" spans="14:14" x14ac:dyDescent="0.3">
      <c r="N1556"/>
    </row>
    <row r="1557" spans="14:14" x14ac:dyDescent="0.3">
      <c r="N1557"/>
    </row>
    <row r="1558" spans="14:14" x14ac:dyDescent="0.3">
      <c r="N1558"/>
    </row>
    <row r="1559" spans="14:14" x14ac:dyDescent="0.3">
      <c r="N1559"/>
    </row>
    <row r="1560" spans="14:14" x14ac:dyDescent="0.3">
      <c r="N1560"/>
    </row>
    <row r="1561" spans="14:14" x14ac:dyDescent="0.3">
      <c r="N1561"/>
    </row>
    <row r="1562" spans="14:14" x14ac:dyDescent="0.3">
      <c r="N1562"/>
    </row>
    <row r="1563" spans="14:14" x14ac:dyDescent="0.3">
      <c r="N1563"/>
    </row>
    <row r="1564" spans="14:14" x14ac:dyDescent="0.3">
      <c r="N1564"/>
    </row>
    <row r="1565" spans="14:14" x14ac:dyDescent="0.3">
      <c r="N1565"/>
    </row>
    <row r="1566" spans="14:14" x14ac:dyDescent="0.3">
      <c r="N1566"/>
    </row>
    <row r="1567" spans="14:14" x14ac:dyDescent="0.3">
      <c r="N1567"/>
    </row>
    <row r="1568" spans="14:14" x14ac:dyDescent="0.3">
      <c r="N1568"/>
    </row>
    <row r="1569" spans="14:14" x14ac:dyDescent="0.3">
      <c r="N1569"/>
    </row>
    <row r="1570" spans="14:14" x14ac:dyDescent="0.3">
      <c r="N1570"/>
    </row>
    <row r="1571" spans="14:14" x14ac:dyDescent="0.3">
      <c r="N1571"/>
    </row>
    <row r="1572" spans="14:14" x14ac:dyDescent="0.3">
      <c r="N1572"/>
    </row>
    <row r="1573" spans="14:14" x14ac:dyDescent="0.3">
      <c r="N1573"/>
    </row>
    <row r="1574" spans="14:14" x14ac:dyDescent="0.3">
      <c r="N1574"/>
    </row>
    <row r="1575" spans="14:14" x14ac:dyDescent="0.3">
      <c r="N1575"/>
    </row>
    <row r="1576" spans="14:14" x14ac:dyDescent="0.3">
      <c r="N1576"/>
    </row>
    <row r="1577" spans="14:14" x14ac:dyDescent="0.3">
      <c r="N1577"/>
    </row>
    <row r="1578" spans="14:14" x14ac:dyDescent="0.3">
      <c r="N1578"/>
    </row>
    <row r="1579" spans="14:14" x14ac:dyDescent="0.3">
      <c r="N1579"/>
    </row>
    <row r="1580" spans="14:14" x14ac:dyDescent="0.3">
      <c r="N1580"/>
    </row>
    <row r="1581" spans="14:14" x14ac:dyDescent="0.3">
      <c r="N1581"/>
    </row>
    <row r="1582" spans="14:14" x14ac:dyDescent="0.3">
      <c r="N1582"/>
    </row>
    <row r="1583" spans="14:14" x14ac:dyDescent="0.3">
      <c r="N1583"/>
    </row>
    <row r="1584" spans="14:14" x14ac:dyDescent="0.3">
      <c r="N1584"/>
    </row>
    <row r="1585" spans="14:14" x14ac:dyDescent="0.3">
      <c r="N1585"/>
    </row>
    <row r="1586" spans="14:14" x14ac:dyDescent="0.3">
      <c r="N1586"/>
    </row>
    <row r="1587" spans="14:14" x14ac:dyDescent="0.3">
      <c r="N1587"/>
    </row>
    <row r="1588" spans="14:14" x14ac:dyDescent="0.3">
      <c r="N1588"/>
    </row>
    <row r="1589" spans="14:14" x14ac:dyDescent="0.3">
      <c r="N1589"/>
    </row>
    <row r="1590" spans="14:14" x14ac:dyDescent="0.3">
      <c r="N1590"/>
    </row>
    <row r="1591" spans="14:14" x14ac:dyDescent="0.3">
      <c r="N1591"/>
    </row>
    <row r="1592" spans="14:14" x14ac:dyDescent="0.3">
      <c r="N1592"/>
    </row>
    <row r="1593" spans="14:14" x14ac:dyDescent="0.3">
      <c r="N1593"/>
    </row>
    <row r="1594" spans="14:14" x14ac:dyDescent="0.3">
      <c r="N1594"/>
    </row>
    <row r="1595" spans="14:14" x14ac:dyDescent="0.3">
      <c r="N1595"/>
    </row>
    <row r="1596" spans="14:14" x14ac:dyDescent="0.3">
      <c r="N1596"/>
    </row>
    <row r="1597" spans="14:14" x14ac:dyDescent="0.3">
      <c r="N1597"/>
    </row>
    <row r="1598" spans="14:14" x14ac:dyDescent="0.3">
      <c r="N1598"/>
    </row>
    <row r="1599" spans="14:14" x14ac:dyDescent="0.3">
      <c r="N1599"/>
    </row>
    <row r="1600" spans="14:14" x14ac:dyDescent="0.3">
      <c r="N1600"/>
    </row>
    <row r="1601" spans="14:14" x14ac:dyDescent="0.3">
      <c r="N1601"/>
    </row>
    <row r="1602" spans="14:14" x14ac:dyDescent="0.3">
      <c r="N1602"/>
    </row>
    <row r="1603" spans="14:14" x14ac:dyDescent="0.3">
      <c r="N1603"/>
    </row>
    <row r="1604" spans="14:14" x14ac:dyDescent="0.3">
      <c r="N1604"/>
    </row>
    <row r="1605" spans="14:14" x14ac:dyDescent="0.3">
      <c r="N1605"/>
    </row>
    <row r="1606" spans="14:14" x14ac:dyDescent="0.3">
      <c r="N1606"/>
    </row>
    <row r="1607" spans="14:14" x14ac:dyDescent="0.3">
      <c r="N1607"/>
    </row>
    <row r="1608" spans="14:14" x14ac:dyDescent="0.3">
      <c r="N1608"/>
    </row>
    <row r="1609" spans="14:14" x14ac:dyDescent="0.3">
      <c r="N1609"/>
    </row>
    <row r="1610" spans="14:14" x14ac:dyDescent="0.3">
      <c r="N1610"/>
    </row>
    <row r="1611" spans="14:14" x14ac:dyDescent="0.3">
      <c r="N1611"/>
    </row>
    <row r="1612" spans="14:14" x14ac:dyDescent="0.3">
      <c r="N1612"/>
    </row>
    <row r="1613" spans="14:14" x14ac:dyDescent="0.3">
      <c r="N1613"/>
    </row>
    <row r="1614" spans="14:14" x14ac:dyDescent="0.3">
      <c r="N1614"/>
    </row>
    <row r="1615" spans="14:14" x14ac:dyDescent="0.3">
      <c r="N1615"/>
    </row>
    <row r="1616" spans="14:14" x14ac:dyDescent="0.3">
      <c r="N1616"/>
    </row>
    <row r="1617" spans="14:14" x14ac:dyDescent="0.3">
      <c r="N1617"/>
    </row>
    <row r="1618" spans="14:14" x14ac:dyDescent="0.3">
      <c r="N1618"/>
    </row>
    <row r="1619" spans="14:14" x14ac:dyDescent="0.3">
      <c r="N1619"/>
    </row>
    <row r="1620" spans="14:14" x14ac:dyDescent="0.3">
      <c r="N1620"/>
    </row>
    <row r="1621" spans="14:14" x14ac:dyDescent="0.3">
      <c r="N1621"/>
    </row>
    <row r="1622" spans="14:14" x14ac:dyDescent="0.3">
      <c r="N1622"/>
    </row>
    <row r="1623" spans="14:14" x14ac:dyDescent="0.3">
      <c r="N1623"/>
    </row>
    <row r="1624" spans="14:14" x14ac:dyDescent="0.3">
      <c r="N1624"/>
    </row>
    <row r="1625" spans="14:14" x14ac:dyDescent="0.3">
      <c r="N1625"/>
    </row>
    <row r="1626" spans="14:14" x14ac:dyDescent="0.3">
      <c r="N1626"/>
    </row>
    <row r="1627" spans="14:14" x14ac:dyDescent="0.3">
      <c r="N1627"/>
    </row>
    <row r="1628" spans="14:14" x14ac:dyDescent="0.3">
      <c r="N1628"/>
    </row>
    <row r="1629" spans="14:14" x14ac:dyDescent="0.3">
      <c r="N1629"/>
    </row>
    <row r="1630" spans="14:14" x14ac:dyDescent="0.3">
      <c r="N1630"/>
    </row>
    <row r="1631" spans="14:14" x14ac:dyDescent="0.3">
      <c r="N1631"/>
    </row>
    <row r="1632" spans="14:14" x14ac:dyDescent="0.3">
      <c r="N1632"/>
    </row>
    <row r="1633" spans="14:14" x14ac:dyDescent="0.3">
      <c r="N1633"/>
    </row>
    <row r="1634" spans="14:14" x14ac:dyDescent="0.3">
      <c r="N1634"/>
    </row>
    <row r="1635" spans="14:14" x14ac:dyDescent="0.3">
      <c r="N1635"/>
    </row>
    <row r="1636" spans="14:14" x14ac:dyDescent="0.3">
      <c r="N1636"/>
    </row>
    <row r="1637" spans="14:14" x14ac:dyDescent="0.3">
      <c r="N1637"/>
    </row>
    <row r="1638" spans="14:14" x14ac:dyDescent="0.3">
      <c r="N1638"/>
    </row>
    <row r="1639" spans="14:14" x14ac:dyDescent="0.3">
      <c r="N1639"/>
    </row>
    <row r="1640" spans="14:14" x14ac:dyDescent="0.3">
      <c r="N1640"/>
    </row>
    <row r="1641" spans="14:14" x14ac:dyDescent="0.3">
      <c r="N1641"/>
    </row>
    <row r="1642" spans="14:14" x14ac:dyDescent="0.3">
      <c r="N1642"/>
    </row>
    <row r="1643" spans="14:14" x14ac:dyDescent="0.3">
      <c r="N1643"/>
    </row>
    <row r="1644" spans="14:14" x14ac:dyDescent="0.3">
      <c r="N1644"/>
    </row>
    <row r="1645" spans="14:14" x14ac:dyDescent="0.3">
      <c r="N1645"/>
    </row>
    <row r="1646" spans="14:14" x14ac:dyDescent="0.3">
      <c r="N1646"/>
    </row>
    <row r="1647" spans="14:14" x14ac:dyDescent="0.3">
      <c r="N1647"/>
    </row>
    <row r="1648" spans="14:14" x14ac:dyDescent="0.3">
      <c r="N1648"/>
    </row>
    <row r="1649" spans="14:14" x14ac:dyDescent="0.3">
      <c r="N1649"/>
    </row>
    <row r="1650" spans="14:14" x14ac:dyDescent="0.3">
      <c r="N1650"/>
    </row>
    <row r="1651" spans="14:14" x14ac:dyDescent="0.3">
      <c r="N1651"/>
    </row>
    <row r="1652" spans="14:14" x14ac:dyDescent="0.3">
      <c r="N1652"/>
    </row>
    <row r="1653" spans="14:14" x14ac:dyDescent="0.3">
      <c r="N1653"/>
    </row>
    <row r="1654" spans="14:14" x14ac:dyDescent="0.3">
      <c r="N1654"/>
    </row>
    <row r="1655" spans="14:14" x14ac:dyDescent="0.3">
      <c r="N1655"/>
    </row>
    <row r="1656" spans="14:14" x14ac:dyDescent="0.3">
      <c r="N1656"/>
    </row>
    <row r="1657" spans="14:14" x14ac:dyDescent="0.3">
      <c r="N1657"/>
    </row>
    <row r="1658" spans="14:14" x14ac:dyDescent="0.3">
      <c r="N1658"/>
    </row>
    <row r="1659" spans="14:14" x14ac:dyDescent="0.3">
      <c r="N1659"/>
    </row>
    <row r="1660" spans="14:14" x14ac:dyDescent="0.3">
      <c r="N1660"/>
    </row>
    <row r="1661" spans="14:14" x14ac:dyDescent="0.3">
      <c r="N1661"/>
    </row>
    <row r="1662" spans="14:14" x14ac:dyDescent="0.3">
      <c r="N1662"/>
    </row>
    <row r="1663" spans="14:14" x14ac:dyDescent="0.3">
      <c r="N1663"/>
    </row>
    <row r="1664" spans="14:14" x14ac:dyDescent="0.3">
      <c r="N1664"/>
    </row>
    <row r="1665" spans="14:14" x14ac:dyDescent="0.3">
      <c r="N1665"/>
    </row>
    <row r="1666" spans="14:14" x14ac:dyDescent="0.3">
      <c r="N1666"/>
    </row>
    <row r="1667" spans="14:14" x14ac:dyDescent="0.3">
      <c r="N1667"/>
    </row>
    <row r="1668" spans="14:14" x14ac:dyDescent="0.3">
      <c r="N1668"/>
    </row>
    <row r="1669" spans="14:14" x14ac:dyDescent="0.3">
      <c r="N1669"/>
    </row>
    <row r="1670" spans="14:14" x14ac:dyDescent="0.3">
      <c r="N1670"/>
    </row>
    <row r="1671" spans="14:14" x14ac:dyDescent="0.3">
      <c r="N1671"/>
    </row>
    <row r="1672" spans="14:14" x14ac:dyDescent="0.3">
      <c r="N1672"/>
    </row>
    <row r="1673" spans="14:14" x14ac:dyDescent="0.3">
      <c r="N1673"/>
    </row>
    <row r="1674" spans="14:14" x14ac:dyDescent="0.3">
      <c r="N1674"/>
    </row>
    <row r="1675" spans="14:14" x14ac:dyDescent="0.3">
      <c r="N1675"/>
    </row>
    <row r="1676" spans="14:14" x14ac:dyDescent="0.3">
      <c r="N1676"/>
    </row>
    <row r="1677" spans="14:14" x14ac:dyDescent="0.3">
      <c r="N1677"/>
    </row>
    <row r="1678" spans="14:14" x14ac:dyDescent="0.3">
      <c r="N1678"/>
    </row>
    <row r="1679" spans="14:14" x14ac:dyDescent="0.3">
      <c r="N1679"/>
    </row>
    <row r="1680" spans="14:14" x14ac:dyDescent="0.3">
      <c r="N1680"/>
    </row>
    <row r="1681" spans="14:14" x14ac:dyDescent="0.3">
      <c r="N1681"/>
    </row>
    <row r="1682" spans="14:14" x14ac:dyDescent="0.3">
      <c r="N1682"/>
    </row>
    <row r="1683" spans="14:14" x14ac:dyDescent="0.3">
      <c r="N1683"/>
    </row>
    <row r="1684" spans="14:14" x14ac:dyDescent="0.3">
      <c r="N1684"/>
    </row>
    <row r="1685" spans="14:14" x14ac:dyDescent="0.3">
      <c r="N1685"/>
    </row>
    <row r="1686" spans="14:14" x14ac:dyDescent="0.3">
      <c r="N1686"/>
    </row>
    <row r="1687" spans="14:14" x14ac:dyDescent="0.3">
      <c r="N1687"/>
    </row>
    <row r="1688" spans="14:14" x14ac:dyDescent="0.3">
      <c r="N1688"/>
    </row>
    <row r="1689" spans="14:14" x14ac:dyDescent="0.3">
      <c r="N1689"/>
    </row>
    <row r="1690" spans="14:14" x14ac:dyDescent="0.3">
      <c r="N1690"/>
    </row>
    <row r="1691" spans="14:14" x14ac:dyDescent="0.3">
      <c r="N1691"/>
    </row>
    <row r="1692" spans="14:14" x14ac:dyDescent="0.3">
      <c r="N1692"/>
    </row>
    <row r="1693" spans="14:14" x14ac:dyDescent="0.3">
      <c r="N1693"/>
    </row>
    <row r="1694" spans="14:14" x14ac:dyDescent="0.3">
      <c r="N1694"/>
    </row>
    <row r="1695" spans="14:14" x14ac:dyDescent="0.3">
      <c r="N1695"/>
    </row>
    <row r="1696" spans="14:14" x14ac:dyDescent="0.3">
      <c r="N1696"/>
    </row>
    <row r="1697" spans="14:14" x14ac:dyDescent="0.3">
      <c r="N1697"/>
    </row>
    <row r="1698" spans="14:14" x14ac:dyDescent="0.3">
      <c r="N1698"/>
    </row>
    <row r="1699" spans="14:14" x14ac:dyDescent="0.3">
      <c r="N1699"/>
    </row>
    <row r="1700" spans="14:14" x14ac:dyDescent="0.3">
      <c r="N1700"/>
    </row>
    <row r="1701" spans="14:14" x14ac:dyDescent="0.3">
      <c r="N1701"/>
    </row>
    <row r="1702" spans="14:14" x14ac:dyDescent="0.3">
      <c r="N1702"/>
    </row>
    <row r="1703" spans="14:14" x14ac:dyDescent="0.3">
      <c r="N1703"/>
    </row>
    <row r="1704" spans="14:14" x14ac:dyDescent="0.3">
      <c r="N1704"/>
    </row>
    <row r="1705" spans="14:14" x14ac:dyDescent="0.3">
      <c r="N1705"/>
    </row>
    <row r="1706" spans="14:14" x14ac:dyDescent="0.3">
      <c r="N1706"/>
    </row>
    <row r="1707" spans="14:14" x14ac:dyDescent="0.3">
      <c r="N1707"/>
    </row>
    <row r="1708" spans="14:14" x14ac:dyDescent="0.3">
      <c r="N1708"/>
    </row>
    <row r="1709" spans="14:14" x14ac:dyDescent="0.3">
      <c r="N1709"/>
    </row>
    <row r="1710" spans="14:14" x14ac:dyDescent="0.3">
      <c r="N1710"/>
    </row>
    <row r="1711" spans="14:14" x14ac:dyDescent="0.3">
      <c r="N1711"/>
    </row>
    <row r="1712" spans="14:14" x14ac:dyDescent="0.3">
      <c r="N1712"/>
    </row>
    <row r="1713" spans="14:14" x14ac:dyDescent="0.3">
      <c r="N1713"/>
    </row>
    <row r="1714" spans="14:14" x14ac:dyDescent="0.3">
      <c r="N1714"/>
    </row>
    <row r="1715" spans="14:14" x14ac:dyDescent="0.3">
      <c r="N1715"/>
    </row>
    <row r="1716" spans="14:14" x14ac:dyDescent="0.3">
      <c r="N1716"/>
    </row>
    <row r="1717" spans="14:14" x14ac:dyDescent="0.3">
      <c r="N1717"/>
    </row>
    <row r="1718" spans="14:14" x14ac:dyDescent="0.3">
      <c r="N1718"/>
    </row>
    <row r="1719" spans="14:14" x14ac:dyDescent="0.3">
      <c r="N1719"/>
    </row>
    <row r="1720" spans="14:14" x14ac:dyDescent="0.3">
      <c r="N1720"/>
    </row>
    <row r="1721" spans="14:14" x14ac:dyDescent="0.3">
      <c r="N1721"/>
    </row>
    <row r="1722" spans="14:14" x14ac:dyDescent="0.3">
      <c r="N1722"/>
    </row>
    <row r="1723" spans="14:14" x14ac:dyDescent="0.3">
      <c r="N1723"/>
    </row>
    <row r="1724" spans="14:14" x14ac:dyDescent="0.3">
      <c r="N1724"/>
    </row>
    <row r="1725" spans="14:14" x14ac:dyDescent="0.3">
      <c r="N1725"/>
    </row>
    <row r="1726" spans="14:14" x14ac:dyDescent="0.3">
      <c r="N1726"/>
    </row>
    <row r="1727" spans="14:14" x14ac:dyDescent="0.3">
      <c r="N1727"/>
    </row>
    <row r="1728" spans="14:14" x14ac:dyDescent="0.3">
      <c r="N1728"/>
    </row>
    <row r="1729" spans="14:14" x14ac:dyDescent="0.3">
      <c r="N1729"/>
    </row>
    <row r="1730" spans="14:14" x14ac:dyDescent="0.3">
      <c r="N1730"/>
    </row>
    <row r="1731" spans="14:14" x14ac:dyDescent="0.3">
      <c r="N1731"/>
    </row>
    <row r="1732" spans="14:14" x14ac:dyDescent="0.3">
      <c r="N1732"/>
    </row>
    <row r="1733" spans="14:14" x14ac:dyDescent="0.3">
      <c r="N1733"/>
    </row>
    <row r="1734" spans="14:14" x14ac:dyDescent="0.3">
      <c r="N1734"/>
    </row>
    <row r="1735" spans="14:14" x14ac:dyDescent="0.3">
      <c r="N1735"/>
    </row>
    <row r="1736" spans="14:14" x14ac:dyDescent="0.3">
      <c r="N1736"/>
    </row>
    <row r="1737" spans="14:14" x14ac:dyDescent="0.3">
      <c r="N1737"/>
    </row>
    <row r="1738" spans="14:14" x14ac:dyDescent="0.3">
      <c r="N1738"/>
    </row>
    <row r="1739" spans="14:14" x14ac:dyDescent="0.3">
      <c r="N1739"/>
    </row>
    <row r="1740" spans="14:14" x14ac:dyDescent="0.3">
      <c r="N1740"/>
    </row>
    <row r="1741" spans="14:14" x14ac:dyDescent="0.3">
      <c r="N1741"/>
    </row>
    <row r="1742" spans="14:14" x14ac:dyDescent="0.3">
      <c r="N1742"/>
    </row>
    <row r="1743" spans="14:14" x14ac:dyDescent="0.3">
      <c r="N1743"/>
    </row>
    <row r="1744" spans="14:14" x14ac:dyDescent="0.3">
      <c r="N1744"/>
    </row>
    <row r="1745" spans="14:14" x14ac:dyDescent="0.3">
      <c r="N1745"/>
    </row>
    <row r="1746" spans="14:14" x14ac:dyDescent="0.3">
      <c r="N1746"/>
    </row>
    <row r="1747" spans="14:14" x14ac:dyDescent="0.3">
      <c r="N1747"/>
    </row>
    <row r="1748" spans="14:14" x14ac:dyDescent="0.3">
      <c r="N1748"/>
    </row>
    <row r="1749" spans="14:14" x14ac:dyDescent="0.3">
      <c r="N1749"/>
    </row>
    <row r="1750" spans="14:14" x14ac:dyDescent="0.3">
      <c r="N1750"/>
    </row>
    <row r="1751" spans="14:14" x14ac:dyDescent="0.3">
      <c r="N1751"/>
    </row>
    <row r="1752" spans="14:14" x14ac:dyDescent="0.3">
      <c r="N1752"/>
    </row>
    <row r="1753" spans="14:14" x14ac:dyDescent="0.3">
      <c r="N1753"/>
    </row>
    <row r="1754" spans="14:14" x14ac:dyDescent="0.3">
      <c r="N1754"/>
    </row>
    <row r="1755" spans="14:14" x14ac:dyDescent="0.3">
      <c r="N1755"/>
    </row>
    <row r="1756" spans="14:14" x14ac:dyDescent="0.3">
      <c r="N1756"/>
    </row>
    <row r="1757" spans="14:14" x14ac:dyDescent="0.3">
      <c r="N1757"/>
    </row>
    <row r="1758" spans="14:14" x14ac:dyDescent="0.3">
      <c r="N1758"/>
    </row>
    <row r="1759" spans="14:14" x14ac:dyDescent="0.3">
      <c r="N1759"/>
    </row>
    <row r="1760" spans="14:14" x14ac:dyDescent="0.3">
      <c r="N1760"/>
    </row>
    <row r="1761" spans="14:14" x14ac:dyDescent="0.3">
      <c r="N1761"/>
    </row>
    <row r="1762" spans="14:14" x14ac:dyDescent="0.3">
      <c r="N1762"/>
    </row>
    <row r="1763" spans="14:14" x14ac:dyDescent="0.3">
      <c r="N1763"/>
    </row>
    <row r="1764" spans="14:14" x14ac:dyDescent="0.3">
      <c r="N1764"/>
    </row>
    <row r="1765" spans="14:14" x14ac:dyDescent="0.3">
      <c r="N1765"/>
    </row>
    <row r="1766" spans="14:14" x14ac:dyDescent="0.3">
      <c r="N1766"/>
    </row>
    <row r="1767" spans="14:14" x14ac:dyDescent="0.3">
      <c r="N1767"/>
    </row>
    <row r="1768" spans="14:14" x14ac:dyDescent="0.3">
      <c r="N1768"/>
    </row>
    <row r="1769" spans="14:14" x14ac:dyDescent="0.3">
      <c r="N1769"/>
    </row>
    <row r="1770" spans="14:14" x14ac:dyDescent="0.3">
      <c r="N1770"/>
    </row>
    <row r="1771" spans="14:14" x14ac:dyDescent="0.3">
      <c r="N1771"/>
    </row>
    <row r="1772" spans="14:14" x14ac:dyDescent="0.3">
      <c r="N1772"/>
    </row>
    <row r="1773" spans="14:14" x14ac:dyDescent="0.3">
      <c r="N1773"/>
    </row>
    <row r="1774" spans="14:14" x14ac:dyDescent="0.3">
      <c r="N1774"/>
    </row>
    <row r="1775" spans="14:14" x14ac:dyDescent="0.3">
      <c r="N1775"/>
    </row>
    <row r="1776" spans="14:14" x14ac:dyDescent="0.3">
      <c r="N1776"/>
    </row>
    <row r="1777" spans="14:14" x14ac:dyDescent="0.3">
      <c r="N1777"/>
    </row>
    <row r="1778" spans="14:14" x14ac:dyDescent="0.3">
      <c r="N1778"/>
    </row>
    <row r="1779" spans="14:14" x14ac:dyDescent="0.3">
      <c r="N1779"/>
    </row>
    <row r="1780" spans="14:14" x14ac:dyDescent="0.3">
      <c r="N1780"/>
    </row>
    <row r="1781" spans="14:14" x14ac:dyDescent="0.3">
      <c r="N1781"/>
    </row>
    <row r="1782" spans="14:14" x14ac:dyDescent="0.3">
      <c r="N1782"/>
    </row>
    <row r="1783" spans="14:14" x14ac:dyDescent="0.3">
      <c r="N1783"/>
    </row>
    <row r="1784" spans="14:14" x14ac:dyDescent="0.3">
      <c r="N1784"/>
    </row>
    <row r="1785" spans="14:14" x14ac:dyDescent="0.3">
      <c r="N1785"/>
    </row>
    <row r="1786" spans="14:14" x14ac:dyDescent="0.3">
      <c r="N1786"/>
    </row>
    <row r="1787" spans="14:14" x14ac:dyDescent="0.3">
      <c r="N1787"/>
    </row>
    <row r="1788" spans="14:14" x14ac:dyDescent="0.3">
      <c r="N1788"/>
    </row>
    <row r="1789" spans="14:14" x14ac:dyDescent="0.3">
      <c r="N1789"/>
    </row>
    <row r="1790" spans="14:14" x14ac:dyDescent="0.3">
      <c r="N1790"/>
    </row>
    <row r="1791" spans="14:14" x14ac:dyDescent="0.3">
      <c r="N1791"/>
    </row>
    <row r="1792" spans="14:14" x14ac:dyDescent="0.3">
      <c r="N1792"/>
    </row>
    <row r="1793" spans="14:14" x14ac:dyDescent="0.3">
      <c r="N1793"/>
    </row>
    <row r="1794" spans="14:14" x14ac:dyDescent="0.3">
      <c r="N1794"/>
    </row>
    <row r="1795" spans="14:14" x14ac:dyDescent="0.3">
      <c r="N1795"/>
    </row>
    <row r="1796" spans="14:14" x14ac:dyDescent="0.3">
      <c r="N1796"/>
    </row>
    <row r="1797" spans="14:14" x14ac:dyDescent="0.3">
      <c r="N1797"/>
    </row>
    <row r="1798" spans="14:14" x14ac:dyDescent="0.3">
      <c r="N1798"/>
    </row>
    <row r="1799" spans="14:14" x14ac:dyDescent="0.3">
      <c r="N1799"/>
    </row>
    <row r="1800" spans="14:14" x14ac:dyDescent="0.3">
      <c r="N1800"/>
    </row>
    <row r="1801" spans="14:14" x14ac:dyDescent="0.3">
      <c r="N1801"/>
    </row>
    <row r="1802" spans="14:14" x14ac:dyDescent="0.3">
      <c r="N1802"/>
    </row>
    <row r="1803" spans="14:14" x14ac:dyDescent="0.3">
      <c r="N1803"/>
    </row>
    <row r="1804" spans="14:14" x14ac:dyDescent="0.3">
      <c r="N1804"/>
    </row>
    <row r="1805" spans="14:14" x14ac:dyDescent="0.3">
      <c r="N1805"/>
    </row>
    <row r="1806" spans="14:14" x14ac:dyDescent="0.3">
      <c r="N1806"/>
    </row>
    <row r="1807" spans="14:14" x14ac:dyDescent="0.3">
      <c r="N1807"/>
    </row>
    <row r="1808" spans="14:14" x14ac:dyDescent="0.3">
      <c r="N1808"/>
    </row>
    <row r="1809" spans="14:14" x14ac:dyDescent="0.3">
      <c r="N1809"/>
    </row>
    <row r="1810" spans="14:14" x14ac:dyDescent="0.3">
      <c r="N1810"/>
    </row>
    <row r="1811" spans="14:14" x14ac:dyDescent="0.3">
      <c r="N1811"/>
    </row>
    <row r="1812" spans="14:14" x14ac:dyDescent="0.3">
      <c r="N1812"/>
    </row>
    <row r="1813" spans="14:14" x14ac:dyDescent="0.3">
      <c r="N1813"/>
    </row>
    <row r="1814" spans="14:14" x14ac:dyDescent="0.3">
      <c r="N1814"/>
    </row>
    <row r="1815" spans="14:14" x14ac:dyDescent="0.3">
      <c r="N1815"/>
    </row>
    <row r="1816" spans="14:14" x14ac:dyDescent="0.3">
      <c r="N1816"/>
    </row>
    <row r="1817" spans="14:14" x14ac:dyDescent="0.3">
      <c r="N1817"/>
    </row>
    <row r="1818" spans="14:14" x14ac:dyDescent="0.3">
      <c r="N1818"/>
    </row>
    <row r="1819" spans="14:14" x14ac:dyDescent="0.3">
      <c r="N1819"/>
    </row>
    <row r="1820" spans="14:14" x14ac:dyDescent="0.3">
      <c r="N1820"/>
    </row>
    <row r="1821" spans="14:14" x14ac:dyDescent="0.3">
      <c r="N1821"/>
    </row>
    <row r="1822" spans="14:14" x14ac:dyDescent="0.3">
      <c r="N1822"/>
    </row>
    <row r="1823" spans="14:14" x14ac:dyDescent="0.3">
      <c r="N1823"/>
    </row>
    <row r="1824" spans="14:14" x14ac:dyDescent="0.3">
      <c r="N1824"/>
    </row>
    <row r="1825" spans="14:14" x14ac:dyDescent="0.3">
      <c r="N1825"/>
    </row>
    <row r="1826" spans="14:14" x14ac:dyDescent="0.3">
      <c r="N1826"/>
    </row>
    <row r="1827" spans="14:14" x14ac:dyDescent="0.3">
      <c r="N1827"/>
    </row>
    <row r="1828" spans="14:14" x14ac:dyDescent="0.3">
      <c r="N1828"/>
    </row>
    <row r="1829" spans="14:14" x14ac:dyDescent="0.3">
      <c r="N1829"/>
    </row>
    <row r="1830" spans="14:14" x14ac:dyDescent="0.3">
      <c r="N1830"/>
    </row>
    <row r="1831" spans="14:14" x14ac:dyDescent="0.3">
      <c r="N1831"/>
    </row>
    <row r="1832" spans="14:14" x14ac:dyDescent="0.3">
      <c r="N1832"/>
    </row>
    <row r="1833" spans="14:14" x14ac:dyDescent="0.3">
      <c r="N1833"/>
    </row>
    <row r="1834" spans="14:14" x14ac:dyDescent="0.3">
      <c r="N1834"/>
    </row>
    <row r="1835" spans="14:14" x14ac:dyDescent="0.3">
      <c r="N1835"/>
    </row>
    <row r="1836" spans="14:14" x14ac:dyDescent="0.3">
      <c r="N1836"/>
    </row>
    <row r="1837" spans="14:14" x14ac:dyDescent="0.3">
      <c r="N1837"/>
    </row>
    <row r="1838" spans="14:14" x14ac:dyDescent="0.3">
      <c r="N1838"/>
    </row>
    <row r="1839" spans="14:14" x14ac:dyDescent="0.3">
      <c r="N1839"/>
    </row>
    <row r="1840" spans="14:14" x14ac:dyDescent="0.3">
      <c r="N1840"/>
    </row>
    <row r="1841" spans="14:14" x14ac:dyDescent="0.3">
      <c r="N1841"/>
    </row>
    <row r="1842" spans="14:14" x14ac:dyDescent="0.3">
      <c r="N1842"/>
    </row>
    <row r="1843" spans="14:14" x14ac:dyDescent="0.3">
      <c r="N1843"/>
    </row>
    <row r="1844" spans="14:14" x14ac:dyDescent="0.3">
      <c r="N1844"/>
    </row>
    <row r="1845" spans="14:14" x14ac:dyDescent="0.3">
      <c r="N1845"/>
    </row>
    <row r="1846" spans="14:14" x14ac:dyDescent="0.3">
      <c r="N1846"/>
    </row>
    <row r="1847" spans="14:14" x14ac:dyDescent="0.3">
      <c r="N1847"/>
    </row>
    <row r="1848" spans="14:14" x14ac:dyDescent="0.3">
      <c r="N1848"/>
    </row>
    <row r="1849" spans="14:14" x14ac:dyDescent="0.3">
      <c r="N1849"/>
    </row>
    <row r="1850" spans="14:14" x14ac:dyDescent="0.3">
      <c r="N1850"/>
    </row>
    <row r="1851" spans="14:14" x14ac:dyDescent="0.3">
      <c r="N1851"/>
    </row>
    <row r="1852" spans="14:14" x14ac:dyDescent="0.3">
      <c r="N1852"/>
    </row>
    <row r="1853" spans="14:14" x14ac:dyDescent="0.3">
      <c r="N1853"/>
    </row>
    <row r="1854" spans="14:14" x14ac:dyDescent="0.3">
      <c r="N1854"/>
    </row>
    <row r="1855" spans="14:14" x14ac:dyDescent="0.3">
      <c r="N1855"/>
    </row>
    <row r="1856" spans="14:14" x14ac:dyDescent="0.3">
      <c r="N1856"/>
    </row>
    <row r="1857" spans="14:14" x14ac:dyDescent="0.3">
      <c r="N1857"/>
    </row>
    <row r="1858" spans="14:14" x14ac:dyDescent="0.3">
      <c r="N1858"/>
    </row>
    <row r="1859" spans="14:14" x14ac:dyDescent="0.3">
      <c r="N1859"/>
    </row>
    <row r="1860" spans="14:14" x14ac:dyDescent="0.3">
      <c r="N1860"/>
    </row>
    <row r="1861" spans="14:14" x14ac:dyDescent="0.3">
      <c r="N1861"/>
    </row>
    <row r="1862" spans="14:14" x14ac:dyDescent="0.3">
      <c r="N1862"/>
    </row>
    <row r="1863" spans="14:14" x14ac:dyDescent="0.3">
      <c r="N1863"/>
    </row>
    <row r="1864" spans="14:14" x14ac:dyDescent="0.3">
      <c r="N1864"/>
    </row>
    <row r="1865" spans="14:14" x14ac:dyDescent="0.3">
      <c r="N1865"/>
    </row>
    <row r="1866" spans="14:14" x14ac:dyDescent="0.3">
      <c r="N1866"/>
    </row>
    <row r="1867" spans="14:14" x14ac:dyDescent="0.3">
      <c r="N1867"/>
    </row>
    <row r="1868" spans="14:14" x14ac:dyDescent="0.3">
      <c r="N1868"/>
    </row>
    <row r="1869" spans="14:14" x14ac:dyDescent="0.3">
      <c r="N1869"/>
    </row>
    <row r="1870" spans="14:14" x14ac:dyDescent="0.3">
      <c r="N1870"/>
    </row>
    <row r="1871" spans="14:14" x14ac:dyDescent="0.3">
      <c r="N1871"/>
    </row>
    <row r="1872" spans="14:14" x14ac:dyDescent="0.3">
      <c r="N1872"/>
    </row>
    <row r="1873" spans="14:14" x14ac:dyDescent="0.3">
      <c r="N1873"/>
    </row>
    <row r="1874" spans="14:14" x14ac:dyDescent="0.3">
      <c r="N1874"/>
    </row>
    <row r="1875" spans="14:14" x14ac:dyDescent="0.3">
      <c r="N1875"/>
    </row>
    <row r="1876" spans="14:14" x14ac:dyDescent="0.3">
      <c r="N1876"/>
    </row>
    <row r="1877" spans="14:14" x14ac:dyDescent="0.3">
      <c r="N1877"/>
    </row>
    <row r="1878" spans="14:14" x14ac:dyDescent="0.3">
      <c r="N1878"/>
    </row>
    <row r="1879" spans="14:14" x14ac:dyDescent="0.3">
      <c r="N1879"/>
    </row>
    <row r="1880" spans="14:14" x14ac:dyDescent="0.3">
      <c r="N1880"/>
    </row>
    <row r="1881" spans="14:14" x14ac:dyDescent="0.3">
      <c r="N1881"/>
    </row>
    <row r="1882" spans="14:14" x14ac:dyDescent="0.3">
      <c r="N1882"/>
    </row>
    <row r="1883" spans="14:14" x14ac:dyDescent="0.3">
      <c r="N1883"/>
    </row>
    <row r="1884" spans="14:14" x14ac:dyDescent="0.3">
      <c r="N1884"/>
    </row>
    <row r="1885" spans="14:14" x14ac:dyDescent="0.3">
      <c r="N1885"/>
    </row>
    <row r="1886" spans="14:14" x14ac:dyDescent="0.3">
      <c r="N1886"/>
    </row>
    <row r="1887" spans="14:14" x14ac:dyDescent="0.3">
      <c r="N1887"/>
    </row>
    <row r="1888" spans="14:14" x14ac:dyDescent="0.3">
      <c r="N1888"/>
    </row>
    <row r="1889" spans="14:14" x14ac:dyDescent="0.3">
      <c r="N1889"/>
    </row>
    <row r="1890" spans="14:14" x14ac:dyDescent="0.3">
      <c r="N1890"/>
    </row>
    <row r="1891" spans="14:14" x14ac:dyDescent="0.3">
      <c r="N1891"/>
    </row>
    <row r="1892" spans="14:14" x14ac:dyDescent="0.3">
      <c r="N1892"/>
    </row>
    <row r="1893" spans="14:14" x14ac:dyDescent="0.3">
      <c r="N1893"/>
    </row>
    <row r="1894" spans="14:14" x14ac:dyDescent="0.3">
      <c r="N1894"/>
    </row>
    <row r="1895" spans="14:14" x14ac:dyDescent="0.3">
      <c r="N1895"/>
    </row>
    <row r="1896" spans="14:14" x14ac:dyDescent="0.3">
      <c r="N1896"/>
    </row>
    <row r="1897" spans="14:14" x14ac:dyDescent="0.3">
      <c r="N1897"/>
    </row>
    <row r="1898" spans="14:14" x14ac:dyDescent="0.3">
      <c r="N1898"/>
    </row>
    <row r="1899" spans="14:14" x14ac:dyDescent="0.3">
      <c r="N1899"/>
    </row>
    <row r="1900" spans="14:14" x14ac:dyDescent="0.3">
      <c r="N1900"/>
    </row>
    <row r="1901" spans="14:14" x14ac:dyDescent="0.3">
      <c r="N1901"/>
    </row>
    <row r="1902" spans="14:14" x14ac:dyDescent="0.3">
      <c r="N1902"/>
    </row>
    <row r="1903" spans="14:14" x14ac:dyDescent="0.3">
      <c r="N1903"/>
    </row>
    <row r="1904" spans="14:14" x14ac:dyDescent="0.3">
      <c r="N1904"/>
    </row>
    <row r="1905" spans="14:14" x14ac:dyDescent="0.3">
      <c r="N1905"/>
    </row>
    <row r="1906" spans="14:14" x14ac:dyDescent="0.3">
      <c r="N1906"/>
    </row>
    <row r="1907" spans="14:14" x14ac:dyDescent="0.3">
      <c r="N1907"/>
    </row>
    <row r="1908" spans="14:14" x14ac:dyDescent="0.3">
      <c r="N1908"/>
    </row>
    <row r="1909" spans="14:14" x14ac:dyDescent="0.3">
      <c r="N1909"/>
    </row>
    <row r="1910" spans="14:14" x14ac:dyDescent="0.3">
      <c r="N1910"/>
    </row>
    <row r="1911" spans="14:14" x14ac:dyDescent="0.3">
      <c r="N1911"/>
    </row>
    <row r="1912" spans="14:14" x14ac:dyDescent="0.3">
      <c r="N1912"/>
    </row>
    <row r="1913" spans="14:14" x14ac:dyDescent="0.3">
      <c r="N1913"/>
    </row>
    <row r="1914" spans="14:14" x14ac:dyDescent="0.3">
      <c r="N1914"/>
    </row>
    <row r="1915" spans="14:14" x14ac:dyDescent="0.3">
      <c r="N1915"/>
    </row>
    <row r="1916" spans="14:14" x14ac:dyDescent="0.3">
      <c r="N1916"/>
    </row>
    <row r="1917" spans="14:14" x14ac:dyDescent="0.3">
      <c r="N1917"/>
    </row>
    <row r="1918" spans="14:14" x14ac:dyDescent="0.3">
      <c r="N1918"/>
    </row>
    <row r="1919" spans="14:14" x14ac:dyDescent="0.3">
      <c r="N1919"/>
    </row>
    <row r="1920" spans="14:14" x14ac:dyDescent="0.3">
      <c r="N1920"/>
    </row>
    <row r="1921" spans="14:14" x14ac:dyDescent="0.3">
      <c r="N1921"/>
    </row>
    <row r="1922" spans="14:14" x14ac:dyDescent="0.3">
      <c r="N1922"/>
    </row>
    <row r="1923" spans="14:14" x14ac:dyDescent="0.3">
      <c r="N1923"/>
    </row>
    <row r="1924" spans="14:14" x14ac:dyDescent="0.3">
      <c r="N1924"/>
    </row>
    <row r="1925" spans="14:14" x14ac:dyDescent="0.3">
      <c r="N1925"/>
    </row>
    <row r="1926" spans="14:14" x14ac:dyDescent="0.3">
      <c r="N1926"/>
    </row>
    <row r="1927" spans="14:14" x14ac:dyDescent="0.3">
      <c r="N1927"/>
    </row>
    <row r="1928" spans="14:14" x14ac:dyDescent="0.3">
      <c r="N1928"/>
    </row>
    <row r="1929" spans="14:14" x14ac:dyDescent="0.3">
      <c r="N1929"/>
    </row>
    <row r="1930" spans="14:14" x14ac:dyDescent="0.3">
      <c r="N1930"/>
    </row>
    <row r="1931" spans="14:14" x14ac:dyDescent="0.3">
      <c r="N1931"/>
    </row>
    <row r="1932" spans="14:14" x14ac:dyDescent="0.3">
      <c r="N1932"/>
    </row>
    <row r="1933" spans="14:14" x14ac:dyDescent="0.3">
      <c r="N1933"/>
    </row>
    <row r="1934" spans="14:14" x14ac:dyDescent="0.3">
      <c r="N1934"/>
    </row>
    <row r="1935" spans="14:14" x14ac:dyDescent="0.3">
      <c r="N1935"/>
    </row>
    <row r="1936" spans="14:14" x14ac:dyDescent="0.3">
      <c r="N1936"/>
    </row>
    <row r="1937" spans="14:14" x14ac:dyDescent="0.3">
      <c r="N1937"/>
    </row>
    <row r="1938" spans="14:14" x14ac:dyDescent="0.3">
      <c r="N1938"/>
    </row>
    <row r="1939" spans="14:14" x14ac:dyDescent="0.3">
      <c r="N1939"/>
    </row>
    <row r="1940" spans="14:14" x14ac:dyDescent="0.3">
      <c r="N1940"/>
    </row>
    <row r="1941" spans="14:14" x14ac:dyDescent="0.3">
      <c r="N1941"/>
    </row>
    <row r="1942" spans="14:14" x14ac:dyDescent="0.3">
      <c r="N1942"/>
    </row>
    <row r="1943" spans="14:14" x14ac:dyDescent="0.3">
      <c r="N1943"/>
    </row>
    <row r="1944" spans="14:14" x14ac:dyDescent="0.3">
      <c r="N1944"/>
    </row>
    <row r="1945" spans="14:14" x14ac:dyDescent="0.3">
      <c r="N1945"/>
    </row>
    <row r="1946" spans="14:14" x14ac:dyDescent="0.3">
      <c r="N1946"/>
    </row>
    <row r="1947" spans="14:14" x14ac:dyDescent="0.3">
      <c r="N1947"/>
    </row>
    <row r="1948" spans="14:14" x14ac:dyDescent="0.3">
      <c r="N1948"/>
    </row>
    <row r="1949" spans="14:14" x14ac:dyDescent="0.3">
      <c r="N1949"/>
    </row>
    <row r="1950" spans="14:14" x14ac:dyDescent="0.3">
      <c r="N1950"/>
    </row>
    <row r="1951" spans="14:14" x14ac:dyDescent="0.3">
      <c r="N1951"/>
    </row>
    <row r="1952" spans="14:14" x14ac:dyDescent="0.3">
      <c r="N1952"/>
    </row>
    <row r="1953" spans="14:14" x14ac:dyDescent="0.3">
      <c r="N1953"/>
    </row>
    <row r="1954" spans="14:14" x14ac:dyDescent="0.3">
      <c r="N1954"/>
    </row>
    <row r="1955" spans="14:14" x14ac:dyDescent="0.3">
      <c r="N1955"/>
    </row>
    <row r="1956" spans="14:14" x14ac:dyDescent="0.3">
      <c r="N1956"/>
    </row>
    <row r="1957" spans="14:14" x14ac:dyDescent="0.3">
      <c r="N1957"/>
    </row>
    <row r="1958" spans="14:14" x14ac:dyDescent="0.3">
      <c r="N1958"/>
    </row>
    <row r="1959" spans="14:14" x14ac:dyDescent="0.3">
      <c r="N1959"/>
    </row>
    <row r="1960" spans="14:14" x14ac:dyDescent="0.3">
      <c r="N1960"/>
    </row>
    <row r="1961" spans="14:14" x14ac:dyDescent="0.3">
      <c r="N1961"/>
    </row>
    <row r="1962" spans="14:14" x14ac:dyDescent="0.3">
      <c r="N1962"/>
    </row>
    <row r="1963" spans="14:14" x14ac:dyDescent="0.3">
      <c r="N1963"/>
    </row>
    <row r="1964" spans="14:14" x14ac:dyDescent="0.3">
      <c r="N1964"/>
    </row>
    <row r="1965" spans="14:14" x14ac:dyDescent="0.3">
      <c r="N1965"/>
    </row>
    <row r="1966" spans="14:14" x14ac:dyDescent="0.3">
      <c r="N1966"/>
    </row>
    <row r="1967" spans="14:14" x14ac:dyDescent="0.3">
      <c r="N1967"/>
    </row>
    <row r="1968" spans="14:14" x14ac:dyDescent="0.3">
      <c r="N1968"/>
    </row>
    <row r="1969" spans="14:14" x14ac:dyDescent="0.3">
      <c r="N1969"/>
    </row>
    <row r="1970" spans="14:14" x14ac:dyDescent="0.3">
      <c r="N1970"/>
    </row>
    <row r="1971" spans="14:14" x14ac:dyDescent="0.3">
      <c r="N1971"/>
    </row>
    <row r="1972" spans="14:14" x14ac:dyDescent="0.3">
      <c r="N1972"/>
    </row>
    <row r="1973" spans="14:14" x14ac:dyDescent="0.3">
      <c r="N1973"/>
    </row>
    <row r="1974" spans="14:14" x14ac:dyDescent="0.3">
      <c r="N1974"/>
    </row>
    <row r="1975" spans="14:14" x14ac:dyDescent="0.3">
      <c r="N1975"/>
    </row>
    <row r="1976" spans="14:14" x14ac:dyDescent="0.3">
      <c r="N1976"/>
    </row>
    <row r="1977" spans="14:14" x14ac:dyDescent="0.3">
      <c r="N1977"/>
    </row>
    <row r="1978" spans="14:14" x14ac:dyDescent="0.3">
      <c r="N1978"/>
    </row>
    <row r="1979" spans="14:14" x14ac:dyDescent="0.3">
      <c r="N1979"/>
    </row>
    <row r="1980" spans="14:14" x14ac:dyDescent="0.3">
      <c r="N1980"/>
    </row>
    <row r="1981" spans="14:14" x14ac:dyDescent="0.3">
      <c r="N1981"/>
    </row>
    <row r="1982" spans="14:14" x14ac:dyDescent="0.3">
      <c r="N1982"/>
    </row>
    <row r="1983" spans="14:14" x14ac:dyDescent="0.3">
      <c r="N1983"/>
    </row>
    <row r="1984" spans="14:14" x14ac:dyDescent="0.3">
      <c r="N1984"/>
    </row>
    <row r="1985" spans="14:14" x14ac:dyDescent="0.3">
      <c r="N1985"/>
    </row>
    <row r="1986" spans="14:14" x14ac:dyDescent="0.3">
      <c r="N1986"/>
    </row>
    <row r="1987" spans="14:14" x14ac:dyDescent="0.3">
      <c r="N1987"/>
    </row>
    <row r="1988" spans="14:14" x14ac:dyDescent="0.3">
      <c r="N1988"/>
    </row>
    <row r="1989" spans="14:14" x14ac:dyDescent="0.3">
      <c r="N1989"/>
    </row>
    <row r="1990" spans="14:14" x14ac:dyDescent="0.3">
      <c r="N1990"/>
    </row>
    <row r="1991" spans="14:14" x14ac:dyDescent="0.3">
      <c r="N1991"/>
    </row>
    <row r="1992" spans="14:14" x14ac:dyDescent="0.3">
      <c r="N1992"/>
    </row>
    <row r="1993" spans="14:14" x14ac:dyDescent="0.3">
      <c r="N1993"/>
    </row>
    <row r="1994" spans="14:14" x14ac:dyDescent="0.3">
      <c r="N1994"/>
    </row>
    <row r="1995" spans="14:14" x14ac:dyDescent="0.3">
      <c r="N1995"/>
    </row>
    <row r="1996" spans="14:14" x14ac:dyDescent="0.3">
      <c r="N1996"/>
    </row>
    <row r="1997" spans="14:14" x14ac:dyDescent="0.3">
      <c r="N1997"/>
    </row>
    <row r="1998" spans="14:14" x14ac:dyDescent="0.3">
      <c r="N1998"/>
    </row>
    <row r="1999" spans="14:14" x14ac:dyDescent="0.3">
      <c r="N1999"/>
    </row>
    <row r="2000" spans="14:14" x14ac:dyDescent="0.3">
      <c r="N2000"/>
    </row>
    <row r="2001" spans="14:14" x14ac:dyDescent="0.3">
      <c r="N2001"/>
    </row>
    <row r="2002" spans="14:14" x14ac:dyDescent="0.3">
      <c r="N2002"/>
    </row>
    <row r="2003" spans="14:14" x14ac:dyDescent="0.3">
      <c r="N2003"/>
    </row>
    <row r="2004" spans="14:14" x14ac:dyDescent="0.3">
      <c r="N2004"/>
    </row>
    <row r="2005" spans="14:14" x14ac:dyDescent="0.3">
      <c r="N2005"/>
    </row>
    <row r="2006" spans="14:14" x14ac:dyDescent="0.3">
      <c r="N2006"/>
    </row>
    <row r="2007" spans="14:14" x14ac:dyDescent="0.3">
      <c r="N2007"/>
    </row>
    <row r="2008" spans="14:14" x14ac:dyDescent="0.3">
      <c r="N2008"/>
    </row>
    <row r="2009" spans="14:14" x14ac:dyDescent="0.3">
      <c r="N2009"/>
    </row>
    <row r="2010" spans="14:14" x14ac:dyDescent="0.3">
      <c r="N2010"/>
    </row>
    <row r="2011" spans="14:14" x14ac:dyDescent="0.3">
      <c r="N2011"/>
    </row>
    <row r="2012" spans="14:14" x14ac:dyDescent="0.3">
      <c r="N2012"/>
    </row>
    <row r="2013" spans="14:14" x14ac:dyDescent="0.3">
      <c r="N2013"/>
    </row>
    <row r="2014" spans="14:14" x14ac:dyDescent="0.3">
      <c r="N2014"/>
    </row>
    <row r="2015" spans="14:14" x14ac:dyDescent="0.3">
      <c r="N2015"/>
    </row>
    <row r="2016" spans="14:14" x14ac:dyDescent="0.3">
      <c r="N2016"/>
    </row>
    <row r="2017" spans="14:14" x14ac:dyDescent="0.3">
      <c r="N2017"/>
    </row>
    <row r="2018" spans="14:14" x14ac:dyDescent="0.3">
      <c r="N2018"/>
    </row>
    <row r="2019" spans="14:14" x14ac:dyDescent="0.3">
      <c r="N2019"/>
    </row>
    <row r="2020" spans="14:14" x14ac:dyDescent="0.3">
      <c r="N2020"/>
    </row>
    <row r="2021" spans="14:14" x14ac:dyDescent="0.3">
      <c r="N2021"/>
    </row>
    <row r="2022" spans="14:14" x14ac:dyDescent="0.3">
      <c r="N2022"/>
    </row>
    <row r="2023" spans="14:14" x14ac:dyDescent="0.3">
      <c r="N2023"/>
    </row>
    <row r="2024" spans="14:14" x14ac:dyDescent="0.3">
      <c r="N2024"/>
    </row>
    <row r="2025" spans="14:14" x14ac:dyDescent="0.3">
      <c r="N2025"/>
    </row>
    <row r="2026" spans="14:14" x14ac:dyDescent="0.3">
      <c r="N2026"/>
    </row>
    <row r="2027" spans="14:14" x14ac:dyDescent="0.3">
      <c r="N2027"/>
    </row>
    <row r="2028" spans="14:14" x14ac:dyDescent="0.3">
      <c r="N2028"/>
    </row>
    <row r="2029" spans="14:14" x14ac:dyDescent="0.3">
      <c r="N2029"/>
    </row>
    <row r="2030" spans="14:14" x14ac:dyDescent="0.3">
      <c r="N2030"/>
    </row>
    <row r="2031" spans="14:14" x14ac:dyDescent="0.3">
      <c r="N2031"/>
    </row>
    <row r="2032" spans="14:14" x14ac:dyDescent="0.3">
      <c r="N2032"/>
    </row>
    <row r="2033" spans="14:14" x14ac:dyDescent="0.3">
      <c r="N2033"/>
    </row>
    <row r="2034" spans="14:14" x14ac:dyDescent="0.3">
      <c r="N2034"/>
    </row>
    <row r="2035" spans="14:14" x14ac:dyDescent="0.3">
      <c r="N2035"/>
    </row>
    <row r="2036" spans="14:14" x14ac:dyDescent="0.3">
      <c r="N2036"/>
    </row>
    <row r="2037" spans="14:14" x14ac:dyDescent="0.3">
      <c r="N2037"/>
    </row>
    <row r="2038" spans="14:14" x14ac:dyDescent="0.3">
      <c r="N2038"/>
    </row>
    <row r="2039" spans="14:14" x14ac:dyDescent="0.3">
      <c r="N2039"/>
    </row>
    <row r="2040" spans="14:14" x14ac:dyDescent="0.3">
      <c r="N2040"/>
    </row>
    <row r="2041" spans="14:14" x14ac:dyDescent="0.3">
      <c r="N2041"/>
    </row>
    <row r="2042" spans="14:14" x14ac:dyDescent="0.3">
      <c r="N2042"/>
    </row>
    <row r="2043" spans="14:14" x14ac:dyDescent="0.3">
      <c r="N2043"/>
    </row>
    <row r="2044" spans="14:14" x14ac:dyDescent="0.3">
      <c r="N2044"/>
    </row>
    <row r="2045" spans="14:14" x14ac:dyDescent="0.3">
      <c r="N2045"/>
    </row>
    <row r="2046" spans="14:14" x14ac:dyDescent="0.3">
      <c r="N2046"/>
    </row>
    <row r="2047" spans="14:14" x14ac:dyDescent="0.3">
      <c r="N2047"/>
    </row>
    <row r="2048" spans="14:14" x14ac:dyDescent="0.3">
      <c r="N2048"/>
    </row>
    <row r="2049" spans="14:14" x14ac:dyDescent="0.3">
      <c r="N2049"/>
    </row>
    <row r="2050" spans="14:14" x14ac:dyDescent="0.3">
      <c r="N2050"/>
    </row>
    <row r="2051" spans="14:14" x14ac:dyDescent="0.3">
      <c r="N2051"/>
    </row>
    <row r="2052" spans="14:14" x14ac:dyDescent="0.3">
      <c r="N2052"/>
    </row>
    <row r="2053" spans="14:14" x14ac:dyDescent="0.3">
      <c r="N2053"/>
    </row>
    <row r="2054" spans="14:14" x14ac:dyDescent="0.3">
      <c r="N2054"/>
    </row>
    <row r="2055" spans="14:14" x14ac:dyDescent="0.3">
      <c r="N2055"/>
    </row>
    <row r="2056" spans="14:14" x14ac:dyDescent="0.3">
      <c r="N2056"/>
    </row>
    <row r="2057" spans="14:14" x14ac:dyDescent="0.3">
      <c r="N2057"/>
    </row>
    <row r="2058" spans="14:14" x14ac:dyDescent="0.3">
      <c r="N2058"/>
    </row>
    <row r="2059" spans="14:14" x14ac:dyDescent="0.3">
      <c r="N2059"/>
    </row>
    <row r="2060" spans="14:14" x14ac:dyDescent="0.3">
      <c r="N2060"/>
    </row>
    <row r="2061" spans="14:14" x14ac:dyDescent="0.3">
      <c r="N2061"/>
    </row>
    <row r="2062" spans="14:14" x14ac:dyDescent="0.3">
      <c r="N2062"/>
    </row>
    <row r="2063" spans="14:14" x14ac:dyDescent="0.3">
      <c r="N2063"/>
    </row>
    <row r="2064" spans="14:14" x14ac:dyDescent="0.3">
      <c r="N2064"/>
    </row>
    <row r="2065" spans="14:14" x14ac:dyDescent="0.3">
      <c r="N2065"/>
    </row>
    <row r="2066" spans="14:14" x14ac:dyDescent="0.3">
      <c r="N2066"/>
    </row>
    <row r="2067" spans="14:14" x14ac:dyDescent="0.3">
      <c r="N2067"/>
    </row>
    <row r="2068" spans="14:14" x14ac:dyDescent="0.3">
      <c r="N2068"/>
    </row>
    <row r="2069" spans="14:14" x14ac:dyDescent="0.3">
      <c r="N2069"/>
    </row>
    <row r="2070" spans="14:14" x14ac:dyDescent="0.3">
      <c r="N2070"/>
    </row>
    <row r="2071" spans="14:14" x14ac:dyDescent="0.3">
      <c r="N2071"/>
    </row>
    <row r="2072" spans="14:14" x14ac:dyDescent="0.3">
      <c r="N2072"/>
    </row>
    <row r="2073" spans="14:14" x14ac:dyDescent="0.3">
      <c r="N2073"/>
    </row>
    <row r="2074" spans="14:14" x14ac:dyDescent="0.3">
      <c r="N2074"/>
    </row>
    <row r="2075" spans="14:14" x14ac:dyDescent="0.3">
      <c r="N2075"/>
    </row>
    <row r="2076" spans="14:14" x14ac:dyDescent="0.3">
      <c r="N2076"/>
    </row>
    <row r="2077" spans="14:14" x14ac:dyDescent="0.3">
      <c r="N2077"/>
    </row>
    <row r="2078" spans="14:14" x14ac:dyDescent="0.3">
      <c r="N2078"/>
    </row>
    <row r="2079" spans="14:14" x14ac:dyDescent="0.3">
      <c r="N2079"/>
    </row>
    <row r="2080" spans="14:14" x14ac:dyDescent="0.3">
      <c r="N2080"/>
    </row>
    <row r="2081" spans="14:14" x14ac:dyDescent="0.3">
      <c r="N2081"/>
    </row>
    <row r="2082" spans="14:14" x14ac:dyDescent="0.3">
      <c r="N2082"/>
    </row>
    <row r="2083" spans="14:14" x14ac:dyDescent="0.3">
      <c r="N2083"/>
    </row>
    <row r="2084" spans="14:14" x14ac:dyDescent="0.3">
      <c r="N2084"/>
    </row>
    <row r="2085" spans="14:14" x14ac:dyDescent="0.3">
      <c r="N2085"/>
    </row>
    <row r="2086" spans="14:14" x14ac:dyDescent="0.3">
      <c r="N2086"/>
    </row>
    <row r="2087" spans="14:14" x14ac:dyDescent="0.3">
      <c r="N2087"/>
    </row>
    <row r="2088" spans="14:14" x14ac:dyDescent="0.3">
      <c r="N2088"/>
    </row>
    <row r="2089" spans="14:14" x14ac:dyDescent="0.3">
      <c r="N2089"/>
    </row>
    <row r="2090" spans="14:14" x14ac:dyDescent="0.3">
      <c r="N2090"/>
    </row>
    <row r="2091" spans="14:14" x14ac:dyDescent="0.3">
      <c r="N2091"/>
    </row>
    <row r="2092" spans="14:14" x14ac:dyDescent="0.3">
      <c r="N2092"/>
    </row>
    <row r="2093" spans="14:14" x14ac:dyDescent="0.3">
      <c r="N2093"/>
    </row>
    <row r="2094" spans="14:14" x14ac:dyDescent="0.3">
      <c r="N2094"/>
    </row>
    <row r="2095" spans="14:14" x14ac:dyDescent="0.3">
      <c r="N2095"/>
    </row>
    <row r="2096" spans="14:14" x14ac:dyDescent="0.3">
      <c r="N2096"/>
    </row>
    <row r="2097" spans="14:14" x14ac:dyDescent="0.3">
      <c r="N2097"/>
    </row>
    <row r="2098" spans="14:14" x14ac:dyDescent="0.3">
      <c r="N2098"/>
    </row>
    <row r="2099" spans="14:14" x14ac:dyDescent="0.3">
      <c r="N2099"/>
    </row>
    <row r="2100" spans="14:14" x14ac:dyDescent="0.3">
      <c r="N2100"/>
    </row>
    <row r="2101" spans="14:14" x14ac:dyDescent="0.3">
      <c r="N2101"/>
    </row>
    <row r="2102" spans="14:14" x14ac:dyDescent="0.3">
      <c r="N2102"/>
    </row>
    <row r="2103" spans="14:14" x14ac:dyDescent="0.3">
      <c r="N2103"/>
    </row>
    <row r="2104" spans="14:14" x14ac:dyDescent="0.3">
      <c r="N2104"/>
    </row>
    <row r="2105" spans="14:14" x14ac:dyDescent="0.3">
      <c r="N2105"/>
    </row>
    <row r="2106" spans="14:14" x14ac:dyDescent="0.3">
      <c r="N2106"/>
    </row>
    <row r="2107" spans="14:14" x14ac:dyDescent="0.3">
      <c r="N2107"/>
    </row>
    <row r="2108" spans="14:14" x14ac:dyDescent="0.3">
      <c r="N2108"/>
    </row>
    <row r="2109" spans="14:14" x14ac:dyDescent="0.3">
      <c r="N2109"/>
    </row>
    <row r="2110" spans="14:14" x14ac:dyDescent="0.3">
      <c r="N2110"/>
    </row>
    <row r="2111" spans="14:14" x14ac:dyDescent="0.3">
      <c r="N2111"/>
    </row>
    <row r="2112" spans="14:14" x14ac:dyDescent="0.3">
      <c r="N2112"/>
    </row>
    <row r="2113" spans="14:14" x14ac:dyDescent="0.3">
      <c r="N2113"/>
    </row>
    <row r="2114" spans="14:14" x14ac:dyDescent="0.3">
      <c r="N2114"/>
    </row>
    <row r="2115" spans="14:14" x14ac:dyDescent="0.3">
      <c r="N2115"/>
    </row>
    <row r="2116" spans="14:14" x14ac:dyDescent="0.3">
      <c r="N2116"/>
    </row>
    <row r="2117" spans="14:14" x14ac:dyDescent="0.3">
      <c r="N2117"/>
    </row>
    <row r="2118" spans="14:14" x14ac:dyDescent="0.3">
      <c r="N2118"/>
    </row>
    <row r="2119" spans="14:14" x14ac:dyDescent="0.3">
      <c r="N2119"/>
    </row>
    <row r="2120" spans="14:14" x14ac:dyDescent="0.3">
      <c r="N2120"/>
    </row>
    <row r="2121" spans="14:14" x14ac:dyDescent="0.3">
      <c r="N2121"/>
    </row>
    <row r="2122" spans="14:14" x14ac:dyDescent="0.3">
      <c r="N2122"/>
    </row>
    <row r="2123" spans="14:14" x14ac:dyDescent="0.3">
      <c r="N2123"/>
    </row>
    <row r="2124" spans="14:14" x14ac:dyDescent="0.3">
      <c r="N2124"/>
    </row>
    <row r="2125" spans="14:14" x14ac:dyDescent="0.3">
      <c r="N2125"/>
    </row>
    <row r="2126" spans="14:14" x14ac:dyDescent="0.3">
      <c r="N2126"/>
    </row>
    <row r="2127" spans="14:14" x14ac:dyDescent="0.3">
      <c r="N2127"/>
    </row>
    <row r="2128" spans="14:14" x14ac:dyDescent="0.3">
      <c r="N2128"/>
    </row>
    <row r="2129" spans="14:14" x14ac:dyDescent="0.3">
      <c r="N2129"/>
    </row>
    <row r="2130" spans="14:14" x14ac:dyDescent="0.3">
      <c r="N2130"/>
    </row>
    <row r="2131" spans="14:14" x14ac:dyDescent="0.3">
      <c r="N2131"/>
    </row>
    <row r="2132" spans="14:14" x14ac:dyDescent="0.3">
      <c r="N2132"/>
    </row>
    <row r="2133" spans="14:14" x14ac:dyDescent="0.3">
      <c r="N2133"/>
    </row>
    <row r="2134" spans="14:14" x14ac:dyDescent="0.3">
      <c r="N2134"/>
    </row>
    <row r="2135" spans="14:14" x14ac:dyDescent="0.3">
      <c r="N2135"/>
    </row>
    <row r="2136" spans="14:14" x14ac:dyDescent="0.3">
      <c r="N2136"/>
    </row>
    <row r="2137" spans="14:14" x14ac:dyDescent="0.3">
      <c r="N2137"/>
    </row>
    <row r="2138" spans="14:14" x14ac:dyDescent="0.3">
      <c r="N2138"/>
    </row>
    <row r="2139" spans="14:14" x14ac:dyDescent="0.3">
      <c r="N2139"/>
    </row>
    <row r="2140" spans="14:14" x14ac:dyDescent="0.3">
      <c r="N2140"/>
    </row>
    <row r="2141" spans="14:14" x14ac:dyDescent="0.3">
      <c r="N2141"/>
    </row>
    <row r="2142" spans="14:14" x14ac:dyDescent="0.3">
      <c r="N2142"/>
    </row>
    <row r="2143" spans="14:14" x14ac:dyDescent="0.3">
      <c r="N2143"/>
    </row>
    <row r="2144" spans="14:14" x14ac:dyDescent="0.3">
      <c r="N2144"/>
    </row>
    <row r="2145" spans="14:14" x14ac:dyDescent="0.3">
      <c r="N2145"/>
    </row>
    <row r="2146" spans="14:14" x14ac:dyDescent="0.3">
      <c r="N2146"/>
    </row>
    <row r="2147" spans="14:14" x14ac:dyDescent="0.3">
      <c r="N2147"/>
    </row>
    <row r="2148" spans="14:14" x14ac:dyDescent="0.3">
      <c r="N2148"/>
    </row>
    <row r="2149" spans="14:14" x14ac:dyDescent="0.3">
      <c r="N2149"/>
    </row>
    <row r="2150" spans="14:14" x14ac:dyDescent="0.3">
      <c r="N2150"/>
    </row>
    <row r="2151" spans="14:14" x14ac:dyDescent="0.3">
      <c r="N2151"/>
    </row>
    <row r="2152" spans="14:14" x14ac:dyDescent="0.3">
      <c r="N2152"/>
    </row>
    <row r="2153" spans="14:14" x14ac:dyDescent="0.3">
      <c r="N2153"/>
    </row>
    <row r="2154" spans="14:14" x14ac:dyDescent="0.3">
      <c r="N2154"/>
    </row>
    <row r="2155" spans="14:14" x14ac:dyDescent="0.3">
      <c r="N2155"/>
    </row>
    <row r="2156" spans="14:14" x14ac:dyDescent="0.3">
      <c r="N2156"/>
    </row>
    <row r="2157" spans="14:14" x14ac:dyDescent="0.3">
      <c r="N2157"/>
    </row>
    <row r="2158" spans="14:14" x14ac:dyDescent="0.3">
      <c r="N2158"/>
    </row>
    <row r="2159" spans="14:14" x14ac:dyDescent="0.3">
      <c r="N2159"/>
    </row>
    <row r="2160" spans="14:14" x14ac:dyDescent="0.3">
      <c r="N2160"/>
    </row>
    <row r="2161" spans="14:14" x14ac:dyDescent="0.3">
      <c r="N2161"/>
    </row>
    <row r="2162" spans="14:14" x14ac:dyDescent="0.3">
      <c r="N2162"/>
    </row>
    <row r="2163" spans="14:14" x14ac:dyDescent="0.3">
      <c r="N2163"/>
    </row>
    <row r="2164" spans="14:14" x14ac:dyDescent="0.3">
      <c r="N2164"/>
    </row>
    <row r="2165" spans="14:14" x14ac:dyDescent="0.3">
      <c r="N2165"/>
    </row>
    <row r="2166" spans="14:14" x14ac:dyDescent="0.3">
      <c r="N2166"/>
    </row>
    <row r="2167" spans="14:14" x14ac:dyDescent="0.3">
      <c r="N2167"/>
    </row>
    <row r="2168" spans="14:14" x14ac:dyDescent="0.3">
      <c r="N2168"/>
    </row>
    <row r="2169" spans="14:14" x14ac:dyDescent="0.3">
      <c r="N2169"/>
    </row>
    <row r="2170" spans="14:14" x14ac:dyDescent="0.3">
      <c r="N2170"/>
    </row>
    <row r="2171" spans="14:14" x14ac:dyDescent="0.3">
      <c r="N2171"/>
    </row>
    <row r="2172" spans="14:14" x14ac:dyDescent="0.3">
      <c r="N2172"/>
    </row>
    <row r="2173" spans="14:14" x14ac:dyDescent="0.3">
      <c r="N2173"/>
    </row>
    <row r="2174" spans="14:14" x14ac:dyDescent="0.3">
      <c r="N2174"/>
    </row>
    <row r="2175" spans="14:14" x14ac:dyDescent="0.3">
      <c r="N2175"/>
    </row>
    <row r="2176" spans="14:14" x14ac:dyDescent="0.3">
      <c r="N2176"/>
    </row>
    <row r="2177" spans="14:14" x14ac:dyDescent="0.3">
      <c r="N2177"/>
    </row>
    <row r="2178" spans="14:14" x14ac:dyDescent="0.3">
      <c r="N2178"/>
    </row>
    <row r="2179" spans="14:14" x14ac:dyDescent="0.3">
      <c r="N2179"/>
    </row>
    <row r="2180" spans="14:14" x14ac:dyDescent="0.3">
      <c r="N2180"/>
    </row>
    <row r="2181" spans="14:14" x14ac:dyDescent="0.3">
      <c r="N2181"/>
    </row>
    <row r="2182" spans="14:14" x14ac:dyDescent="0.3">
      <c r="N2182"/>
    </row>
    <row r="2183" spans="14:14" x14ac:dyDescent="0.3">
      <c r="N2183"/>
    </row>
    <row r="2184" spans="14:14" x14ac:dyDescent="0.3">
      <c r="N2184"/>
    </row>
    <row r="2185" spans="14:14" x14ac:dyDescent="0.3">
      <c r="N2185"/>
    </row>
    <row r="2186" spans="14:14" x14ac:dyDescent="0.3">
      <c r="N2186"/>
    </row>
    <row r="2187" spans="14:14" x14ac:dyDescent="0.3">
      <c r="N2187"/>
    </row>
    <row r="2188" spans="14:14" x14ac:dyDescent="0.3">
      <c r="N2188"/>
    </row>
    <row r="2189" spans="14:14" x14ac:dyDescent="0.3">
      <c r="N2189"/>
    </row>
    <row r="2190" spans="14:14" x14ac:dyDescent="0.3">
      <c r="N2190"/>
    </row>
    <row r="2191" spans="14:14" x14ac:dyDescent="0.3">
      <c r="N2191"/>
    </row>
    <row r="2192" spans="14:14" x14ac:dyDescent="0.3">
      <c r="N2192"/>
    </row>
    <row r="2193" spans="14:14" x14ac:dyDescent="0.3">
      <c r="N2193"/>
    </row>
    <row r="2194" spans="14:14" x14ac:dyDescent="0.3">
      <c r="N2194"/>
    </row>
    <row r="2195" spans="14:14" x14ac:dyDescent="0.3">
      <c r="N2195"/>
    </row>
    <row r="2196" spans="14:14" x14ac:dyDescent="0.3">
      <c r="N2196"/>
    </row>
    <row r="2197" spans="14:14" x14ac:dyDescent="0.3">
      <c r="N2197"/>
    </row>
    <row r="2198" spans="14:14" x14ac:dyDescent="0.3">
      <c r="N2198"/>
    </row>
    <row r="2199" spans="14:14" x14ac:dyDescent="0.3">
      <c r="N2199"/>
    </row>
    <row r="2200" spans="14:14" x14ac:dyDescent="0.3">
      <c r="N2200"/>
    </row>
    <row r="2201" spans="14:14" x14ac:dyDescent="0.3">
      <c r="N2201"/>
    </row>
    <row r="2202" spans="14:14" x14ac:dyDescent="0.3">
      <c r="N2202"/>
    </row>
    <row r="2203" spans="14:14" x14ac:dyDescent="0.3">
      <c r="N2203"/>
    </row>
    <row r="2204" spans="14:14" x14ac:dyDescent="0.3">
      <c r="N2204"/>
    </row>
    <row r="2205" spans="14:14" x14ac:dyDescent="0.3">
      <c r="N2205"/>
    </row>
    <row r="2206" spans="14:14" x14ac:dyDescent="0.3">
      <c r="N2206"/>
    </row>
    <row r="2207" spans="14:14" x14ac:dyDescent="0.3">
      <c r="N2207"/>
    </row>
    <row r="2208" spans="14:14" x14ac:dyDescent="0.3">
      <c r="N2208"/>
    </row>
    <row r="2209" spans="14:14" x14ac:dyDescent="0.3">
      <c r="N2209"/>
    </row>
    <row r="2210" spans="14:14" x14ac:dyDescent="0.3">
      <c r="N2210"/>
    </row>
    <row r="2211" spans="14:14" x14ac:dyDescent="0.3">
      <c r="N2211"/>
    </row>
    <row r="2212" spans="14:14" x14ac:dyDescent="0.3">
      <c r="N2212"/>
    </row>
    <row r="2213" spans="14:14" x14ac:dyDescent="0.3">
      <c r="N2213"/>
    </row>
    <row r="2214" spans="14:14" x14ac:dyDescent="0.3">
      <c r="N2214"/>
    </row>
    <row r="2215" spans="14:14" x14ac:dyDescent="0.3">
      <c r="N2215"/>
    </row>
    <row r="2216" spans="14:14" x14ac:dyDescent="0.3">
      <c r="N2216"/>
    </row>
    <row r="2217" spans="14:14" x14ac:dyDescent="0.3">
      <c r="N2217"/>
    </row>
    <row r="2218" spans="14:14" x14ac:dyDescent="0.3">
      <c r="N2218"/>
    </row>
    <row r="2219" spans="14:14" x14ac:dyDescent="0.3">
      <c r="N2219"/>
    </row>
    <row r="2220" spans="14:14" x14ac:dyDescent="0.3">
      <c r="N2220"/>
    </row>
    <row r="2221" spans="14:14" x14ac:dyDescent="0.3">
      <c r="N2221"/>
    </row>
    <row r="2222" spans="14:14" x14ac:dyDescent="0.3">
      <c r="N2222"/>
    </row>
    <row r="2223" spans="14:14" x14ac:dyDescent="0.3">
      <c r="N2223"/>
    </row>
    <row r="2224" spans="14:14" x14ac:dyDescent="0.3">
      <c r="N2224"/>
    </row>
    <row r="2225" spans="14:14" x14ac:dyDescent="0.3">
      <c r="N2225"/>
    </row>
    <row r="2226" spans="14:14" x14ac:dyDescent="0.3">
      <c r="N2226"/>
    </row>
    <row r="2227" spans="14:14" x14ac:dyDescent="0.3">
      <c r="N2227"/>
    </row>
    <row r="2228" spans="14:14" x14ac:dyDescent="0.3">
      <c r="N2228"/>
    </row>
    <row r="2229" spans="14:14" x14ac:dyDescent="0.3">
      <c r="N2229"/>
    </row>
    <row r="2230" spans="14:14" x14ac:dyDescent="0.3">
      <c r="N2230"/>
    </row>
    <row r="2231" spans="14:14" x14ac:dyDescent="0.3">
      <c r="N2231"/>
    </row>
    <row r="2232" spans="14:14" x14ac:dyDescent="0.3">
      <c r="N2232"/>
    </row>
    <row r="2233" spans="14:14" x14ac:dyDescent="0.3">
      <c r="N2233"/>
    </row>
    <row r="2234" spans="14:14" x14ac:dyDescent="0.3">
      <c r="N2234"/>
    </row>
    <row r="2235" spans="14:14" x14ac:dyDescent="0.3">
      <c r="N2235"/>
    </row>
    <row r="2236" spans="14:14" x14ac:dyDescent="0.3">
      <c r="N2236"/>
    </row>
    <row r="2237" spans="14:14" x14ac:dyDescent="0.3">
      <c r="N2237"/>
    </row>
    <row r="2238" spans="14:14" x14ac:dyDescent="0.3">
      <c r="N2238"/>
    </row>
    <row r="2239" spans="14:14" x14ac:dyDescent="0.3">
      <c r="N2239"/>
    </row>
    <row r="2240" spans="14:14" x14ac:dyDescent="0.3">
      <c r="N2240"/>
    </row>
    <row r="2241" spans="14:14" x14ac:dyDescent="0.3">
      <c r="N2241"/>
    </row>
    <row r="2242" spans="14:14" x14ac:dyDescent="0.3">
      <c r="N2242"/>
    </row>
    <row r="2243" spans="14:14" x14ac:dyDescent="0.3">
      <c r="N2243"/>
    </row>
    <row r="2244" spans="14:14" x14ac:dyDescent="0.3">
      <c r="N2244"/>
    </row>
    <row r="2245" spans="14:14" x14ac:dyDescent="0.3">
      <c r="N2245"/>
    </row>
    <row r="2246" spans="14:14" x14ac:dyDescent="0.3">
      <c r="N2246"/>
    </row>
    <row r="2247" spans="14:14" x14ac:dyDescent="0.3">
      <c r="N2247"/>
    </row>
    <row r="2248" spans="14:14" x14ac:dyDescent="0.3">
      <c r="N2248"/>
    </row>
    <row r="2249" spans="14:14" x14ac:dyDescent="0.3">
      <c r="N2249"/>
    </row>
    <row r="2250" spans="14:14" x14ac:dyDescent="0.3">
      <c r="N2250"/>
    </row>
    <row r="2251" spans="14:14" x14ac:dyDescent="0.3">
      <c r="N2251"/>
    </row>
    <row r="2252" spans="14:14" x14ac:dyDescent="0.3">
      <c r="N2252"/>
    </row>
    <row r="2253" spans="14:14" x14ac:dyDescent="0.3">
      <c r="N2253"/>
    </row>
    <row r="2254" spans="14:14" x14ac:dyDescent="0.3">
      <c r="N2254"/>
    </row>
    <row r="2255" spans="14:14" x14ac:dyDescent="0.3">
      <c r="N2255"/>
    </row>
    <row r="2256" spans="14:14" x14ac:dyDescent="0.3">
      <c r="N2256"/>
    </row>
    <row r="2257" spans="14:14" x14ac:dyDescent="0.3">
      <c r="N2257"/>
    </row>
    <row r="2258" spans="14:14" x14ac:dyDescent="0.3">
      <c r="N2258"/>
    </row>
    <row r="2259" spans="14:14" x14ac:dyDescent="0.3">
      <c r="N2259"/>
    </row>
    <row r="2260" spans="14:14" x14ac:dyDescent="0.3">
      <c r="N2260"/>
    </row>
    <row r="2261" spans="14:14" x14ac:dyDescent="0.3">
      <c r="N2261"/>
    </row>
    <row r="2262" spans="14:14" x14ac:dyDescent="0.3">
      <c r="N2262"/>
    </row>
    <row r="2263" spans="14:14" x14ac:dyDescent="0.3">
      <c r="N2263"/>
    </row>
    <row r="2264" spans="14:14" x14ac:dyDescent="0.3">
      <c r="N2264"/>
    </row>
    <row r="2265" spans="14:14" x14ac:dyDescent="0.3">
      <c r="N2265"/>
    </row>
    <row r="2266" spans="14:14" x14ac:dyDescent="0.3">
      <c r="N2266"/>
    </row>
    <row r="2267" spans="14:14" x14ac:dyDescent="0.3">
      <c r="N2267"/>
    </row>
    <row r="2268" spans="14:14" x14ac:dyDescent="0.3">
      <c r="N2268"/>
    </row>
    <row r="2269" spans="14:14" x14ac:dyDescent="0.3">
      <c r="N2269"/>
    </row>
    <row r="2270" spans="14:14" x14ac:dyDescent="0.3">
      <c r="N2270"/>
    </row>
    <row r="2271" spans="14:14" x14ac:dyDescent="0.3">
      <c r="N2271"/>
    </row>
    <row r="2272" spans="14:14" x14ac:dyDescent="0.3">
      <c r="N2272"/>
    </row>
    <row r="2273" spans="14:14" x14ac:dyDescent="0.3">
      <c r="N2273"/>
    </row>
    <row r="2274" spans="14:14" x14ac:dyDescent="0.3">
      <c r="N2274"/>
    </row>
    <row r="2275" spans="14:14" x14ac:dyDescent="0.3">
      <c r="N2275"/>
    </row>
    <row r="2276" spans="14:14" x14ac:dyDescent="0.3">
      <c r="N2276"/>
    </row>
    <row r="2277" spans="14:14" x14ac:dyDescent="0.3">
      <c r="N2277"/>
    </row>
    <row r="2278" spans="14:14" x14ac:dyDescent="0.3">
      <c r="N2278"/>
    </row>
    <row r="2279" spans="14:14" x14ac:dyDescent="0.3">
      <c r="N2279"/>
    </row>
    <row r="2280" spans="14:14" x14ac:dyDescent="0.3">
      <c r="N2280"/>
    </row>
    <row r="2281" spans="14:14" x14ac:dyDescent="0.3">
      <c r="N2281"/>
    </row>
    <row r="2282" spans="14:14" x14ac:dyDescent="0.3">
      <c r="N2282"/>
    </row>
    <row r="2283" spans="14:14" x14ac:dyDescent="0.3">
      <c r="N2283"/>
    </row>
    <row r="2284" spans="14:14" x14ac:dyDescent="0.3">
      <c r="N2284"/>
    </row>
    <row r="2285" spans="14:14" x14ac:dyDescent="0.3">
      <c r="N2285"/>
    </row>
    <row r="2286" spans="14:14" x14ac:dyDescent="0.3">
      <c r="N2286"/>
    </row>
    <row r="2287" spans="14:14" x14ac:dyDescent="0.3">
      <c r="N2287"/>
    </row>
    <row r="2288" spans="14:14" x14ac:dyDescent="0.3">
      <c r="N2288"/>
    </row>
    <row r="2289" spans="14:14" x14ac:dyDescent="0.3">
      <c r="N2289"/>
    </row>
    <row r="2290" spans="14:14" x14ac:dyDescent="0.3">
      <c r="N2290"/>
    </row>
    <row r="2291" spans="14:14" x14ac:dyDescent="0.3">
      <c r="N2291"/>
    </row>
    <row r="2292" spans="14:14" x14ac:dyDescent="0.3">
      <c r="N2292"/>
    </row>
    <row r="2293" spans="14:14" x14ac:dyDescent="0.3">
      <c r="N2293"/>
    </row>
    <row r="2294" spans="14:14" x14ac:dyDescent="0.3">
      <c r="N2294"/>
    </row>
    <row r="2295" spans="14:14" x14ac:dyDescent="0.3">
      <c r="N2295"/>
    </row>
    <row r="2296" spans="14:14" x14ac:dyDescent="0.3">
      <c r="N2296"/>
    </row>
    <row r="2297" spans="14:14" x14ac:dyDescent="0.3">
      <c r="N2297"/>
    </row>
    <row r="2298" spans="14:14" x14ac:dyDescent="0.3">
      <c r="N2298"/>
    </row>
    <row r="2299" spans="14:14" x14ac:dyDescent="0.3">
      <c r="N2299"/>
    </row>
    <row r="2300" spans="14:14" x14ac:dyDescent="0.3">
      <c r="N2300"/>
    </row>
    <row r="2301" spans="14:14" x14ac:dyDescent="0.3">
      <c r="N2301"/>
    </row>
    <row r="2302" spans="14:14" x14ac:dyDescent="0.3">
      <c r="N2302"/>
    </row>
    <row r="2303" spans="14:14" x14ac:dyDescent="0.3">
      <c r="N2303"/>
    </row>
    <row r="2304" spans="14:14" x14ac:dyDescent="0.3">
      <c r="N2304"/>
    </row>
    <row r="2305" spans="14:14" x14ac:dyDescent="0.3">
      <c r="N2305"/>
    </row>
    <row r="2306" spans="14:14" x14ac:dyDescent="0.3">
      <c r="N2306"/>
    </row>
    <row r="2307" spans="14:14" x14ac:dyDescent="0.3">
      <c r="N2307"/>
    </row>
    <row r="2308" spans="14:14" x14ac:dyDescent="0.3">
      <c r="N2308"/>
    </row>
    <row r="2309" spans="14:14" x14ac:dyDescent="0.3">
      <c r="N2309"/>
    </row>
    <row r="2310" spans="14:14" x14ac:dyDescent="0.3">
      <c r="N2310"/>
    </row>
    <row r="2311" spans="14:14" x14ac:dyDescent="0.3">
      <c r="N2311"/>
    </row>
    <row r="2312" spans="14:14" x14ac:dyDescent="0.3">
      <c r="N2312"/>
    </row>
    <row r="2313" spans="14:14" x14ac:dyDescent="0.3">
      <c r="N2313"/>
    </row>
    <row r="2314" spans="14:14" x14ac:dyDescent="0.3">
      <c r="N2314"/>
    </row>
    <row r="2315" spans="14:14" x14ac:dyDescent="0.3">
      <c r="N2315"/>
    </row>
    <row r="2316" spans="14:14" x14ac:dyDescent="0.3">
      <c r="N2316"/>
    </row>
    <row r="2317" spans="14:14" x14ac:dyDescent="0.3">
      <c r="N2317"/>
    </row>
    <row r="2318" spans="14:14" x14ac:dyDescent="0.3">
      <c r="N2318"/>
    </row>
    <row r="2319" spans="14:14" x14ac:dyDescent="0.3">
      <c r="N2319"/>
    </row>
    <row r="2320" spans="14:14" x14ac:dyDescent="0.3">
      <c r="N2320"/>
    </row>
    <row r="2321" spans="14:14" x14ac:dyDescent="0.3">
      <c r="N2321"/>
    </row>
    <row r="2322" spans="14:14" x14ac:dyDescent="0.3">
      <c r="N2322"/>
    </row>
    <row r="2323" spans="14:14" x14ac:dyDescent="0.3">
      <c r="N2323"/>
    </row>
    <row r="2324" spans="14:14" x14ac:dyDescent="0.3">
      <c r="N2324"/>
    </row>
    <row r="2325" spans="14:14" x14ac:dyDescent="0.3">
      <c r="N2325"/>
    </row>
    <row r="2326" spans="14:14" x14ac:dyDescent="0.3">
      <c r="N2326"/>
    </row>
    <row r="2327" spans="14:14" x14ac:dyDescent="0.3">
      <c r="N2327"/>
    </row>
    <row r="2328" spans="14:14" x14ac:dyDescent="0.3">
      <c r="N2328"/>
    </row>
    <row r="2329" spans="14:14" x14ac:dyDescent="0.3">
      <c r="N2329"/>
    </row>
    <row r="2330" spans="14:14" x14ac:dyDescent="0.3">
      <c r="N2330"/>
    </row>
    <row r="2331" spans="14:14" x14ac:dyDescent="0.3">
      <c r="N2331"/>
    </row>
    <row r="2332" spans="14:14" x14ac:dyDescent="0.3">
      <c r="N2332"/>
    </row>
    <row r="2333" spans="14:14" x14ac:dyDescent="0.3">
      <c r="N2333"/>
    </row>
    <row r="2334" spans="14:14" x14ac:dyDescent="0.3">
      <c r="N2334"/>
    </row>
    <row r="2335" spans="14:14" x14ac:dyDescent="0.3">
      <c r="N2335"/>
    </row>
    <row r="2336" spans="14:14" x14ac:dyDescent="0.3">
      <c r="N2336"/>
    </row>
    <row r="2337" spans="14:14" x14ac:dyDescent="0.3">
      <c r="N2337"/>
    </row>
    <row r="2338" spans="14:14" x14ac:dyDescent="0.3">
      <c r="N2338"/>
    </row>
    <row r="2339" spans="14:14" x14ac:dyDescent="0.3">
      <c r="N2339"/>
    </row>
    <row r="2340" spans="14:14" x14ac:dyDescent="0.3">
      <c r="N2340"/>
    </row>
    <row r="2341" spans="14:14" x14ac:dyDescent="0.3">
      <c r="N2341"/>
    </row>
    <row r="2342" spans="14:14" x14ac:dyDescent="0.3">
      <c r="N2342"/>
    </row>
    <row r="2343" spans="14:14" x14ac:dyDescent="0.3">
      <c r="N2343"/>
    </row>
    <row r="2344" spans="14:14" x14ac:dyDescent="0.3">
      <c r="N2344"/>
    </row>
    <row r="2345" spans="14:14" x14ac:dyDescent="0.3">
      <c r="N2345"/>
    </row>
    <row r="2346" spans="14:14" x14ac:dyDescent="0.3">
      <c r="N2346"/>
    </row>
    <row r="2347" spans="14:14" x14ac:dyDescent="0.3">
      <c r="N2347"/>
    </row>
    <row r="2348" spans="14:14" x14ac:dyDescent="0.3">
      <c r="N2348"/>
    </row>
    <row r="2349" spans="14:14" x14ac:dyDescent="0.3">
      <c r="N2349"/>
    </row>
    <row r="2350" spans="14:14" x14ac:dyDescent="0.3">
      <c r="N2350"/>
    </row>
    <row r="2351" spans="14:14" x14ac:dyDescent="0.3">
      <c r="N2351"/>
    </row>
    <row r="2352" spans="14:14" x14ac:dyDescent="0.3">
      <c r="N2352"/>
    </row>
    <row r="2353" spans="14:14" x14ac:dyDescent="0.3">
      <c r="N2353"/>
    </row>
    <row r="2354" spans="14:14" x14ac:dyDescent="0.3">
      <c r="N2354"/>
    </row>
    <row r="2355" spans="14:14" x14ac:dyDescent="0.3">
      <c r="N2355"/>
    </row>
    <row r="2356" spans="14:14" x14ac:dyDescent="0.3">
      <c r="N2356"/>
    </row>
    <row r="2357" spans="14:14" x14ac:dyDescent="0.3">
      <c r="N2357"/>
    </row>
    <row r="2358" spans="14:14" x14ac:dyDescent="0.3">
      <c r="N2358"/>
    </row>
    <row r="2359" spans="14:14" x14ac:dyDescent="0.3">
      <c r="N2359"/>
    </row>
    <row r="2360" spans="14:14" x14ac:dyDescent="0.3">
      <c r="N2360"/>
    </row>
    <row r="2361" spans="14:14" x14ac:dyDescent="0.3">
      <c r="N2361"/>
    </row>
    <row r="2362" spans="14:14" x14ac:dyDescent="0.3">
      <c r="N2362"/>
    </row>
    <row r="2363" spans="14:14" x14ac:dyDescent="0.3">
      <c r="N2363"/>
    </row>
    <row r="2364" spans="14:14" x14ac:dyDescent="0.3">
      <c r="N2364"/>
    </row>
    <row r="2365" spans="14:14" x14ac:dyDescent="0.3">
      <c r="N2365"/>
    </row>
    <row r="2366" spans="14:14" x14ac:dyDescent="0.3">
      <c r="N2366"/>
    </row>
    <row r="2367" spans="14:14" x14ac:dyDescent="0.3">
      <c r="N2367"/>
    </row>
    <row r="2368" spans="14:14" x14ac:dyDescent="0.3">
      <c r="N2368"/>
    </row>
    <row r="2369" spans="14:14" x14ac:dyDescent="0.3">
      <c r="N2369"/>
    </row>
    <row r="2370" spans="14:14" x14ac:dyDescent="0.3">
      <c r="N2370"/>
    </row>
    <row r="2371" spans="14:14" x14ac:dyDescent="0.3">
      <c r="N2371"/>
    </row>
    <row r="2372" spans="14:14" x14ac:dyDescent="0.3">
      <c r="N2372"/>
    </row>
    <row r="2373" spans="14:14" x14ac:dyDescent="0.3">
      <c r="N2373"/>
    </row>
    <row r="2374" spans="14:14" x14ac:dyDescent="0.3">
      <c r="N2374"/>
    </row>
    <row r="2375" spans="14:14" x14ac:dyDescent="0.3">
      <c r="N2375"/>
    </row>
    <row r="2376" spans="14:14" x14ac:dyDescent="0.3">
      <c r="N2376"/>
    </row>
    <row r="2377" spans="14:14" x14ac:dyDescent="0.3">
      <c r="N2377"/>
    </row>
    <row r="2378" spans="14:14" x14ac:dyDescent="0.3">
      <c r="N2378"/>
    </row>
    <row r="2379" spans="14:14" x14ac:dyDescent="0.3">
      <c r="N2379"/>
    </row>
    <row r="2380" spans="14:14" x14ac:dyDescent="0.3">
      <c r="N2380"/>
    </row>
    <row r="2381" spans="14:14" x14ac:dyDescent="0.3">
      <c r="N2381"/>
    </row>
    <row r="2382" spans="14:14" x14ac:dyDescent="0.3">
      <c r="N2382"/>
    </row>
    <row r="2383" spans="14:14" x14ac:dyDescent="0.3">
      <c r="N2383"/>
    </row>
    <row r="2384" spans="14:14" x14ac:dyDescent="0.3">
      <c r="N2384"/>
    </row>
    <row r="2385" spans="14:14" x14ac:dyDescent="0.3">
      <c r="N2385"/>
    </row>
    <row r="2386" spans="14:14" x14ac:dyDescent="0.3">
      <c r="N2386"/>
    </row>
    <row r="2387" spans="14:14" x14ac:dyDescent="0.3">
      <c r="N2387"/>
    </row>
    <row r="2388" spans="14:14" x14ac:dyDescent="0.3">
      <c r="N2388"/>
    </row>
    <row r="2389" spans="14:14" x14ac:dyDescent="0.3">
      <c r="N2389"/>
    </row>
    <row r="2390" spans="14:14" x14ac:dyDescent="0.3">
      <c r="N2390"/>
    </row>
    <row r="2391" spans="14:14" x14ac:dyDescent="0.3">
      <c r="N2391"/>
    </row>
    <row r="2392" spans="14:14" x14ac:dyDescent="0.3">
      <c r="N2392"/>
    </row>
    <row r="2393" spans="14:14" x14ac:dyDescent="0.3">
      <c r="N2393"/>
    </row>
    <row r="2394" spans="14:14" x14ac:dyDescent="0.3">
      <c r="N2394"/>
    </row>
    <row r="2395" spans="14:14" x14ac:dyDescent="0.3">
      <c r="N2395"/>
    </row>
    <row r="2396" spans="14:14" x14ac:dyDescent="0.3">
      <c r="N2396"/>
    </row>
    <row r="2397" spans="14:14" x14ac:dyDescent="0.3">
      <c r="N2397"/>
    </row>
    <row r="2398" spans="14:14" x14ac:dyDescent="0.3">
      <c r="N2398"/>
    </row>
    <row r="2399" spans="14:14" x14ac:dyDescent="0.3">
      <c r="N2399"/>
    </row>
    <row r="2400" spans="14:14" x14ac:dyDescent="0.3">
      <c r="N2400"/>
    </row>
    <row r="2401" spans="14:14" x14ac:dyDescent="0.3">
      <c r="N2401"/>
    </row>
    <row r="2402" spans="14:14" x14ac:dyDescent="0.3">
      <c r="N2402"/>
    </row>
    <row r="2403" spans="14:14" x14ac:dyDescent="0.3">
      <c r="N2403"/>
    </row>
    <row r="2404" spans="14:14" x14ac:dyDescent="0.3">
      <c r="N2404"/>
    </row>
    <row r="2405" spans="14:14" x14ac:dyDescent="0.3">
      <c r="N2405"/>
    </row>
    <row r="2406" spans="14:14" x14ac:dyDescent="0.3">
      <c r="N2406"/>
    </row>
    <row r="2407" spans="14:14" x14ac:dyDescent="0.3">
      <c r="N2407"/>
    </row>
    <row r="2408" spans="14:14" x14ac:dyDescent="0.3">
      <c r="N2408"/>
    </row>
    <row r="2409" spans="14:14" x14ac:dyDescent="0.3">
      <c r="N2409"/>
    </row>
    <row r="2410" spans="14:14" x14ac:dyDescent="0.3">
      <c r="N2410"/>
    </row>
    <row r="2411" spans="14:14" x14ac:dyDescent="0.3">
      <c r="N2411"/>
    </row>
    <row r="2412" spans="14:14" x14ac:dyDescent="0.3">
      <c r="N2412"/>
    </row>
    <row r="2413" spans="14:14" x14ac:dyDescent="0.3">
      <c r="N2413"/>
    </row>
    <row r="2414" spans="14:14" x14ac:dyDescent="0.3">
      <c r="N2414"/>
    </row>
    <row r="2415" spans="14:14" x14ac:dyDescent="0.3">
      <c r="N2415"/>
    </row>
    <row r="2416" spans="14:14" x14ac:dyDescent="0.3">
      <c r="N2416"/>
    </row>
    <row r="2417" spans="14:14" x14ac:dyDescent="0.3">
      <c r="N2417"/>
    </row>
    <row r="2418" spans="14:14" x14ac:dyDescent="0.3">
      <c r="N2418"/>
    </row>
    <row r="2419" spans="14:14" x14ac:dyDescent="0.3">
      <c r="N2419"/>
    </row>
    <row r="2420" spans="14:14" x14ac:dyDescent="0.3">
      <c r="N2420"/>
    </row>
    <row r="2421" spans="14:14" x14ac:dyDescent="0.3">
      <c r="N2421"/>
    </row>
    <row r="2422" spans="14:14" x14ac:dyDescent="0.3">
      <c r="N2422"/>
    </row>
    <row r="2423" spans="14:14" x14ac:dyDescent="0.3">
      <c r="N2423"/>
    </row>
    <row r="2424" spans="14:14" x14ac:dyDescent="0.3">
      <c r="N2424"/>
    </row>
    <row r="2425" spans="14:14" x14ac:dyDescent="0.3">
      <c r="N2425"/>
    </row>
    <row r="2426" spans="14:14" x14ac:dyDescent="0.3">
      <c r="N2426"/>
    </row>
    <row r="2427" spans="14:14" x14ac:dyDescent="0.3">
      <c r="N2427"/>
    </row>
    <row r="2428" spans="14:14" x14ac:dyDescent="0.3">
      <c r="N2428"/>
    </row>
    <row r="2429" spans="14:14" x14ac:dyDescent="0.3">
      <c r="N2429"/>
    </row>
    <row r="2430" spans="14:14" x14ac:dyDescent="0.3">
      <c r="N2430"/>
    </row>
    <row r="2431" spans="14:14" x14ac:dyDescent="0.3">
      <c r="N2431"/>
    </row>
    <row r="2432" spans="14:14" x14ac:dyDescent="0.3">
      <c r="N2432"/>
    </row>
    <row r="2433" spans="14:14" x14ac:dyDescent="0.3">
      <c r="N2433"/>
    </row>
    <row r="2434" spans="14:14" x14ac:dyDescent="0.3">
      <c r="N2434"/>
    </row>
    <row r="2435" spans="14:14" x14ac:dyDescent="0.3">
      <c r="N2435"/>
    </row>
    <row r="2436" spans="14:14" x14ac:dyDescent="0.3">
      <c r="N2436"/>
    </row>
    <row r="2437" spans="14:14" x14ac:dyDescent="0.3">
      <c r="N2437"/>
    </row>
    <row r="2438" spans="14:14" x14ac:dyDescent="0.3">
      <c r="N2438"/>
    </row>
    <row r="2439" spans="14:14" x14ac:dyDescent="0.3">
      <c r="N2439"/>
    </row>
    <row r="2440" spans="14:14" x14ac:dyDescent="0.3">
      <c r="N2440"/>
    </row>
    <row r="2441" spans="14:14" x14ac:dyDescent="0.3">
      <c r="N2441"/>
    </row>
    <row r="2442" spans="14:14" x14ac:dyDescent="0.3">
      <c r="N2442"/>
    </row>
    <row r="2443" spans="14:14" x14ac:dyDescent="0.3">
      <c r="N2443"/>
    </row>
    <row r="2444" spans="14:14" x14ac:dyDescent="0.3">
      <c r="N2444"/>
    </row>
    <row r="2445" spans="14:14" x14ac:dyDescent="0.3">
      <c r="N2445"/>
    </row>
    <row r="2446" spans="14:14" x14ac:dyDescent="0.3">
      <c r="N2446"/>
    </row>
    <row r="2447" spans="14:14" x14ac:dyDescent="0.3">
      <c r="N2447"/>
    </row>
    <row r="2448" spans="14:14" x14ac:dyDescent="0.3">
      <c r="N2448"/>
    </row>
    <row r="2449" spans="14:14" x14ac:dyDescent="0.3">
      <c r="N2449"/>
    </row>
    <row r="2450" spans="14:14" x14ac:dyDescent="0.3">
      <c r="N2450"/>
    </row>
    <row r="2451" spans="14:14" x14ac:dyDescent="0.3">
      <c r="N2451"/>
    </row>
    <row r="2452" spans="14:14" x14ac:dyDescent="0.3">
      <c r="N2452"/>
    </row>
    <row r="2453" spans="14:14" x14ac:dyDescent="0.3">
      <c r="N2453"/>
    </row>
    <row r="2454" spans="14:14" x14ac:dyDescent="0.3">
      <c r="N2454"/>
    </row>
    <row r="2455" spans="14:14" x14ac:dyDescent="0.3">
      <c r="N2455"/>
    </row>
    <row r="2456" spans="14:14" x14ac:dyDescent="0.3">
      <c r="N2456"/>
    </row>
    <row r="2457" spans="14:14" x14ac:dyDescent="0.3">
      <c r="N2457"/>
    </row>
    <row r="2458" spans="14:14" x14ac:dyDescent="0.3">
      <c r="N2458"/>
    </row>
    <row r="2459" spans="14:14" x14ac:dyDescent="0.3">
      <c r="N2459"/>
    </row>
    <row r="2460" spans="14:14" x14ac:dyDescent="0.3">
      <c r="N2460"/>
    </row>
    <row r="2461" spans="14:14" x14ac:dyDescent="0.3">
      <c r="N2461"/>
    </row>
    <row r="2462" spans="14:14" x14ac:dyDescent="0.3">
      <c r="N2462"/>
    </row>
    <row r="2463" spans="14:14" x14ac:dyDescent="0.3">
      <c r="N2463"/>
    </row>
    <row r="2464" spans="14:14" x14ac:dyDescent="0.3">
      <c r="N2464"/>
    </row>
    <row r="2465" spans="14:14" x14ac:dyDescent="0.3">
      <c r="N2465"/>
    </row>
    <row r="2466" spans="14:14" x14ac:dyDescent="0.3">
      <c r="N2466"/>
    </row>
    <row r="2467" spans="14:14" x14ac:dyDescent="0.3">
      <c r="N2467"/>
    </row>
    <row r="2468" spans="14:14" x14ac:dyDescent="0.3">
      <c r="N2468"/>
    </row>
    <row r="2469" spans="14:14" x14ac:dyDescent="0.3">
      <c r="N2469"/>
    </row>
    <row r="2470" spans="14:14" x14ac:dyDescent="0.3">
      <c r="N2470"/>
    </row>
    <row r="2471" spans="14:14" x14ac:dyDescent="0.3">
      <c r="N2471"/>
    </row>
    <row r="2472" spans="14:14" x14ac:dyDescent="0.3">
      <c r="N2472"/>
    </row>
    <row r="2473" spans="14:14" x14ac:dyDescent="0.3">
      <c r="N2473"/>
    </row>
    <row r="2474" spans="14:14" x14ac:dyDescent="0.3">
      <c r="N2474"/>
    </row>
    <row r="2475" spans="14:14" x14ac:dyDescent="0.3">
      <c r="N2475"/>
    </row>
    <row r="2476" spans="14:14" x14ac:dyDescent="0.3">
      <c r="N2476"/>
    </row>
    <row r="2477" spans="14:14" x14ac:dyDescent="0.3">
      <c r="N2477"/>
    </row>
    <row r="2478" spans="14:14" x14ac:dyDescent="0.3">
      <c r="N2478"/>
    </row>
    <row r="2479" spans="14:14" x14ac:dyDescent="0.3">
      <c r="N2479"/>
    </row>
    <row r="2480" spans="14:14" x14ac:dyDescent="0.3">
      <c r="N2480"/>
    </row>
    <row r="2481" spans="14:14" x14ac:dyDescent="0.3">
      <c r="N2481"/>
    </row>
    <row r="2482" spans="14:14" x14ac:dyDescent="0.3">
      <c r="N2482"/>
    </row>
    <row r="2483" spans="14:14" x14ac:dyDescent="0.3">
      <c r="N2483"/>
    </row>
    <row r="2484" spans="14:14" x14ac:dyDescent="0.3">
      <c r="N2484"/>
    </row>
    <row r="2485" spans="14:14" x14ac:dyDescent="0.3">
      <c r="N2485"/>
    </row>
    <row r="2486" spans="14:14" x14ac:dyDescent="0.3">
      <c r="N2486"/>
    </row>
    <row r="2487" spans="14:14" x14ac:dyDescent="0.3">
      <c r="N2487"/>
    </row>
    <row r="2488" spans="14:14" x14ac:dyDescent="0.3">
      <c r="N2488"/>
    </row>
    <row r="2489" spans="14:14" x14ac:dyDescent="0.3">
      <c r="N2489"/>
    </row>
    <row r="2490" spans="14:14" x14ac:dyDescent="0.3">
      <c r="N2490"/>
    </row>
    <row r="2491" spans="14:14" x14ac:dyDescent="0.3">
      <c r="N2491"/>
    </row>
    <row r="2492" spans="14:14" x14ac:dyDescent="0.3">
      <c r="N2492"/>
    </row>
    <row r="2493" spans="14:14" x14ac:dyDescent="0.3">
      <c r="N2493"/>
    </row>
    <row r="2494" spans="14:14" x14ac:dyDescent="0.3">
      <c r="N2494"/>
    </row>
    <row r="2495" spans="14:14" x14ac:dyDescent="0.3">
      <c r="N2495"/>
    </row>
    <row r="2496" spans="14:14" x14ac:dyDescent="0.3">
      <c r="N2496"/>
    </row>
    <row r="2497" spans="14:14" x14ac:dyDescent="0.3">
      <c r="N2497"/>
    </row>
    <row r="2498" spans="14:14" x14ac:dyDescent="0.3">
      <c r="N2498"/>
    </row>
    <row r="2499" spans="14:14" x14ac:dyDescent="0.3">
      <c r="N2499"/>
    </row>
    <row r="2500" spans="14:14" x14ac:dyDescent="0.3">
      <c r="N2500"/>
    </row>
    <row r="2501" spans="14:14" x14ac:dyDescent="0.3">
      <c r="N2501"/>
    </row>
    <row r="2502" spans="14:14" x14ac:dyDescent="0.3">
      <c r="N2502"/>
    </row>
    <row r="2503" spans="14:14" x14ac:dyDescent="0.3">
      <c r="N2503"/>
    </row>
    <row r="2504" spans="14:14" x14ac:dyDescent="0.3">
      <c r="N2504"/>
    </row>
    <row r="2505" spans="14:14" x14ac:dyDescent="0.3">
      <c r="N2505"/>
    </row>
    <row r="2506" spans="14:14" x14ac:dyDescent="0.3">
      <c r="N2506"/>
    </row>
    <row r="2507" spans="14:14" x14ac:dyDescent="0.3">
      <c r="N2507"/>
    </row>
    <row r="2508" spans="14:14" x14ac:dyDescent="0.3">
      <c r="N2508"/>
    </row>
    <row r="2509" spans="14:14" x14ac:dyDescent="0.3">
      <c r="N2509"/>
    </row>
    <row r="2510" spans="14:14" x14ac:dyDescent="0.3">
      <c r="N2510"/>
    </row>
    <row r="2511" spans="14:14" x14ac:dyDescent="0.3">
      <c r="N2511"/>
    </row>
    <row r="2512" spans="14:14" x14ac:dyDescent="0.3">
      <c r="N2512"/>
    </row>
    <row r="2513" spans="14:14" x14ac:dyDescent="0.3">
      <c r="N2513"/>
    </row>
    <row r="2514" spans="14:14" x14ac:dyDescent="0.3">
      <c r="N2514"/>
    </row>
    <row r="2515" spans="14:14" x14ac:dyDescent="0.3">
      <c r="N2515"/>
    </row>
    <row r="2516" spans="14:14" x14ac:dyDescent="0.3">
      <c r="N2516"/>
    </row>
    <row r="2517" spans="14:14" x14ac:dyDescent="0.3">
      <c r="N2517"/>
    </row>
    <row r="2518" spans="14:14" x14ac:dyDescent="0.3">
      <c r="N2518"/>
    </row>
    <row r="2519" spans="14:14" x14ac:dyDescent="0.3">
      <c r="N2519"/>
    </row>
    <row r="2520" spans="14:14" x14ac:dyDescent="0.3">
      <c r="N2520"/>
    </row>
    <row r="2521" spans="14:14" x14ac:dyDescent="0.3">
      <c r="N2521"/>
    </row>
    <row r="2522" spans="14:14" x14ac:dyDescent="0.3">
      <c r="N2522"/>
    </row>
    <row r="2523" spans="14:14" x14ac:dyDescent="0.3">
      <c r="N2523"/>
    </row>
    <row r="2524" spans="14:14" x14ac:dyDescent="0.3">
      <c r="N2524"/>
    </row>
    <row r="2525" spans="14:14" x14ac:dyDescent="0.3">
      <c r="N2525"/>
    </row>
    <row r="2526" spans="14:14" x14ac:dyDescent="0.3">
      <c r="N2526"/>
    </row>
    <row r="2527" spans="14:14" x14ac:dyDescent="0.3">
      <c r="N2527"/>
    </row>
    <row r="2528" spans="14:14" x14ac:dyDescent="0.3">
      <c r="N2528"/>
    </row>
    <row r="2529" spans="14:14" x14ac:dyDescent="0.3">
      <c r="N2529"/>
    </row>
    <row r="2530" spans="14:14" x14ac:dyDescent="0.3">
      <c r="N2530"/>
    </row>
    <row r="2531" spans="14:14" x14ac:dyDescent="0.3">
      <c r="N2531"/>
    </row>
    <row r="2532" spans="14:14" x14ac:dyDescent="0.3">
      <c r="N2532"/>
    </row>
    <row r="2533" spans="14:14" x14ac:dyDescent="0.3">
      <c r="N2533"/>
    </row>
    <row r="2534" spans="14:14" x14ac:dyDescent="0.3">
      <c r="N2534"/>
    </row>
    <row r="2535" spans="14:14" x14ac:dyDescent="0.3">
      <c r="N2535"/>
    </row>
    <row r="2536" spans="14:14" x14ac:dyDescent="0.3">
      <c r="N2536"/>
    </row>
    <row r="2537" spans="14:14" x14ac:dyDescent="0.3">
      <c r="N2537"/>
    </row>
    <row r="2538" spans="14:14" x14ac:dyDescent="0.3">
      <c r="N2538"/>
    </row>
    <row r="2539" spans="14:14" x14ac:dyDescent="0.3">
      <c r="N2539"/>
    </row>
    <row r="2540" spans="14:14" x14ac:dyDescent="0.3">
      <c r="N2540"/>
    </row>
    <row r="2541" spans="14:14" x14ac:dyDescent="0.3">
      <c r="N2541"/>
    </row>
    <row r="2542" spans="14:14" x14ac:dyDescent="0.3">
      <c r="N2542"/>
    </row>
    <row r="2543" spans="14:14" x14ac:dyDescent="0.3">
      <c r="N2543"/>
    </row>
    <row r="2544" spans="14:14" x14ac:dyDescent="0.3">
      <c r="N2544"/>
    </row>
    <row r="2545" spans="14:14" x14ac:dyDescent="0.3">
      <c r="N2545"/>
    </row>
    <row r="2546" spans="14:14" x14ac:dyDescent="0.3">
      <c r="N2546"/>
    </row>
    <row r="2547" spans="14:14" x14ac:dyDescent="0.3">
      <c r="N2547"/>
    </row>
    <row r="2548" spans="14:14" x14ac:dyDescent="0.3">
      <c r="N2548"/>
    </row>
    <row r="2549" spans="14:14" x14ac:dyDescent="0.3">
      <c r="N2549"/>
    </row>
    <row r="2550" spans="14:14" x14ac:dyDescent="0.3">
      <c r="N2550"/>
    </row>
    <row r="2551" spans="14:14" x14ac:dyDescent="0.3">
      <c r="N2551"/>
    </row>
    <row r="2552" spans="14:14" x14ac:dyDescent="0.3">
      <c r="N2552"/>
    </row>
    <row r="2553" spans="14:14" x14ac:dyDescent="0.3">
      <c r="N2553"/>
    </row>
    <row r="2554" spans="14:14" x14ac:dyDescent="0.3">
      <c r="N2554"/>
    </row>
    <row r="2555" spans="14:14" x14ac:dyDescent="0.3">
      <c r="N2555"/>
    </row>
    <row r="2556" spans="14:14" x14ac:dyDescent="0.3">
      <c r="N2556"/>
    </row>
    <row r="2557" spans="14:14" x14ac:dyDescent="0.3">
      <c r="N2557"/>
    </row>
    <row r="2558" spans="14:14" x14ac:dyDescent="0.3">
      <c r="N2558"/>
    </row>
    <row r="2559" spans="14:14" x14ac:dyDescent="0.3">
      <c r="N2559"/>
    </row>
    <row r="2560" spans="14:14" x14ac:dyDescent="0.3">
      <c r="N2560"/>
    </row>
    <row r="2561" spans="14:14" x14ac:dyDescent="0.3">
      <c r="N2561"/>
    </row>
    <row r="2562" spans="14:14" x14ac:dyDescent="0.3">
      <c r="N2562"/>
    </row>
    <row r="2563" spans="14:14" x14ac:dyDescent="0.3">
      <c r="N2563"/>
    </row>
    <row r="2564" spans="14:14" x14ac:dyDescent="0.3">
      <c r="N2564"/>
    </row>
    <row r="2565" spans="14:14" x14ac:dyDescent="0.3">
      <c r="N2565"/>
    </row>
    <row r="2566" spans="14:14" x14ac:dyDescent="0.3">
      <c r="N2566"/>
    </row>
    <row r="2567" spans="14:14" x14ac:dyDescent="0.3">
      <c r="N2567"/>
    </row>
    <row r="2568" spans="14:14" x14ac:dyDescent="0.3">
      <c r="N2568"/>
    </row>
    <row r="2569" spans="14:14" x14ac:dyDescent="0.3">
      <c r="N2569"/>
    </row>
    <row r="2570" spans="14:14" x14ac:dyDescent="0.3">
      <c r="N2570"/>
    </row>
    <row r="2571" spans="14:14" x14ac:dyDescent="0.3">
      <c r="N2571"/>
    </row>
    <row r="2572" spans="14:14" x14ac:dyDescent="0.3">
      <c r="N2572"/>
    </row>
    <row r="2573" spans="14:14" x14ac:dyDescent="0.3">
      <c r="N2573"/>
    </row>
    <row r="2574" spans="14:14" x14ac:dyDescent="0.3">
      <c r="N2574"/>
    </row>
    <row r="2575" spans="14:14" x14ac:dyDescent="0.3">
      <c r="N2575"/>
    </row>
    <row r="2576" spans="14:14" x14ac:dyDescent="0.3">
      <c r="N2576"/>
    </row>
    <row r="2577" spans="14:14" x14ac:dyDescent="0.3">
      <c r="N2577"/>
    </row>
    <row r="2578" spans="14:14" x14ac:dyDescent="0.3">
      <c r="N2578"/>
    </row>
    <row r="2579" spans="14:14" x14ac:dyDescent="0.3">
      <c r="N2579"/>
    </row>
    <row r="2580" spans="14:14" x14ac:dyDescent="0.3">
      <c r="N2580"/>
    </row>
    <row r="2581" spans="14:14" x14ac:dyDescent="0.3">
      <c r="N2581"/>
    </row>
    <row r="2582" spans="14:14" x14ac:dyDescent="0.3">
      <c r="N2582"/>
    </row>
    <row r="2583" spans="14:14" x14ac:dyDescent="0.3">
      <c r="N2583"/>
    </row>
    <row r="2584" spans="14:14" x14ac:dyDescent="0.3">
      <c r="N2584"/>
    </row>
    <row r="2585" spans="14:14" x14ac:dyDescent="0.3">
      <c r="N2585"/>
    </row>
    <row r="2586" spans="14:14" x14ac:dyDescent="0.3">
      <c r="N2586"/>
    </row>
    <row r="2587" spans="14:14" x14ac:dyDescent="0.3">
      <c r="N2587"/>
    </row>
    <row r="2588" spans="14:14" x14ac:dyDescent="0.3">
      <c r="N2588"/>
    </row>
    <row r="2589" spans="14:14" x14ac:dyDescent="0.3">
      <c r="N2589"/>
    </row>
    <row r="2590" spans="14:14" x14ac:dyDescent="0.3">
      <c r="N2590"/>
    </row>
    <row r="2591" spans="14:14" x14ac:dyDescent="0.3">
      <c r="N2591"/>
    </row>
    <row r="2592" spans="14:14" x14ac:dyDescent="0.3">
      <c r="N2592"/>
    </row>
    <row r="2593" spans="14:14" x14ac:dyDescent="0.3">
      <c r="N2593"/>
    </row>
    <row r="2594" spans="14:14" x14ac:dyDescent="0.3">
      <c r="N2594"/>
    </row>
    <row r="2595" spans="14:14" x14ac:dyDescent="0.3">
      <c r="N2595"/>
    </row>
    <row r="2596" spans="14:14" x14ac:dyDescent="0.3">
      <c r="N2596"/>
    </row>
    <row r="2597" spans="14:14" x14ac:dyDescent="0.3">
      <c r="N2597"/>
    </row>
    <row r="2598" spans="14:14" x14ac:dyDescent="0.3">
      <c r="N2598"/>
    </row>
    <row r="2599" spans="14:14" x14ac:dyDescent="0.3">
      <c r="N2599"/>
    </row>
    <row r="2600" spans="14:14" x14ac:dyDescent="0.3">
      <c r="N2600"/>
    </row>
    <row r="2601" spans="14:14" x14ac:dyDescent="0.3">
      <c r="N2601"/>
    </row>
    <row r="2602" spans="14:14" x14ac:dyDescent="0.3">
      <c r="N2602"/>
    </row>
    <row r="2603" spans="14:14" x14ac:dyDescent="0.3">
      <c r="N2603"/>
    </row>
    <row r="2604" spans="14:14" x14ac:dyDescent="0.3">
      <c r="N2604"/>
    </row>
    <row r="2605" spans="14:14" x14ac:dyDescent="0.3">
      <c r="N2605"/>
    </row>
    <row r="2606" spans="14:14" x14ac:dyDescent="0.3">
      <c r="N2606"/>
    </row>
    <row r="2607" spans="14:14" x14ac:dyDescent="0.3">
      <c r="N2607"/>
    </row>
    <row r="2608" spans="14:14" x14ac:dyDescent="0.3">
      <c r="N2608"/>
    </row>
    <row r="2609" spans="14:14" x14ac:dyDescent="0.3">
      <c r="N2609"/>
    </row>
    <row r="2610" spans="14:14" x14ac:dyDescent="0.3">
      <c r="N2610"/>
    </row>
    <row r="2611" spans="14:14" x14ac:dyDescent="0.3">
      <c r="N2611"/>
    </row>
    <row r="2612" spans="14:14" x14ac:dyDescent="0.3">
      <c r="N2612"/>
    </row>
    <row r="2613" spans="14:14" x14ac:dyDescent="0.3">
      <c r="N2613"/>
    </row>
    <row r="2614" spans="14:14" x14ac:dyDescent="0.3">
      <c r="N2614"/>
    </row>
    <row r="2615" spans="14:14" x14ac:dyDescent="0.3">
      <c r="N2615"/>
    </row>
    <row r="2616" spans="14:14" x14ac:dyDescent="0.3">
      <c r="N2616"/>
    </row>
    <row r="2617" spans="14:14" x14ac:dyDescent="0.3">
      <c r="N2617"/>
    </row>
    <row r="2618" spans="14:14" x14ac:dyDescent="0.3">
      <c r="N2618"/>
    </row>
    <row r="2619" spans="14:14" x14ac:dyDescent="0.3">
      <c r="N2619"/>
    </row>
    <row r="2620" spans="14:14" x14ac:dyDescent="0.3">
      <c r="N2620"/>
    </row>
    <row r="2621" spans="14:14" x14ac:dyDescent="0.3">
      <c r="N2621"/>
    </row>
    <row r="2622" spans="14:14" x14ac:dyDescent="0.3">
      <c r="N2622"/>
    </row>
    <row r="2623" spans="14:14" x14ac:dyDescent="0.3">
      <c r="N2623"/>
    </row>
    <row r="2624" spans="14:14" x14ac:dyDescent="0.3">
      <c r="N2624"/>
    </row>
    <row r="2625" spans="14:14" x14ac:dyDescent="0.3">
      <c r="N2625"/>
    </row>
    <row r="2626" spans="14:14" x14ac:dyDescent="0.3">
      <c r="N2626"/>
    </row>
    <row r="2627" spans="14:14" x14ac:dyDescent="0.3">
      <c r="N2627"/>
    </row>
    <row r="2628" spans="14:14" x14ac:dyDescent="0.3">
      <c r="N2628"/>
    </row>
    <row r="2629" spans="14:14" x14ac:dyDescent="0.3">
      <c r="N2629"/>
    </row>
    <row r="2630" spans="14:14" x14ac:dyDescent="0.3">
      <c r="N2630"/>
    </row>
    <row r="2631" spans="14:14" x14ac:dyDescent="0.3">
      <c r="N2631"/>
    </row>
    <row r="2632" spans="14:14" x14ac:dyDescent="0.3">
      <c r="N2632"/>
    </row>
    <row r="2633" spans="14:14" x14ac:dyDescent="0.3">
      <c r="N2633"/>
    </row>
    <row r="2634" spans="14:14" x14ac:dyDescent="0.3">
      <c r="N2634"/>
    </row>
    <row r="2635" spans="14:14" x14ac:dyDescent="0.3">
      <c r="N2635"/>
    </row>
    <row r="2636" spans="14:14" x14ac:dyDescent="0.3">
      <c r="N2636"/>
    </row>
    <row r="2637" spans="14:14" x14ac:dyDescent="0.3">
      <c r="N2637"/>
    </row>
    <row r="2638" spans="14:14" x14ac:dyDescent="0.3">
      <c r="N2638"/>
    </row>
    <row r="2639" spans="14:14" x14ac:dyDescent="0.3">
      <c r="N2639"/>
    </row>
    <row r="2640" spans="14:14" x14ac:dyDescent="0.3">
      <c r="N2640"/>
    </row>
    <row r="2641" spans="14:14" x14ac:dyDescent="0.3">
      <c r="N2641"/>
    </row>
    <row r="2642" spans="14:14" x14ac:dyDescent="0.3">
      <c r="N2642"/>
    </row>
    <row r="2643" spans="14:14" x14ac:dyDescent="0.3">
      <c r="N2643"/>
    </row>
    <row r="2644" spans="14:14" x14ac:dyDescent="0.3">
      <c r="N2644"/>
    </row>
    <row r="2645" spans="14:14" x14ac:dyDescent="0.3">
      <c r="N2645"/>
    </row>
    <row r="2646" spans="14:14" x14ac:dyDescent="0.3">
      <c r="N2646"/>
    </row>
    <row r="2647" spans="14:14" x14ac:dyDescent="0.3">
      <c r="N2647"/>
    </row>
    <row r="2648" spans="14:14" x14ac:dyDescent="0.3">
      <c r="N2648"/>
    </row>
    <row r="2649" spans="14:14" x14ac:dyDescent="0.3">
      <c r="N2649"/>
    </row>
    <row r="2650" spans="14:14" x14ac:dyDescent="0.3">
      <c r="N2650"/>
    </row>
    <row r="2651" spans="14:14" x14ac:dyDescent="0.3">
      <c r="N2651"/>
    </row>
    <row r="2652" spans="14:14" x14ac:dyDescent="0.3">
      <c r="N2652"/>
    </row>
    <row r="2653" spans="14:14" x14ac:dyDescent="0.3">
      <c r="N2653"/>
    </row>
    <row r="2654" spans="14:14" x14ac:dyDescent="0.3">
      <c r="N2654"/>
    </row>
    <row r="2655" spans="14:14" x14ac:dyDescent="0.3">
      <c r="N2655"/>
    </row>
    <row r="2656" spans="14:14" x14ac:dyDescent="0.3">
      <c r="N2656"/>
    </row>
    <row r="2657" spans="14:14" x14ac:dyDescent="0.3">
      <c r="N2657"/>
    </row>
    <row r="2658" spans="14:14" x14ac:dyDescent="0.3">
      <c r="N2658"/>
    </row>
    <row r="2659" spans="14:14" x14ac:dyDescent="0.3">
      <c r="N2659"/>
    </row>
    <row r="2660" spans="14:14" x14ac:dyDescent="0.3">
      <c r="N2660"/>
    </row>
    <row r="2661" spans="14:14" x14ac:dyDescent="0.3">
      <c r="N2661"/>
    </row>
    <row r="2662" spans="14:14" x14ac:dyDescent="0.3">
      <c r="N2662"/>
    </row>
    <row r="2663" spans="14:14" x14ac:dyDescent="0.3">
      <c r="N2663"/>
    </row>
    <row r="2664" spans="14:14" x14ac:dyDescent="0.3">
      <c r="N2664"/>
    </row>
    <row r="2665" spans="14:14" x14ac:dyDescent="0.3">
      <c r="N2665"/>
    </row>
    <row r="2666" spans="14:14" x14ac:dyDescent="0.3">
      <c r="N2666"/>
    </row>
    <row r="2667" spans="14:14" x14ac:dyDescent="0.3">
      <c r="N2667"/>
    </row>
    <row r="2668" spans="14:14" x14ac:dyDescent="0.3">
      <c r="N2668"/>
    </row>
    <row r="2669" spans="14:14" x14ac:dyDescent="0.3">
      <c r="N2669"/>
    </row>
    <row r="2670" spans="14:14" x14ac:dyDescent="0.3">
      <c r="N2670"/>
    </row>
    <row r="2671" spans="14:14" x14ac:dyDescent="0.3">
      <c r="N2671"/>
    </row>
    <row r="2672" spans="14:14" x14ac:dyDescent="0.3">
      <c r="N2672"/>
    </row>
    <row r="2673" spans="14:14" x14ac:dyDescent="0.3">
      <c r="N2673"/>
    </row>
    <row r="2674" spans="14:14" x14ac:dyDescent="0.3">
      <c r="N2674"/>
    </row>
    <row r="2675" spans="14:14" x14ac:dyDescent="0.3">
      <c r="N2675"/>
    </row>
    <row r="2676" spans="14:14" x14ac:dyDescent="0.3">
      <c r="N2676"/>
    </row>
    <row r="2677" spans="14:14" x14ac:dyDescent="0.3">
      <c r="N2677"/>
    </row>
    <row r="2678" spans="14:14" x14ac:dyDescent="0.3">
      <c r="N2678"/>
    </row>
    <row r="2679" spans="14:14" x14ac:dyDescent="0.3">
      <c r="N2679"/>
    </row>
    <row r="2680" spans="14:14" x14ac:dyDescent="0.3">
      <c r="N2680"/>
    </row>
    <row r="2681" spans="14:14" x14ac:dyDescent="0.3">
      <c r="N2681"/>
    </row>
    <row r="2682" spans="14:14" x14ac:dyDescent="0.3">
      <c r="N2682"/>
    </row>
    <row r="2683" spans="14:14" x14ac:dyDescent="0.3">
      <c r="N2683"/>
    </row>
    <row r="2684" spans="14:14" x14ac:dyDescent="0.3">
      <c r="N2684"/>
    </row>
    <row r="2685" spans="14:14" x14ac:dyDescent="0.3">
      <c r="N2685"/>
    </row>
    <row r="2686" spans="14:14" x14ac:dyDescent="0.3">
      <c r="N2686"/>
    </row>
    <row r="2687" spans="14:14" x14ac:dyDescent="0.3">
      <c r="N2687"/>
    </row>
    <row r="2688" spans="14:14" x14ac:dyDescent="0.3">
      <c r="N2688"/>
    </row>
    <row r="2689" spans="14:14" x14ac:dyDescent="0.3">
      <c r="N2689"/>
    </row>
    <row r="2690" spans="14:14" x14ac:dyDescent="0.3">
      <c r="N2690"/>
    </row>
    <row r="2691" spans="14:14" x14ac:dyDescent="0.3">
      <c r="N2691"/>
    </row>
    <row r="2692" spans="14:14" x14ac:dyDescent="0.3">
      <c r="N2692"/>
    </row>
    <row r="2693" spans="14:14" x14ac:dyDescent="0.3">
      <c r="N2693"/>
    </row>
    <row r="2694" spans="14:14" x14ac:dyDescent="0.3">
      <c r="N2694"/>
    </row>
    <row r="2695" spans="14:14" x14ac:dyDescent="0.3">
      <c r="N2695"/>
    </row>
    <row r="2696" spans="14:14" x14ac:dyDescent="0.3">
      <c r="N2696"/>
    </row>
    <row r="2697" spans="14:14" x14ac:dyDescent="0.3">
      <c r="N2697"/>
    </row>
    <row r="2698" spans="14:14" x14ac:dyDescent="0.3">
      <c r="N2698"/>
    </row>
    <row r="2699" spans="14:14" x14ac:dyDescent="0.3">
      <c r="N2699"/>
    </row>
    <row r="2700" spans="14:14" x14ac:dyDescent="0.3">
      <c r="N2700"/>
    </row>
    <row r="2701" spans="14:14" x14ac:dyDescent="0.3">
      <c r="N2701"/>
    </row>
    <row r="2702" spans="14:14" x14ac:dyDescent="0.3">
      <c r="N2702"/>
    </row>
    <row r="2703" spans="14:14" x14ac:dyDescent="0.3">
      <c r="N2703"/>
    </row>
    <row r="2704" spans="14:14" x14ac:dyDescent="0.3">
      <c r="N2704"/>
    </row>
    <row r="2705" spans="14:14" x14ac:dyDescent="0.3">
      <c r="N2705"/>
    </row>
    <row r="2706" spans="14:14" x14ac:dyDescent="0.3">
      <c r="N2706"/>
    </row>
    <row r="2707" spans="14:14" x14ac:dyDescent="0.3">
      <c r="N2707"/>
    </row>
    <row r="2708" spans="14:14" x14ac:dyDescent="0.3">
      <c r="N2708"/>
    </row>
    <row r="2709" spans="14:14" x14ac:dyDescent="0.3">
      <c r="N2709"/>
    </row>
    <row r="2710" spans="14:14" x14ac:dyDescent="0.3">
      <c r="N2710"/>
    </row>
    <row r="2711" spans="14:14" x14ac:dyDescent="0.3">
      <c r="N2711"/>
    </row>
    <row r="2712" spans="14:14" x14ac:dyDescent="0.3">
      <c r="N2712"/>
    </row>
    <row r="2713" spans="14:14" x14ac:dyDescent="0.3">
      <c r="N2713"/>
    </row>
    <row r="2714" spans="14:14" x14ac:dyDescent="0.3">
      <c r="N2714"/>
    </row>
    <row r="2715" spans="14:14" x14ac:dyDescent="0.3">
      <c r="N2715"/>
    </row>
    <row r="2716" spans="14:14" x14ac:dyDescent="0.3">
      <c r="N2716"/>
    </row>
    <row r="2717" spans="14:14" x14ac:dyDescent="0.3">
      <c r="N2717"/>
    </row>
    <row r="2718" spans="14:14" x14ac:dyDescent="0.3">
      <c r="N2718"/>
    </row>
    <row r="2719" spans="14:14" x14ac:dyDescent="0.3">
      <c r="N2719"/>
    </row>
    <row r="2720" spans="14:14" x14ac:dyDescent="0.3">
      <c r="N2720"/>
    </row>
    <row r="2721" spans="14:14" x14ac:dyDescent="0.3">
      <c r="N2721"/>
    </row>
    <row r="2722" spans="14:14" x14ac:dyDescent="0.3">
      <c r="N2722"/>
    </row>
    <row r="2723" spans="14:14" x14ac:dyDescent="0.3">
      <c r="N2723"/>
    </row>
    <row r="2724" spans="14:14" x14ac:dyDescent="0.3">
      <c r="N2724"/>
    </row>
    <row r="2725" spans="14:14" x14ac:dyDescent="0.3">
      <c r="N2725"/>
    </row>
    <row r="2726" spans="14:14" x14ac:dyDescent="0.3">
      <c r="N2726"/>
    </row>
    <row r="2727" spans="14:14" x14ac:dyDescent="0.3">
      <c r="N2727"/>
    </row>
    <row r="2728" spans="14:14" x14ac:dyDescent="0.3">
      <c r="N2728"/>
    </row>
    <row r="2729" spans="14:14" x14ac:dyDescent="0.3">
      <c r="N2729"/>
    </row>
    <row r="2730" spans="14:14" x14ac:dyDescent="0.3">
      <c r="N2730"/>
    </row>
    <row r="2731" spans="14:14" x14ac:dyDescent="0.3">
      <c r="N2731"/>
    </row>
    <row r="2732" spans="14:14" x14ac:dyDescent="0.3">
      <c r="N2732"/>
    </row>
    <row r="2733" spans="14:14" x14ac:dyDescent="0.3">
      <c r="N2733"/>
    </row>
    <row r="2734" spans="14:14" x14ac:dyDescent="0.3">
      <c r="N2734"/>
    </row>
    <row r="2735" spans="14:14" x14ac:dyDescent="0.3">
      <c r="N2735"/>
    </row>
    <row r="2736" spans="14:14" x14ac:dyDescent="0.3">
      <c r="N2736"/>
    </row>
    <row r="2737" spans="14:14" x14ac:dyDescent="0.3">
      <c r="N2737"/>
    </row>
    <row r="2738" spans="14:14" x14ac:dyDescent="0.3">
      <c r="N2738"/>
    </row>
    <row r="2739" spans="14:14" x14ac:dyDescent="0.3">
      <c r="N2739"/>
    </row>
    <row r="2740" spans="14:14" x14ac:dyDescent="0.3">
      <c r="N2740"/>
    </row>
    <row r="2741" spans="14:14" x14ac:dyDescent="0.3">
      <c r="N2741"/>
    </row>
    <row r="2742" spans="14:14" x14ac:dyDescent="0.3">
      <c r="N2742"/>
    </row>
    <row r="2743" spans="14:14" x14ac:dyDescent="0.3">
      <c r="N2743"/>
    </row>
    <row r="2744" spans="14:14" x14ac:dyDescent="0.3">
      <c r="N2744"/>
    </row>
    <row r="2745" spans="14:14" x14ac:dyDescent="0.3">
      <c r="N2745"/>
    </row>
    <row r="2746" spans="14:14" x14ac:dyDescent="0.3">
      <c r="N2746"/>
    </row>
    <row r="2747" spans="14:14" x14ac:dyDescent="0.3">
      <c r="N2747"/>
    </row>
    <row r="2748" spans="14:14" x14ac:dyDescent="0.3">
      <c r="N2748"/>
    </row>
    <row r="2749" spans="14:14" x14ac:dyDescent="0.3">
      <c r="N2749"/>
    </row>
    <row r="2750" spans="14:14" x14ac:dyDescent="0.3">
      <c r="N2750"/>
    </row>
    <row r="2751" spans="14:14" x14ac:dyDescent="0.3">
      <c r="N2751"/>
    </row>
    <row r="2752" spans="14:14" x14ac:dyDescent="0.3">
      <c r="N2752"/>
    </row>
    <row r="2753" spans="14:14" x14ac:dyDescent="0.3">
      <c r="N2753"/>
    </row>
    <row r="2754" spans="14:14" x14ac:dyDescent="0.3">
      <c r="N2754"/>
    </row>
    <row r="2755" spans="14:14" x14ac:dyDescent="0.3">
      <c r="N2755"/>
    </row>
    <row r="2756" spans="14:14" x14ac:dyDescent="0.3">
      <c r="N2756"/>
    </row>
    <row r="2757" spans="14:14" x14ac:dyDescent="0.3">
      <c r="N2757"/>
    </row>
    <row r="2758" spans="14:14" x14ac:dyDescent="0.3">
      <c r="N2758"/>
    </row>
    <row r="2759" spans="14:14" x14ac:dyDescent="0.3">
      <c r="N2759"/>
    </row>
    <row r="2760" spans="14:14" x14ac:dyDescent="0.3">
      <c r="N2760"/>
    </row>
    <row r="2761" spans="14:14" x14ac:dyDescent="0.3">
      <c r="N2761"/>
    </row>
    <row r="2762" spans="14:14" x14ac:dyDescent="0.3">
      <c r="N2762"/>
    </row>
    <row r="2763" spans="14:14" x14ac:dyDescent="0.3">
      <c r="N2763"/>
    </row>
    <row r="2764" spans="14:14" x14ac:dyDescent="0.3">
      <c r="N2764"/>
    </row>
    <row r="2765" spans="14:14" x14ac:dyDescent="0.3">
      <c r="N2765"/>
    </row>
    <row r="2766" spans="14:14" x14ac:dyDescent="0.3">
      <c r="N2766"/>
    </row>
    <row r="2767" spans="14:14" x14ac:dyDescent="0.3">
      <c r="N2767"/>
    </row>
    <row r="2768" spans="14:14" x14ac:dyDescent="0.3">
      <c r="N2768"/>
    </row>
    <row r="2769" spans="14:14" x14ac:dyDescent="0.3">
      <c r="N2769"/>
    </row>
    <row r="2770" spans="14:14" x14ac:dyDescent="0.3">
      <c r="N2770"/>
    </row>
    <row r="2771" spans="14:14" x14ac:dyDescent="0.3">
      <c r="N2771"/>
    </row>
    <row r="2772" spans="14:14" x14ac:dyDescent="0.3">
      <c r="N2772"/>
    </row>
    <row r="2773" spans="14:14" x14ac:dyDescent="0.3">
      <c r="N2773"/>
    </row>
    <row r="2774" spans="14:14" x14ac:dyDescent="0.3">
      <c r="N2774"/>
    </row>
    <row r="2775" spans="14:14" x14ac:dyDescent="0.3">
      <c r="N2775"/>
    </row>
    <row r="2776" spans="14:14" x14ac:dyDescent="0.3">
      <c r="N2776"/>
    </row>
    <row r="2777" spans="14:14" x14ac:dyDescent="0.3">
      <c r="N2777"/>
    </row>
    <row r="2778" spans="14:14" x14ac:dyDescent="0.3">
      <c r="N2778"/>
    </row>
    <row r="2779" spans="14:14" x14ac:dyDescent="0.3">
      <c r="N2779"/>
    </row>
    <row r="2780" spans="14:14" x14ac:dyDescent="0.3">
      <c r="N2780"/>
    </row>
    <row r="2781" spans="14:14" x14ac:dyDescent="0.3">
      <c r="N2781"/>
    </row>
    <row r="2782" spans="14:14" x14ac:dyDescent="0.3">
      <c r="N2782"/>
    </row>
    <row r="2783" spans="14:14" x14ac:dyDescent="0.3">
      <c r="N2783"/>
    </row>
    <row r="2784" spans="14:14" x14ac:dyDescent="0.3">
      <c r="N2784"/>
    </row>
    <row r="2785" spans="14:14" x14ac:dyDescent="0.3">
      <c r="N2785"/>
    </row>
    <row r="2786" spans="14:14" x14ac:dyDescent="0.3">
      <c r="N2786"/>
    </row>
    <row r="2787" spans="14:14" x14ac:dyDescent="0.3">
      <c r="N2787"/>
    </row>
    <row r="2788" spans="14:14" x14ac:dyDescent="0.3">
      <c r="N2788"/>
    </row>
    <row r="2789" spans="14:14" x14ac:dyDescent="0.3">
      <c r="N2789"/>
    </row>
    <row r="2790" spans="14:14" x14ac:dyDescent="0.3">
      <c r="N2790"/>
    </row>
    <row r="2791" spans="14:14" x14ac:dyDescent="0.3">
      <c r="N2791"/>
    </row>
    <row r="2792" spans="14:14" x14ac:dyDescent="0.3">
      <c r="N2792"/>
    </row>
    <row r="2793" spans="14:14" x14ac:dyDescent="0.3">
      <c r="N2793"/>
    </row>
    <row r="2794" spans="14:14" x14ac:dyDescent="0.3">
      <c r="N2794"/>
    </row>
    <row r="2795" spans="14:14" x14ac:dyDescent="0.3">
      <c r="N2795"/>
    </row>
    <row r="2796" spans="14:14" x14ac:dyDescent="0.3">
      <c r="N2796"/>
    </row>
    <row r="2797" spans="14:14" x14ac:dyDescent="0.3">
      <c r="N2797"/>
    </row>
    <row r="2798" spans="14:14" x14ac:dyDescent="0.3">
      <c r="N2798"/>
    </row>
    <row r="2799" spans="14:14" x14ac:dyDescent="0.3">
      <c r="N2799"/>
    </row>
    <row r="2800" spans="14:14" x14ac:dyDescent="0.3">
      <c r="N2800"/>
    </row>
    <row r="2801" spans="14:14" x14ac:dyDescent="0.3">
      <c r="N2801"/>
    </row>
    <row r="2802" spans="14:14" x14ac:dyDescent="0.3">
      <c r="N2802"/>
    </row>
    <row r="2803" spans="14:14" x14ac:dyDescent="0.3">
      <c r="N2803"/>
    </row>
    <row r="2804" spans="14:14" x14ac:dyDescent="0.3">
      <c r="N2804"/>
    </row>
    <row r="2805" spans="14:14" x14ac:dyDescent="0.3">
      <c r="N2805"/>
    </row>
    <row r="2806" spans="14:14" x14ac:dyDescent="0.3">
      <c r="N2806"/>
    </row>
    <row r="2807" spans="14:14" x14ac:dyDescent="0.3">
      <c r="N2807"/>
    </row>
    <row r="2808" spans="14:14" x14ac:dyDescent="0.3">
      <c r="N2808"/>
    </row>
    <row r="2809" spans="14:14" x14ac:dyDescent="0.3">
      <c r="N2809"/>
    </row>
    <row r="2810" spans="14:14" x14ac:dyDescent="0.3">
      <c r="N2810"/>
    </row>
    <row r="2811" spans="14:14" x14ac:dyDescent="0.3">
      <c r="N2811"/>
    </row>
    <row r="2812" spans="14:14" x14ac:dyDescent="0.3">
      <c r="N2812"/>
    </row>
    <row r="2813" spans="14:14" x14ac:dyDescent="0.3">
      <c r="N2813"/>
    </row>
    <row r="2814" spans="14:14" x14ac:dyDescent="0.3">
      <c r="N2814"/>
    </row>
    <row r="2815" spans="14:14" x14ac:dyDescent="0.3">
      <c r="N2815"/>
    </row>
    <row r="2816" spans="14:14" x14ac:dyDescent="0.3">
      <c r="N2816"/>
    </row>
    <row r="2817" spans="14:14" x14ac:dyDescent="0.3">
      <c r="N2817"/>
    </row>
    <row r="2818" spans="14:14" x14ac:dyDescent="0.3">
      <c r="N2818"/>
    </row>
    <row r="2819" spans="14:14" x14ac:dyDescent="0.3">
      <c r="N2819"/>
    </row>
    <row r="2820" spans="14:14" x14ac:dyDescent="0.3">
      <c r="N2820"/>
    </row>
    <row r="2821" spans="14:14" x14ac:dyDescent="0.3">
      <c r="N2821"/>
    </row>
    <row r="2822" spans="14:14" x14ac:dyDescent="0.3">
      <c r="N2822"/>
    </row>
    <row r="2823" spans="14:14" x14ac:dyDescent="0.3">
      <c r="N2823"/>
    </row>
    <row r="2824" spans="14:14" x14ac:dyDescent="0.3">
      <c r="N2824"/>
    </row>
    <row r="2825" spans="14:14" x14ac:dyDescent="0.3">
      <c r="N2825"/>
    </row>
    <row r="2826" spans="14:14" x14ac:dyDescent="0.3">
      <c r="N2826"/>
    </row>
    <row r="2827" spans="14:14" x14ac:dyDescent="0.3">
      <c r="N2827"/>
    </row>
    <row r="2828" spans="14:14" x14ac:dyDescent="0.3">
      <c r="N2828"/>
    </row>
    <row r="2829" spans="14:14" x14ac:dyDescent="0.3">
      <c r="N2829"/>
    </row>
    <row r="2830" spans="14:14" x14ac:dyDescent="0.3">
      <c r="N2830"/>
    </row>
    <row r="2831" spans="14:14" x14ac:dyDescent="0.3">
      <c r="N2831"/>
    </row>
    <row r="2832" spans="14:14" x14ac:dyDescent="0.3">
      <c r="N2832"/>
    </row>
    <row r="2833" spans="14:14" x14ac:dyDescent="0.3">
      <c r="N2833"/>
    </row>
    <row r="2834" spans="14:14" x14ac:dyDescent="0.3">
      <c r="N2834"/>
    </row>
    <row r="2835" spans="14:14" x14ac:dyDescent="0.3">
      <c r="N2835"/>
    </row>
    <row r="2836" spans="14:14" x14ac:dyDescent="0.3">
      <c r="N2836"/>
    </row>
    <row r="2837" spans="14:14" x14ac:dyDescent="0.3">
      <c r="N2837"/>
    </row>
    <row r="2838" spans="14:14" x14ac:dyDescent="0.3">
      <c r="N2838"/>
    </row>
    <row r="2839" spans="14:14" x14ac:dyDescent="0.3">
      <c r="N2839"/>
    </row>
    <row r="2840" spans="14:14" x14ac:dyDescent="0.3">
      <c r="N2840"/>
    </row>
    <row r="2841" spans="14:14" x14ac:dyDescent="0.3">
      <c r="N2841"/>
    </row>
    <row r="2842" spans="14:14" x14ac:dyDescent="0.3">
      <c r="N2842"/>
    </row>
    <row r="2843" spans="14:14" x14ac:dyDescent="0.3">
      <c r="N2843"/>
    </row>
    <row r="2844" spans="14:14" x14ac:dyDescent="0.3">
      <c r="N2844"/>
    </row>
    <row r="2845" spans="14:14" x14ac:dyDescent="0.3">
      <c r="N2845"/>
    </row>
    <row r="2846" spans="14:14" x14ac:dyDescent="0.3">
      <c r="N2846"/>
    </row>
    <row r="2847" spans="14:14" x14ac:dyDescent="0.3">
      <c r="N2847"/>
    </row>
    <row r="2848" spans="14:14" x14ac:dyDescent="0.3">
      <c r="N2848"/>
    </row>
    <row r="2849" spans="14:14" x14ac:dyDescent="0.3">
      <c r="N2849"/>
    </row>
    <row r="2850" spans="14:14" x14ac:dyDescent="0.3">
      <c r="N2850"/>
    </row>
    <row r="2851" spans="14:14" x14ac:dyDescent="0.3">
      <c r="N2851"/>
    </row>
    <row r="2852" spans="14:14" x14ac:dyDescent="0.3">
      <c r="N2852"/>
    </row>
    <row r="2853" spans="14:14" x14ac:dyDescent="0.3">
      <c r="N2853"/>
    </row>
    <row r="2854" spans="14:14" x14ac:dyDescent="0.3">
      <c r="N2854"/>
    </row>
    <row r="2855" spans="14:14" x14ac:dyDescent="0.3">
      <c r="N2855"/>
    </row>
    <row r="2856" spans="14:14" x14ac:dyDescent="0.3">
      <c r="N2856"/>
    </row>
    <row r="2857" spans="14:14" x14ac:dyDescent="0.3">
      <c r="N2857"/>
    </row>
    <row r="2858" spans="14:14" x14ac:dyDescent="0.3">
      <c r="N2858"/>
    </row>
    <row r="2859" spans="14:14" x14ac:dyDescent="0.3">
      <c r="N2859"/>
    </row>
    <row r="2860" spans="14:14" x14ac:dyDescent="0.3">
      <c r="N2860"/>
    </row>
    <row r="2861" spans="14:14" x14ac:dyDescent="0.3">
      <c r="N2861"/>
    </row>
    <row r="2862" spans="14:14" x14ac:dyDescent="0.3">
      <c r="N2862"/>
    </row>
    <row r="2863" spans="14:14" x14ac:dyDescent="0.3">
      <c r="N2863"/>
    </row>
    <row r="2864" spans="14:14" x14ac:dyDescent="0.3">
      <c r="N2864"/>
    </row>
    <row r="2865" spans="14:14" x14ac:dyDescent="0.3">
      <c r="N2865"/>
    </row>
    <row r="2866" spans="14:14" x14ac:dyDescent="0.3">
      <c r="N2866"/>
    </row>
    <row r="2867" spans="14:14" x14ac:dyDescent="0.3">
      <c r="N2867"/>
    </row>
    <row r="2868" spans="14:14" x14ac:dyDescent="0.3">
      <c r="N2868"/>
    </row>
    <row r="2869" spans="14:14" x14ac:dyDescent="0.3">
      <c r="N2869"/>
    </row>
    <row r="2870" spans="14:14" x14ac:dyDescent="0.3">
      <c r="N2870"/>
    </row>
    <row r="2871" spans="14:14" x14ac:dyDescent="0.3">
      <c r="N2871"/>
    </row>
    <row r="2872" spans="14:14" x14ac:dyDescent="0.3">
      <c r="N2872"/>
    </row>
    <row r="2873" spans="14:14" x14ac:dyDescent="0.3">
      <c r="N2873"/>
    </row>
    <row r="2874" spans="14:14" x14ac:dyDescent="0.3">
      <c r="N2874"/>
    </row>
    <row r="2875" spans="14:14" x14ac:dyDescent="0.3">
      <c r="N2875"/>
    </row>
    <row r="2876" spans="14:14" x14ac:dyDescent="0.3">
      <c r="N2876"/>
    </row>
    <row r="2877" spans="14:14" x14ac:dyDescent="0.3">
      <c r="N2877"/>
    </row>
    <row r="2878" spans="14:14" x14ac:dyDescent="0.3">
      <c r="N2878"/>
    </row>
    <row r="2879" spans="14:14" x14ac:dyDescent="0.3">
      <c r="N2879"/>
    </row>
    <row r="2880" spans="14:14" x14ac:dyDescent="0.3">
      <c r="N2880"/>
    </row>
    <row r="2881" spans="14:14" x14ac:dyDescent="0.3">
      <c r="N2881"/>
    </row>
    <row r="2882" spans="14:14" x14ac:dyDescent="0.3">
      <c r="N2882"/>
    </row>
    <row r="2883" spans="14:14" x14ac:dyDescent="0.3">
      <c r="N2883"/>
    </row>
    <row r="2884" spans="14:14" x14ac:dyDescent="0.3">
      <c r="N2884"/>
    </row>
    <row r="2885" spans="14:14" x14ac:dyDescent="0.3">
      <c r="N2885"/>
    </row>
    <row r="2886" spans="14:14" x14ac:dyDescent="0.3">
      <c r="N2886"/>
    </row>
    <row r="2887" spans="14:14" x14ac:dyDescent="0.3">
      <c r="N2887"/>
    </row>
    <row r="2888" spans="14:14" x14ac:dyDescent="0.3">
      <c r="N2888"/>
    </row>
    <row r="2889" spans="14:14" x14ac:dyDescent="0.3">
      <c r="N2889"/>
    </row>
    <row r="2890" spans="14:14" x14ac:dyDescent="0.3">
      <c r="N2890"/>
    </row>
    <row r="2891" spans="14:14" x14ac:dyDescent="0.3">
      <c r="N2891"/>
    </row>
    <row r="2892" spans="14:14" x14ac:dyDescent="0.3">
      <c r="N2892"/>
    </row>
    <row r="2893" spans="14:14" x14ac:dyDescent="0.3">
      <c r="N2893"/>
    </row>
    <row r="2894" spans="14:14" x14ac:dyDescent="0.3">
      <c r="N2894"/>
    </row>
    <row r="2895" spans="14:14" x14ac:dyDescent="0.3">
      <c r="N2895"/>
    </row>
    <row r="2896" spans="14:14" x14ac:dyDescent="0.3">
      <c r="N2896"/>
    </row>
    <row r="2897" spans="14:14" x14ac:dyDescent="0.3">
      <c r="N2897"/>
    </row>
    <row r="2898" spans="14:14" x14ac:dyDescent="0.3">
      <c r="N2898"/>
    </row>
    <row r="2899" spans="14:14" x14ac:dyDescent="0.3">
      <c r="N2899"/>
    </row>
    <row r="2900" spans="14:14" x14ac:dyDescent="0.3">
      <c r="N2900"/>
    </row>
    <row r="2901" spans="14:14" x14ac:dyDescent="0.3">
      <c r="N2901"/>
    </row>
    <row r="2902" spans="14:14" x14ac:dyDescent="0.3">
      <c r="N2902"/>
    </row>
    <row r="2903" spans="14:14" x14ac:dyDescent="0.3">
      <c r="N2903"/>
    </row>
    <row r="2904" spans="14:14" x14ac:dyDescent="0.3">
      <c r="N2904"/>
    </row>
    <row r="2905" spans="14:14" x14ac:dyDescent="0.3">
      <c r="N2905"/>
    </row>
    <row r="2906" spans="14:14" x14ac:dyDescent="0.3">
      <c r="N2906"/>
    </row>
    <row r="2907" spans="14:14" x14ac:dyDescent="0.3">
      <c r="N2907"/>
    </row>
    <row r="2908" spans="14:14" x14ac:dyDescent="0.3">
      <c r="N2908"/>
    </row>
    <row r="2909" spans="14:14" x14ac:dyDescent="0.3">
      <c r="N2909"/>
    </row>
    <row r="2910" spans="14:14" x14ac:dyDescent="0.3">
      <c r="N2910"/>
    </row>
    <row r="2911" spans="14:14" x14ac:dyDescent="0.3">
      <c r="N2911"/>
    </row>
    <row r="2912" spans="14:14" x14ac:dyDescent="0.3">
      <c r="N2912"/>
    </row>
    <row r="2913" spans="14:14" x14ac:dyDescent="0.3">
      <c r="N2913"/>
    </row>
    <row r="2914" spans="14:14" x14ac:dyDescent="0.3">
      <c r="N2914"/>
    </row>
    <row r="2915" spans="14:14" x14ac:dyDescent="0.3">
      <c r="N2915"/>
    </row>
    <row r="2916" spans="14:14" x14ac:dyDescent="0.3">
      <c r="N2916"/>
    </row>
    <row r="2917" spans="14:14" x14ac:dyDescent="0.3">
      <c r="N2917"/>
    </row>
    <row r="2918" spans="14:14" x14ac:dyDescent="0.3">
      <c r="N2918"/>
    </row>
    <row r="2919" spans="14:14" x14ac:dyDescent="0.3">
      <c r="N2919"/>
    </row>
    <row r="2920" spans="14:14" x14ac:dyDescent="0.3">
      <c r="N2920"/>
    </row>
    <row r="2921" spans="14:14" x14ac:dyDescent="0.3">
      <c r="N2921"/>
    </row>
    <row r="2922" spans="14:14" x14ac:dyDescent="0.3">
      <c r="N2922"/>
    </row>
    <row r="2923" spans="14:14" x14ac:dyDescent="0.3">
      <c r="N2923"/>
    </row>
    <row r="2924" spans="14:14" x14ac:dyDescent="0.3">
      <c r="N2924"/>
    </row>
    <row r="2925" spans="14:14" x14ac:dyDescent="0.3">
      <c r="N2925"/>
    </row>
    <row r="2926" spans="14:14" x14ac:dyDescent="0.3">
      <c r="N2926"/>
    </row>
    <row r="2927" spans="14:14" x14ac:dyDescent="0.3">
      <c r="N2927"/>
    </row>
    <row r="2928" spans="14:14" x14ac:dyDescent="0.3">
      <c r="N2928"/>
    </row>
    <row r="2929" spans="14:14" x14ac:dyDescent="0.3">
      <c r="N2929"/>
    </row>
    <row r="2930" spans="14:14" x14ac:dyDescent="0.3">
      <c r="N2930"/>
    </row>
    <row r="2931" spans="14:14" x14ac:dyDescent="0.3">
      <c r="N2931"/>
    </row>
    <row r="2932" spans="14:14" x14ac:dyDescent="0.3">
      <c r="N2932"/>
    </row>
    <row r="2933" spans="14:14" x14ac:dyDescent="0.3">
      <c r="N2933"/>
    </row>
    <row r="2934" spans="14:14" x14ac:dyDescent="0.3">
      <c r="N2934"/>
    </row>
    <row r="2935" spans="14:14" x14ac:dyDescent="0.3">
      <c r="N2935"/>
    </row>
    <row r="2936" spans="14:14" x14ac:dyDescent="0.3">
      <c r="N2936"/>
    </row>
    <row r="2937" spans="14:14" x14ac:dyDescent="0.3">
      <c r="N2937"/>
    </row>
    <row r="2938" spans="14:14" x14ac:dyDescent="0.3">
      <c r="N2938"/>
    </row>
    <row r="2939" spans="14:14" x14ac:dyDescent="0.3">
      <c r="N2939"/>
    </row>
    <row r="2940" spans="14:14" x14ac:dyDescent="0.3">
      <c r="N2940"/>
    </row>
    <row r="2941" spans="14:14" x14ac:dyDescent="0.3">
      <c r="N2941"/>
    </row>
    <row r="2942" spans="14:14" x14ac:dyDescent="0.3">
      <c r="N2942"/>
    </row>
    <row r="2943" spans="14:14" x14ac:dyDescent="0.3">
      <c r="N2943"/>
    </row>
    <row r="2944" spans="14:14" x14ac:dyDescent="0.3">
      <c r="N2944"/>
    </row>
    <row r="2945" spans="14:14" x14ac:dyDescent="0.3">
      <c r="N2945"/>
    </row>
    <row r="2946" spans="14:14" x14ac:dyDescent="0.3">
      <c r="N2946"/>
    </row>
    <row r="2947" spans="14:14" x14ac:dyDescent="0.3">
      <c r="N2947"/>
    </row>
    <row r="2948" spans="14:14" x14ac:dyDescent="0.3">
      <c r="N2948"/>
    </row>
    <row r="2949" spans="14:14" x14ac:dyDescent="0.3">
      <c r="N2949"/>
    </row>
    <row r="2950" spans="14:14" x14ac:dyDescent="0.3">
      <c r="N2950"/>
    </row>
    <row r="2951" spans="14:14" x14ac:dyDescent="0.3">
      <c r="N2951"/>
    </row>
    <row r="2952" spans="14:14" x14ac:dyDescent="0.3">
      <c r="N2952"/>
    </row>
    <row r="2953" spans="14:14" x14ac:dyDescent="0.3">
      <c r="N2953"/>
    </row>
    <row r="2954" spans="14:14" x14ac:dyDescent="0.3">
      <c r="N2954"/>
    </row>
    <row r="2955" spans="14:14" x14ac:dyDescent="0.3">
      <c r="N2955"/>
    </row>
    <row r="2956" spans="14:14" x14ac:dyDescent="0.3">
      <c r="N2956"/>
    </row>
    <row r="2957" spans="14:14" x14ac:dyDescent="0.3">
      <c r="N2957"/>
    </row>
    <row r="2958" spans="14:14" x14ac:dyDescent="0.3">
      <c r="N2958"/>
    </row>
    <row r="2959" spans="14:14" x14ac:dyDescent="0.3">
      <c r="N2959"/>
    </row>
    <row r="2960" spans="14:14" x14ac:dyDescent="0.3">
      <c r="N2960"/>
    </row>
    <row r="2961" spans="14:14" x14ac:dyDescent="0.3">
      <c r="N2961"/>
    </row>
    <row r="2962" spans="14:14" x14ac:dyDescent="0.3">
      <c r="N2962"/>
    </row>
    <row r="2963" spans="14:14" x14ac:dyDescent="0.3">
      <c r="N2963"/>
    </row>
    <row r="2964" spans="14:14" x14ac:dyDescent="0.3">
      <c r="N2964"/>
    </row>
    <row r="2965" spans="14:14" x14ac:dyDescent="0.3">
      <c r="N2965"/>
    </row>
    <row r="2966" spans="14:14" x14ac:dyDescent="0.3">
      <c r="N2966"/>
    </row>
    <row r="2967" spans="14:14" x14ac:dyDescent="0.3">
      <c r="N2967"/>
    </row>
    <row r="2968" spans="14:14" x14ac:dyDescent="0.3">
      <c r="N2968"/>
    </row>
    <row r="2969" spans="14:14" x14ac:dyDescent="0.3">
      <c r="N2969"/>
    </row>
    <row r="2970" spans="14:14" x14ac:dyDescent="0.3">
      <c r="N2970"/>
    </row>
    <row r="2971" spans="14:14" x14ac:dyDescent="0.3">
      <c r="N2971"/>
    </row>
    <row r="2972" spans="14:14" x14ac:dyDescent="0.3">
      <c r="N2972"/>
    </row>
    <row r="2973" spans="14:14" x14ac:dyDescent="0.3">
      <c r="N2973"/>
    </row>
    <row r="2974" spans="14:14" x14ac:dyDescent="0.3">
      <c r="N2974"/>
    </row>
    <row r="2975" spans="14:14" x14ac:dyDescent="0.3">
      <c r="N2975"/>
    </row>
    <row r="2976" spans="14:14" x14ac:dyDescent="0.3">
      <c r="N2976"/>
    </row>
    <row r="2977" spans="14:14" x14ac:dyDescent="0.3">
      <c r="N2977"/>
    </row>
    <row r="2978" spans="14:14" x14ac:dyDescent="0.3">
      <c r="N2978"/>
    </row>
    <row r="2979" spans="14:14" x14ac:dyDescent="0.3">
      <c r="N2979"/>
    </row>
    <row r="2980" spans="14:14" x14ac:dyDescent="0.3">
      <c r="N2980"/>
    </row>
    <row r="2981" spans="14:14" x14ac:dyDescent="0.3">
      <c r="N2981"/>
    </row>
    <row r="2982" spans="14:14" x14ac:dyDescent="0.3">
      <c r="N2982"/>
    </row>
    <row r="2983" spans="14:14" x14ac:dyDescent="0.3">
      <c r="N2983"/>
    </row>
    <row r="2984" spans="14:14" x14ac:dyDescent="0.3">
      <c r="N2984"/>
    </row>
    <row r="2985" spans="14:14" x14ac:dyDescent="0.3">
      <c r="N2985"/>
    </row>
    <row r="2986" spans="14:14" x14ac:dyDescent="0.3">
      <c r="N2986"/>
    </row>
    <row r="2987" spans="14:14" x14ac:dyDescent="0.3">
      <c r="N2987"/>
    </row>
    <row r="2988" spans="14:14" x14ac:dyDescent="0.3">
      <c r="N2988"/>
    </row>
    <row r="2989" spans="14:14" x14ac:dyDescent="0.3">
      <c r="N2989"/>
    </row>
    <row r="2990" spans="14:14" x14ac:dyDescent="0.3">
      <c r="N2990"/>
    </row>
    <row r="2991" spans="14:14" x14ac:dyDescent="0.3">
      <c r="N2991"/>
    </row>
    <row r="2992" spans="14:14" x14ac:dyDescent="0.3">
      <c r="N2992"/>
    </row>
    <row r="2993" spans="14:14" x14ac:dyDescent="0.3">
      <c r="N2993"/>
    </row>
    <row r="2994" spans="14:14" x14ac:dyDescent="0.3">
      <c r="N2994"/>
    </row>
    <row r="2995" spans="14:14" x14ac:dyDescent="0.3">
      <c r="N2995"/>
    </row>
    <row r="2996" spans="14:14" x14ac:dyDescent="0.3">
      <c r="N2996"/>
    </row>
    <row r="2997" spans="14:14" x14ac:dyDescent="0.3">
      <c r="N2997"/>
    </row>
    <row r="2998" spans="14:14" x14ac:dyDescent="0.3">
      <c r="N2998"/>
    </row>
    <row r="2999" spans="14:14" x14ac:dyDescent="0.3">
      <c r="N2999"/>
    </row>
    <row r="3000" spans="14:14" x14ac:dyDescent="0.3">
      <c r="N3000"/>
    </row>
    <row r="3001" spans="14:14" x14ac:dyDescent="0.3">
      <c r="N3001"/>
    </row>
    <row r="3002" spans="14:14" x14ac:dyDescent="0.3">
      <c r="N3002"/>
    </row>
    <row r="3003" spans="14:14" x14ac:dyDescent="0.3">
      <c r="N3003"/>
    </row>
    <row r="3004" spans="14:14" x14ac:dyDescent="0.3">
      <c r="N3004"/>
    </row>
    <row r="3005" spans="14:14" x14ac:dyDescent="0.3">
      <c r="N3005"/>
    </row>
    <row r="3006" spans="14:14" x14ac:dyDescent="0.3">
      <c r="N3006"/>
    </row>
    <row r="3007" spans="14:14" x14ac:dyDescent="0.3">
      <c r="N3007"/>
    </row>
    <row r="3008" spans="14:14" x14ac:dyDescent="0.3">
      <c r="N3008"/>
    </row>
    <row r="3009" spans="14:14" x14ac:dyDescent="0.3">
      <c r="N3009"/>
    </row>
    <row r="3010" spans="14:14" x14ac:dyDescent="0.3">
      <c r="N3010"/>
    </row>
    <row r="3011" spans="14:14" x14ac:dyDescent="0.3">
      <c r="N3011"/>
    </row>
    <row r="3012" spans="14:14" x14ac:dyDescent="0.3">
      <c r="N3012"/>
    </row>
    <row r="3013" spans="14:14" x14ac:dyDescent="0.3">
      <c r="N3013"/>
    </row>
    <row r="3014" spans="14:14" x14ac:dyDescent="0.3">
      <c r="N3014"/>
    </row>
    <row r="3015" spans="14:14" x14ac:dyDescent="0.3">
      <c r="N3015"/>
    </row>
    <row r="3016" spans="14:14" x14ac:dyDescent="0.3">
      <c r="N3016"/>
    </row>
    <row r="3017" spans="14:14" x14ac:dyDescent="0.3">
      <c r="N3017"/>
    </row>
    <row r="3018" spans="14:14" x14ac:dyDescent="0.3">
      <c r="N3018"/>
    </row>
    <row r="3019" spans="14:14" x14ac:dyDescent="0.3">
      <c r="N3019"/>
    </row>
    <row r="3020" spans="14:14" x14ac:dyDescent="0.3">
      <c r="N3020"/>
    </row>
    <row r="3021" spans="14:14" x14ac:dyDescent="0.3">
      <c r="N3021"/>
    </row>
    <row r="3022" spans="14:14" x14ac:dyDescent="0.3">
      <c r="N3022"/>
    </row>
    <row r="3023" spans="14:14" x14ac:dyDescent="0.3">
      <c r="N3023"/>
    </row>
    <row r="3024" spans="14:14" x14ac:dyDescent="0.3">
      <c r="N3024"/>
    </row>
    <row r="3025" spans="14:14" x14ac:dyDescent="0.3">
      <c r="N3025"/>
    </row>
    <row r="3026" spans="14:14" x14ac:dyDescent="0.3">
      <c r="N3026"/>
    </row>
    <row r="3027" spans="14:14" x14ac:dyDescent="0.3">
      <c r="N3027"/>
    </row>
    <row r="3028" spans="14:14" x14ac:dyDescent="0.3">
      <c r="N3028"/>
    </row>
    <row r="3029" spans="14:14" x14ac:dyDescent="0.3">
      <c r="N3029"/>
    </row>
    <row r="3030" spans="14:14" x14ac:dyDescent="0.3">
      <c r="N3030"/>
    </row>
    <row r="3031" spans="14:14" x14ac:dyDescent="0.3">
      <c r="N3031"/>
    </row>
    <row r="3032" spans="14:14" x14ac:dyDescent="0.3">
      <c r="N3032"/>
    </row>
    <row r="3033" spans="14:14" x14ac:dyDescent="0.3">
      <c r="N3033"/>
    </row>
    <row r="3034" spans="14:14" x14ac:dyDescent="0.3">
      <c r="N3034"/>
    </row>
    <row r="3035" spans="14:14" x14ac:dyDescent="0.3">
      <c r="N3035"/>
    </row>
    <row r="3036" spans="14:14" x14ac:dyDescent="0.3">
      <c r="N3036"/>
    </row>
    <row r="3037" spans="14:14" x14ac:dyDescent="0.3">
      <c r="N3037"/>
    </row>
    <row r="3038" spans="14:14" x14ac:dyDescent="0.3">
      <c r="N3038"/>
    </row>
    <row r="3039" spans="14:14" x14ac:dyDescent="0.3">
      <c r="N3039"/>
    </row>
    <row r="3040" spans="14:14" x14ac:dyDescent="0.3">
      <c r="N3040"/>
    </row>
    <row r="3041" spans="14:14" x14ac:dyDescent="0.3">
      <c r="N3041"/>
    </row>
    <row r="3042" spans="14:14" x14ac:dyDescent="0.3">
      <c r="N3042"/>
    </row>
    <row r="3043" spans="14:14" x14ac:dyDescent="0.3">
      <c r="N3043"/>
    </row>
    <row r="3044" spans="14:14" x14ac:dyDescent="0.3">
      <c r="N3044"/>
    </row>
    <row r="3045" spans="14:14" x14ac:dyDescent="0.3">
      <c r="N3045"/>
    </row>
    <row r="3046" spans="14:14" x14ac:dyDescent="0.3">
      <c r="N3046"/>
    </row>
    <row r="3047" spans="14:14" x14ac:dyDescent="0.3">
      <c r="N3047"/>
    </row>
    <row r="3048" spans="14:14" x14ac:dyDescent="0.3">
      <c r="N3048"/>
    </row>
    <row r="3049" spans="14:14" x14ac:dyDescent="0.3">
      <c r="N3049"/>
    </row>
    <row r="3050" spans="14:14" x14ac:dyDescent="0.3">
      <c r="N3050"/>
    </row>
    <row r="3051" spans="14:14" x14ac:dyDescent="0.3">
      <c r="N3051"/>
    </row>
    <row r="3052" spans="14:14" x14ac:dyDescent="0.3">
      <c r="N3052"/>
    </row>
    <row r="3053" spans="14:14" x14ac:dyDescent="0.3">
      <c r="N3053"/>
    </row>
    <row r="3054" spans="14:14" x14ac:dyDescent="0.3">
      <c r="N3054"/>
    </row>
    <row r="3055" spans="14:14" x14ac:dyDescent="0.3">
      <c r="N3055"/>
    </row>
    <row r="3056" spans="14:14" x14ac:dyDescent="0.3">
      <c r="N3056"/>
    </row>
    <row r="3057" spans="14:14" x14ac:dyDescent="0.3">
      <c r="N3057"/>
    </row>
    <row r="3058" spans="14:14" x14ac:dyDescent="0.3">
      <c r="N3058"/>
    </row>
    <row r="3059" spans="14:14" x14ac:dyDescent="0.3">
      <c r="N3059"/>
    </row>
    <row r="3060" spans="14:14" x14ac:dyDescent="0.3">
      <c r="N3060"/>
    </row>
    <row r="3061" spans="14:14" x14ac:dyDescent="0.3">
      <c r="N3061"/>
    </row>
    <row r="3062" spans="14:14" x14ac:dyDescent="0.3">
      <c r="N3062"/>
    </row>
    <row r="3063" spans="14:14" x14ac:dyDescent="0.3">
      <c r="N3063"/>
    </row>
    <row r="3064" spans="14:14" x14ac:dyDescent="0.3">
      <c r="N3064"/>
    </row>
    <row r="3065" spans="14:14" x14ac:dyDescent="0.3">
      <c r="N3065"/>
    </row>
    <row r="3066" spans="14:14" x14ac:dyDescent="0.3">
      <c r="N3066"/>
    </row>
    <row r="3067" spans="14:14" x14ac:dyDescent="0.3">
      <c r="N3067"/>
    </row>
    <row r="3068" spans="14:14" x14ac:dyDescent="0.3">
      <c r="N3068"/>
    </row>
    <row r="3069" spans="14:14" x14ac:dyDescent="0.3">
      <c r="N3069"/>
    </row>
    <row r="3070" spans="14:14" x14ac:dyDescent="0.3">
      <c r="N3070"/>
    </row>
    <row r="3071" spans="14:14" x14ac:dyDescent="0.3">
      <c r="N3071"/>
    </row>
    <row r="3072" spans="14:14" x14ac:dyDescent="0.3">
      <c r="N3072"/>
    </row>
    <row r="3073" spans="14:14" x14ac:dyDescent="0.3">
      <c r="N3073"/>
    </row>
    <row r="3074" spans="14:14" x14ac:dyDescent="0.3">
      <c r="N3074"/>
    </row>
    <row r="3075" spans="14:14" x14ac:dyDescent="0.3">
      <c r="N3075"/>
    </row>
    <row r="3076" spans="14:14" x14ac:dyDescent="0.3">
      <c r="N3076"/>
    </row>
    <row r="3077" spans="14:14" x14ac:dyDescent="0.3">
      <c r="N3077"/>
    </row>
    <row r="3078" spans="14:14" x14ac:dyDescent="0.3">
      <c r="N3078"/>
    </row>
    <row r="3079" spans="14:14" x14ac:dyDescent="0.3">
      <c r="N3079"/>
    </row>
    <row r="3080" spans="14:14" x14ac:dyDescent="0.3">
      <c r="N3080"/>
    </row>
    <row r="3081" spans="14:14" x14ac:dyDescent="0.3">
      <c r="N3081"/>
    </row>
    <row r="3082" spans="14:14" x14ac:dyDescent="0.3">
      <c r="N3082"/>
    </row>
    <row r="3083" spans="14:14" x14ac:dyDescent="0.3">
      <c r="N3083"/>
    </row>
    <row r="3084" spans="14:14" x14ac:dyDescent="0.3">
      <c r="N3084"/>
    </row>
    <row r="3085" spans="14:14" x14ac:dyDescent="0.3">
      <c r="N3085"/>
    </row>
    <row r="3086" spans="14:14" x14ac:dyDescent="0.3">
      <c r="N3086"/>
    </row>
    <row r="3087" spans="14:14" x14ac:dyDescent="0.3">
      <c r="N3087"/>
    </row>
    <row r="3088" spans="14:14" x14ac:dyDescent="0.3">
      <c r="N3088"/>
    </row>
    <row r="3089" spans="14:14" x14ac:dyDescent="0.3">
      <c r="N3089"/>
    </row>
    <row r="3090" spans="14:14" x14ac:dyDescent="0.3">
      <c r="N3090"/>
    </row>
    <row r="3091" spans="14:14" x14ac:dyDescent="0.3">
      <c r="N3091"/>
    </row>
    <row r="3092" spans="14:14" x14ac:dyDescent="0.3">
      <c r="N3092"/>
    </row>
    <row r="3093" spans="14:14" x14ac:dyDescent="0.3">
      <c r="N3093"/>
    </row>
    <row r="3094" spans="14:14" x14ac:dyDescent="0.3">
      <c r="N3094"/>
    </row>
    <row r="3095" spans="14:14" x14ac:dyDescent="0.3">
      <c r="N3095"/>
    </row>
    <row r="3096" spans="14:14" x14ac:dyDescent="0.3">
      <c r="N3096"/>
    </row>
    <row r="3097" spans="14:14" x14ac:dyDescent="0.3">
      <c r="N3097"/>
    </row>
    <row r="3098" spans="14:14" x14ac:dyDescent="0.3">
      <c r="N3098"/>
    </row>
    <row r="3099" spans="14:14" x14ac:dyDescent="0.3">
      <c r="N3099"/>
    </row>
    <row r="3100" spans="14:14" x14ac:dyDescent="0.3">
      <c r="N3100"/>
    </row>
    <row r="3101" spans="14:14" x14ac:dyDescent="0.3">
      <c r="N3101"/>
    </row>
    <row r="3102" spans="14:14" x14ac:dyDescent="0.3">
      <c r="N3102"/>
    </row>
    <row r="3103" spans="14:14" x14ac:dyDescent="0.3">
      <c r="N3103"/>
    </row>
    <row r="3104" spans="14:14" x14ac:dyDescent="0.3">
      <c r="N3104"/>
    </row>
    <row r="3105" spans="14:14" x14ac:dyDescent="0.3">
      <c r="N3105"/>
    </row>
    <row r="3106" spans="14:14" x14ac:dyDescent="0.3">
      <c r="N3106"/>
    </row>
    <row r="3107" spans="14:14" x14ac:dyDescent="0.3">
      <c r="N3107"/>
    </row>
    <row r="3108" spans="14:14" x14ac:dyDescent="0.3">
      <c r="N3108"/>
    </row>
    <row r="3109" spans="14:14" x14ac:dyDescent="0.3">
      <c r="N3109"/>
    </row>
    <row r="3110" spans="14:14" x14ac:dyDescent="0.3">
      <c r="N3110"/>
    </row>
    <row r="3111" spans="14:14" x14ac:dyDescent="0.3">
      <c r="N3111"/>
    </row>
    <row r="3112" spans="14:14" x14ac:dyDescent="0.3">
      <c r="N3112"/>
    </row>
    <row r="3113" spans="14:14" x14ac:dyDescent="0.3">
      <c r="N3113"/>
    </row>
    <row r="3114" spans="14:14" x14ac:dyDescent="0.3">
      <c r="N3114"/>
    </row>
    <row r="3115" spans="14:14" x14ac:dyDescent="0.3">
      <c r="N3115"/>
    </row>
    <row r="3116" spans="14:14" x14ac:dyDescent="0.3">
      <c r="N3116"/>
    </row>
    <row r="3117" spans="14:14" x14ac:dyDescent="0.3">
      <c r="N3117"/>
    </row>
    <row r="3118" spans="14:14" x14ac:dyDescent="0.3">
      <c r="N3118"/>
    </row>
    <row r="3119" spans="14:14" x14ac:dyDescent="0.3">
      <c r="N3119"/>
    </row>
    <row r="3120" spans="14:14" x14ac:dyDescent="0.3">
      <c r="N3120"/>
    </row>
    <row r="3121" spans="14:14" x14ac:dyDescent="0.3">
      <c r="N3121"/>
    </row>
    <row r="3122" spans="14:14" x14ac:dyDescent="0.3">
      <c r="N3122"/>
    </row>
    <row r="3123" spans="14:14" x14ac:dyDescent="0.3">
      <c r="N3123"/>
    </row>
    <row r="3124" spans="14:14" x14ac:dyDescent="0.3">
      <c r="N3124"/>
    </row>
    <row r="3125" spans="14:14" x14ac:dyDescent="0.3">
      <c r="N3125"/>
    </row>
    <row r="3126" spans="14:14" x14ac:dyDescent="0.3">
      <c r="N3126"/>
    </row>
    <row r="3127" spans="14:14" x14ac:dyDescent="0.3">
      <c r="N3127"/>
    </row>
    <row r="3128" spans="14:14" x14ac:dyDescent="0.3">
      <c r="N3128"/>
    </row>
    <row r="3129" spans="14:14" x14ac:dyDescent="0.3">
      <c r="N3129"/>
    </row>
    <row r="3130" spans="14:14" x14ac:dyDescent="0.3">
      <c r="N3130"/>
    </row>
    <row r="3131" spans="14:14" x14ac:dyDescent="0.3">
      <c r="N3131"/>
    </row>
    <row r="3132" spans="14:14" x14ac:dyDescent="0.3">
      <c r="N3132"/>
    </row>
    <row r="3133" spans="14:14" x14ac:dyDescent="0.3">
      <c r="N3133"/>
    </row>
    <row r="3134" spans="14:14" x14ac:dyDescent="0.3">
      <c r="N3134"/>
    </row>
    <row r="3135" spans="14:14" x14ac:dyDescent="0.3">
      <c r="N3135"/>
    </row>
    <row r="3136" spans="14:14" x14ac:dyDescent="0.3">
      <c r="N3136"/>
    </row>
    <row r="3137" spans="14:14" x14ac:dyDescent="0.3">
      <c r="N3137"/>
    </row>
    <row r="3138" spans="14:14" x14ac:dyDescent="0.3">
      <c r="N3138"/>
    </row>
    <row r="3139" spans="14:14" x14ac:dyDescent="0.3">
      <c r="N3139"/>
    </row>
    <row r="3140" spans="14:14" x14ac:dyDescent="0.3">
      <c r="N3140"/>
    </row>
    <row r="3141" spans="14:14" x14ac:dyDescent="0.3">
      <c r="N3141"/>
    </row>
    <row r="3142" spans="14:14" x14ac:dyDescent="0.3">
      <c r="N3142"/>
    </row>
    <row r="3143" spans="14:14" x14ac:dyDescent="0.3">
      <c r="N3143"/>
    </row>
    <row r="3144" spans="14:14" x14ac:dyDescent="0.3">
      <c r="N3144"/>
    </row>
    <row r="3145" spans="14:14" x14ac:dyDescent="0.3">
      <c r="N3145"/>
    </row>
    <row r="3146" spans="14:14" x14ac:dyDescent="0.3">
      <c r="N3146"/>
    </row>
    <row r="3147" spans="14:14" x14ac:dyDescent="0.3">
      <c r="N3147"/>
    </row>
    <row r="3148" spans="14:14" x14ac:dyDescent="0.3">
      <c r="N3148"/>
    </row>
    <row r="3149" spans="14:14" x14ac:dyDescent="0.3">
      <c r="N3149"/>
    </row>
    <row r="3150" spans="14:14" x14ac:dyDescent="0.3">
      <c r="N3150"/>
    </row>
    <row r="3151" spans="14:14" x14ac:dyDescent="0.3">
      <c r="N3151"/>
    </row>
    <row r="3152" spans="14:14" x14ac:dyDescent="0.3">
      <c r="N3152"/>
    </row>
    <row r="3153" spans="14:14" x14ac:dyDescent="0.3">
      <c r="N3153"/>
    </row>
    <row r="3154" spans="14:14" x14ac:dyDescent="0.3">
      <c r="N3154"/>
    </row>
    <row r="3155" spans="14:14" x14ac:dyDescent="0.3">
      <c r="N3155"/>
    </row>
    <row r="3156" spans="14:14" x14ac:dyDescent="0.3">
      <c r="N3156"/>
    </row>
    <row r="3157" spans="14:14" x14ac:dyDescent="0.3">
      <c r="N3157"/>
    </row>
    <row r="3158" spans="14:14" x14ac:dyDescent="0.3">
      <c r="N3158"/>
    </row>
    <row r="3159" spans="14:14" x14ac:dyDescent="0.3">
      <c r="N3159"/>
    </row>
    <row r="3160" spans="14:14" x14ac:dyDescent="0.3">
      <c r="N3160"/>
    </row>
    <row r="3161" spans="14:14" x14ac:dyDescent="0.3">
      <c r="N3161"/>
    </row>
    <row r="3162" spans="14:14" x14ac:dyDescent="0.3">
      <c r="N3162"/>
    </row>
    <row r="3163" spans="14:14" x14ac:dyDescent="0.3">
      <c r="N3163"/>
    </row>
    <row r="3164" spans="14:14" x14ac:dyDescent="0.3">
      <c r="N3164"/>
    </row>
    <row r="3165" spans="14:14" x14ac:dyDescent="0.3">
      <c r="N3165"/>
    </row>
    <row r="3166" spans="14:14" x14ac:dyDescent="0.3">
      <c r="N3166"/>
    </row>
    <row r="3167" spans="14:14" x14ac:dyDescent="0.3">
      <c r="N3167"/>
    </row>
    <row r="3168" spans="14:14" x14ac:dyDescent="0.3">
      <c r="N3168"/>
    </row>
    <row r="3169" spans="14:14" x14ac:dyDescent="0.3">
      <c r="N3169"/>
    </row>
    <row r="3170" spans="14:14" x14ac:dyDescent="0.3">
      <c r="N3170"/>
    </row>
    <row r="3171" spans="14:14" x14ac:dyDescent="0.3">
      <c r="N3171"/>
    </row>
    <row r="3172" spans="14:14" x14ac:dyDescent="0.3">
      <c r="N3172"/>
    </row>
    <row r="3173" spans="14:14" x14ac:dyDescent="0.3">
      <c r="N3173"/>
    </row>
    <row r="3174" spans="14:14" x14ac:dyDescent="0.3">
      <c r="N3174"/>
    </row>
    <row r="3175" spans="14:14" x14ac:dyDescent="0.3">
      <c r="N3175"/>
    </row>
    <row r="3176" spans="14:14" x14ac:dyDescent="0.3">
      <c r="N3176"/>
    </row>
    <row r="3177" spans="14:14" x14ac:dyDescent="0.3">
      <c r="N3177"/>
    </row>
    <row r="3178" spans="14:14" x14ac:dyDescent="0.3">
      <c r="N3178"/>
    </row>
    <row r="3179" spans="14:14" x14ac:dyDescent="0.3">
      <c r="N3179"/>
    </row>
    <row r="3180" spans="14:14" x14ac:dyDescent="0.3">
      <c r="N3180"/>
    </row>
    <row r="3181" spans="14:14" x14ac:dyDescent="0.3">
      <c r="N3181"/>
    </row>
    <row r="3182" spans="14:14" x14ac:dyDescent="0.3">
      <c r="N3182"/>
    </row>
    <row r="3183" spans="14:14" x14ac:dyDescent="0.3">
      <c r="N3183"/>
    </row>
    <row r="3184" spans="14:14" x14ac:dyDescent="0.3">
      <c r="N3184"/>
    </row>
    <row r="3185" spans="14:14" x14ac:dyDescent="0.3">
      <c r="N3185"/>
    </row>
    <row r="3186" spans="14:14" x14ac:dyDescent="0.3">
      <c r="N3186"/>
    </row>
    <row r="3187" spans="14:14" x14ac:dyDescent="0.3">
      <c r="N3187"/>
    </row>
    <row r="3188" spans="14:14" x14ac:dyDescent="0.3">
      <c r="N3188"/>
    </row>
    <row r="3189" spans="14:14" x14ac:dyDescent="0.3">
      <c r="N3189"/>
    </row>
    <row r="3190" spans="14:14" x14ac:dyDescent="0.3">
      <c r="N3190"/>
    </row>
    <row r="3191" spans="14:14" x14ac:dyDescent="0.3">
      <c r="N3191"/>
    </row>
    <row r="3192" spans="14:14" x14ac:dyDescent="0.3">
      <c r="N3192"/>
    </row>
    <row r="3193" spans="14:14" x14ac:dyDescent="0.3">
      <c r="N3193"/>
    </row>
    <row r="3194" spans="14:14" x14ac:dyDescent="0.3">
      <c r="N3194"/>
    </row>
    <row r="3195" spans="14:14" x14ac:dyDescent="0.3">
      <c r="N3195"/>
    </row>
    <row r="3196" spans="14:14" x14ac:dyDescent="0.3">
      <c r="N3196"/>
    </row>
    <row r="3197" spans="14:14" x14ac:dyDescent="0.3">
      <c r="N3197"/>
    </row>
    <row r="3198" spans="14:14" x14ac:dyDescent="0.3">
      <c r="N3198"/>
    </row>
    <row r="3199" spans="14:14" x14ac:dyDescent="0.3">
      <c r="N3199"/>
    </row>
    <row r="3200" spans="14:14" x14ac:dyDescent="0.3">
      <c r="N3200"/>
    </row>
    <row r="3201" spans="14:14" x14ac:dyDescent="0.3">
      <c r="N3201"/>
    </row>
    <row r="3202" spans="14:14" x14ac:dyDescent="0.3">
      <c r="N3202"/>
    </row>
    <row r="3203" spans="14:14" x14ac:dyDescent="0.3">
      <c r="N3203"/>
    </row>
    <row r="3204" spans="14:14" x14ac:dyDescent="0.3">
      <c r="N3204"/>
    </row>
    <row r="3205" spans="14:14" x14ac:dyDescent="0.3">
      <c r="N3205"/>
    </row>
    <row r="3206" spans="14:14" x14ac:dyDescent="0.3">
      <c r="N3206"/>
    </row>
    <row r="3207" spans="14:14" x14ac:dyDescent="0.3">
      <c r="N3207"/>
    </row>
    <row r="3208" spans="14:14" x14ac:dyDescent="0.3">
      <c r="N3208"/>
    </row>
    <row r="3209" spans="14:14" x14ac:dyDescent="0.3">
      <c r="N3209"/>
    </row>
    <row r="3210" spans="14:14" x14ac:dyDescent="0.3">
      <c r="N3210"/>
    </row>
    <row r="3211" spans="14:14" x14ac:dyDescent="0.3">
      <c r="N3211"/>
    </row>
    <row r="3212" spans="14:14" x14ac:dyDescent="0.3">
      <c r="N3212"/>
    </row>
    <row r="3213" spans="14:14" x14ac:dyDescent="0.3">
      <c r="N3213"/>
    </row>
    <row r="3214" spans="14:14" x14ac:dyDescent="0.3">
      <c r="N3214"/>
    </row>
    <row r="3215" spans="14:14" x14ac:dyDescent="0.3">
      <c r="N3215"/>
    </row>
    <row r="3216" spans="14:14" x14ac:dyDescent="0.3">
      <c r="N3216"/>
    </row>
    <row r="3217" spans="14:14" x14ac:dyDescent="0.3">
      <c r="N3217"/>
    </row>
    <row r="3218" spans="14:14" x14ac:dyDescent="0.3">
      <c r="N3218"/>
    </row>
    <row r="3219" spans="14:14" x14ac:dyDescent="0.3">
      <c r="N3219"/>
    </row>
    <row r="3220" spans="14:14" x14ac:dyDescent="0.3">
      <c r="N3220"/>
    </row>
    <row r="3221" spans="14:14" x14ac:dyDescent="0.3">
      <c r="N3221"/>
    </row>
    <row r="3222" spans="14:14" x14ac:dyDescent="0.3">
      <c r="N3222"/>
    </row>
    <row r="3223" spans="14:14" x14ac:dyDescent="0.3">
      <c r="N3223"/>
    </row>
    <row r="3224" spans="14:14" x14ac:dyDescent="0.3">
      <c r="N3224"/>
    </row>
    <row r="3225" spans="14:14" x14ac:dyDescent="0.3">
      <c r="N3225"/>
    </row>
    <row r="3226" spans="14:14" x14ac:dyDescent="0.3">
      <c r="N3226"/>
    </row>
    <row r="3227" spans="14:14" x14ac:dyDescent="0.3">
      <c r="N3227"/>
    </row>
    <row r="3228" spans="14:14" x14ac:dyDescent="0.3">
      <c r="N3228"/>
    </row>
    <row r="3229" spans="14:14" x14ac:dyDescent="0.3">
      <c r="N3229"/>
    </row>
    <row r="3230" spans="14:14" x14ac:dyDescent="0.3">
      <c r="N3230"/>
    </row>
    <row r="3231" spans="14:14" x14ac:dyDescent="0.3">
      <c r="N3231"/>
    </row>
    <row r="3232" spans="14:14" x14ac:dyDescent="0.3">
      <c r="N3232"/>
    </row>
    <row r="3233" spans="14:14" x14ac:dyDescent="0.3">
      <c r="N3233"/>
    </row>
    <row r="3234" spans="14:14" x14ac:dyDescent="0.3">
      <c r="N3234"/>
    </row>
    <row r="3235" spans="14:14" x14ac:dyDescent="0.3">
      <c r="N3235"/>
    </row>
    <row r="3236" spans="14:14" x14ac:dyDescent="0.3">
      <c r="N3236"/>
    </row>
    <row r="3237" spans="14:14" x14ac:dyDescent="0.3">
      <c r="N3237"/>
    </row>
    <row r="3238" spans="14:14" x14ac:dyDescent="0.3">
      <c r="N3238"/>
    </row>
    <row r="3239" spans="14:14" x14ac:dyDescent="0.3">
      <c r="N3239"/>
    </row>
    <row r="3240" spans="14:14" x14ac:dyDescent="0.3">
      <c r="N3240"/>
    </row>
    <row r="3241" spans="14:14" x14ac:dyDescent="0.3">
      <c r="N3241"/>
    </row>
    <row r="3242" spans="14:14" x14ac:dyDescent="0.3">
      <c r="N3242"/>
    </row>
    <row r="3243" spans="14:14" x14ac:dyDescent="0.3">
      <c r="N3243"/>
    </row>
    <row r="3244" spans="14:14" x14ac:dyDescent="0.3">
      <c r="N3244"/>
    </row>
    <row r="3245" spans="14:14" x14ac:dyDescent="0.3">
      <c r="N3245"/>
    </row>
    <row r="3246" spans="14:14" x14ac:dyDescent="0.3">
      <c r="N3246"/>
    </row>
    <row r="3247" spans="14:14" x14ac:dyDescent="0.3">
      <c r="N3247"/>
    </row>
    <row r="3248" spans="14:14" x14ac:dyDescent="0.3">
      <c r="N3248"/>
    </row>
    <row r="3249" spans="14:14" x14ac:dyDescent="0.3">
      <c r="N3249"/>
    </row>
    <row r="3250" spans="14:14" x14ac:dyDescent="0.3">
      <c r="N3250"/>
    </row>
    <row r="3251" spans="14:14" x14ac:dyDescent="0.3">
      <c r="N3251"/>
    </row>
    <row r="3252" spans="14:14" x14ac:dyDescent="0.3">
      <c r="N3252"/>
    </row>
    <row r="3253" spans="14:14" x14ac:dyDescent="0.3">
      <c r="N3253"/>
    </row>
    <row r="3254" spans="14:14" x14ac:dyDescent="0.3">
      <c r="N3254"/>
    </row>
    <row r="3255" spans="14:14" x14ac:dyDescent="0.3">
      <c r="N3255"/>
    </row>
    <row r="3256" spans="14:14" x14ac:dyDescent="0.3">
      <c r="N3256"/>
    </row>
    <row r="3257" spans="14:14" x14ac:dyDescent="0.3">
      <c r="N3257"/>
    </row>
    <row r="3258" spans="14:14" x14ac:dyDescent="0.3">
      <c r="N3258"/>
    </row>
    <row r="3259" spans="14:14" x14ac:dyDescent="0.3">
      <c r="N3259"/>
    </row>
    <row r="3260" spans="14:14" x14ac:dyDescent="0.3">
      <c r="N3260"/>
    </row>
    <row r="3261" spans="14:14" x14ac:dyDescent="0.3">
      <c r="N3261"/>
    </row>
    <row r="3262" spans="14:14" x14ac:dyDescent="0.3">
      <c r="N3262"/>
    </row>
    <row r="3263" spans="14:14" x14ac:dyDescent="0.3">
      <c r="N3263"/>
    </row>
    <row r="3264" spans="14:14" x14ac:dyDescent="0.3">
      <c r="N3264"/>
    </row>
    <row r="3265" spans="14:14" x14ac:dyDescent="0.3">
      <c r="N3265"/>
    </row>
    <row r="3266" spans="14:14" x14ac:dyDescent="0.3">
      <c r="N3266"/>
    </row>
    <row r="3267" spans="14:14" x14ac:dyDescent="0.3">
      <c r="N3267"/>
    </row>
    <row r="3268" spans="14:14" x14ac:dyDescent="0.3">
      <c r="N3268"/>
    </row>
    <row r="3269" spans="14:14" x14ac:dyDescent="0.3">
      <c r="N3269"/>
    </row>
    <row r="3270" spans="14:14" x14ac:dyDescent="0.3">
      <c r="N3270"/>
    </row>
    <row r="3271" spans="14:14" x14ac:dyDescent="0.3">
      <c r="N3271"/>
    </row>
    <row r="3272" spans="14:14" x14ac:dyDescent="0.3">
      <c r="N3272"/>
    </row>
    <row r="3273" spans="14:14" x14ac:dyDescent="0.3">
      <c r="N3273"/>
    </row>
    <row r="3274" spans="14:14" x14ac:dyDescent="0.3">
      <c r="N3274"/>
    </row>
    <row r="3275" spans="14:14" x14ac:dyDescent="0.3">
      <c r="N3275"/>
    </row>
    <row r="3276" spans="14:14" x14ac:dyDescent="0.3">
      <c r="N3276"/>
    </row>
    <row r="3277" spans="14:14" x14ac:dyDescent="0.3">
      <c r="N3277"/>
    </row>
    <row r="3278" spans="14:14" x14ac:dyDescent="0.3">
      <c r="N3278"/>
    </row>
    <row r="3279" spans="14:14" x14ac:dyDescent="0.3">
      <c r="N3279"/>
    </row>
    <row r="3280" spans="14:14" x14ac:dyDescent="0.3">
      <c r="N3280"/>
    </row>
    <row r="3281" spans="14:14" x14ac:dyDescent="0.3">
      <c r="N3281"/>
    </row>
    <row r="3282" spans="14:14" x14ac:dyDescent="0.3">
      <c r="N3282"/>
    </row>
    <row r="3283" spans="14:14" x14ac:dyDescent="0.3">
      <c r="N3283"/>
    </row>
    <row r="3284" spans="14:14" x14ac:dyDescent="0.3">
      <c r="N3284"/>
    </row>
    <row r="3285" spans="14:14" x14ac:dyDescent="0.3">
      <c r="N3285"/>
    </row>
    <row r="3286" spans="14:14" x14ac:dyDescent="0.3">
      <c r="N3286"/>
    </row>
    <row r="3287" spans="14:14" x14ac:dyDescent="0.3">
      <c r="N3287"/>
    </row>
    <row r="3288" spans="14:14" x14ac:dyDescent="0.3">
      <c r="N3288"/>
    </row>
    <row r="3289" spans="14:14" x14ac:dyDescent="0.3">
      <c r="N3289"/>
    </row>
    <row r="3290" spans="14:14" x14ac:dyDescent="0.3">
      <c r="N3290"/>
    </row>
    <row r="3291" spans="14:14" x14ac:dyDescent="0.3">
      <c r="N3291"/>
    </row>
    <row r="3292" spans="14:14" x14ac:dyDescent="0.3">
      <c r="N3292"/>
    </row>
    <row r="3293" spans="14:14" x14ac:dyDescent="0.3">
      <c r="N3293"/>
    </row>
    <row r="3294" spans="14:14" x14ac:dyDescent="0.3">
      <c r="N3294"/>
    </row>
    <row r="3295" spans="14:14" x14ac:dyDescent="0.3">
      <c r="N3295"/>
    </row>
    <row r="3296" spans="14:14" x14ac:dyDescent="0.3">
      <c r="N3296"/>
    </row>
    <row r="3297" spans="14:14" x14ac:dyDescent="0.3">
      <c r="N3297"/>
    </row>
    <row r="3298" spans="14:14" x14ac:dyDescent="0.3">
      <c r="N3298"/>
    </row>
    <row r="3299" spans="14:14" x14ac:dyDescent="0.3">
      <c r="N3299"/>
    </row>
    <row r="3300" spans="14:14" x14ac:dyDescent="0.3">
      <c r="N3300"/>
    </row>
    <row r="3301" spans="14:14" x14ac:dyDescent="0.3">
      <c r="N3301"/>
    </row>
    <row r="3302" spans="14:14" x14ac:dyDescent="0.3">
      <c r="N3302"/>
    </row>
    <row r="3303" spans="14:14" x14ac:dyDescent="0.3">
      <c r="N3303"/>
    </row>
    <row r="3304" spans="14:14" x14ac:dyDescent="0.3">
      <c r="N3304"/>
    </row>
    <row r="3305" spans="14:14" x14ac:dyDescent="0.3">
      <c r="N3305"/>
    </row>
    <row r="3306" spans="14:14" x14ac:dyDescent="0.3">
      <c r="N3306"/>
    </row>
    <row r="3307" spans="14:14" x14ac:dyDescent="0.3">
      <c r="N3307"/>
    </row>
    <row r="3308" spans="14:14" x14ac:dyDescent="0.3">
      <c r="N3308"/>
    </row>
    <row r="3309" spans="14:14" x14ac:dyDescent="0.3">
      <c r="N3309"/>
    </row>
    <row r="3310" spans="14:14" x14ac:dyDescent="0.3">
      <c r="N3310"/>
    </row>
    <row r="3311" spans="14:14" x14ac:dyDescent="0.3">
      <c r="N3311"/>
    </row>
    <row r="3312" spans="14:14" x14ac:dyDescent="0.3">
      <c r="N3312"/>
    </row>
    <row r="3313" spans="14:14" x14ac:dyDescent="0.3">
      <c r="N3313"/>
    </row>
    <row r="3314" spans="14:14" x14ac:dyDescent="0.3">
      <c r="N3314"/>
    </row>
    <row r="3315" spans="14:14" x14ac:dyDescent="0.3">
      <c r="N3315"/>
    </row>
    <row r="3316" spans="14:14" x14ac:dyDescent="0.3">
      <c r="N3316"/>
    </row>
    <row r="3317" spans="14:14" x14ac:dyDescent="0.3">
      <c r="N3317"/>
    </row>
    <row r="3318" spans="14:14" x14ac:dyDescent="0.3">
      <c r="N3318"/>
    </row>
    <row r="3319" spans="14:14" x14ac:dyDescent="0.3">
      <c r="N3319"/>
    </row>
    <row r="3320" spans="14:14" x14ac:dyDescent="0.3">
      <c r="N3320"/>
    </row>
    <row r="3321" spans="14:14" x14ac:dyDescent="0.3">
      <c r="N3321"/>
    </row>
    <row r="3322" spans="14:14" x14ac:dyDescent="0.3">
      <c r="N3322"/>
    </row>
    <row r="3323" spans="14:14" x14ac:dyDescent="0.3">
      <c r="N3323"/>
    </row>
    <row r="3324" spans="14:14" x14ac:dyDescent="0.3">
      <c r="N3324"/>
    </row>
    <row r="3325" spans="14:14" x14ac:dyDescent="0.3">
      <c r="N3325"/>
    </row>
    <row r="3326" spans="14:14" x14ac:dyDescent="0.3">
      <c r="N3326"/>
    </row>
    <row r="3327" spans="14:14" x14ac:dyDescent="0.3">
      <c r="N3327"/>
    </row>
    <row r="3328" spans="14:14" x14ac:dyDescent="0.3">
      <c r="N3328"/>
    </row>
    <row r="3329" spans="14:14" x14ac:dyDescent="0.3">
      <c r="N3329"/>
    </row>
    <row r="3330" spans="14:14" x14ac:dyDescent="0.3">
      <c r="N3330"/>
    </row>
    <row r="3331" spans="14:14" x14ac:dyDescent="0.3">
      <c r="N3331"/>
    </row>
    <row r="3332" spans="14:14" x14ac:dyDescent="0.3">
      <c r="N3332"/>
    </row>
    <row r="3333" spans="14:14" x14ac:dyDescent="0.3">
      <c r="N3333"/>
    </row>
    <row r="3334" spans="14:14" x14ac:dyDescent="0.3">
      <c r="N3334"/>
    </row>
    <row r="3335" spans="14:14" x14ac:dyDescent="0.3">
      <c r="N3335"/>
    </row>
    <row r="3336" spans="14:14" x14ac:dyDescent="0.3">
      <c r="N3336"/>
    </row>
    <row r="3337" spans="14:14" x14ac:dyDescent="0.3">
      <c r="N3337"/>
    </row>
    <row r="3338" spans="14:14" x14ac:dyDescent="0.3">
      <c r="N3338"/>
    </row>
    <row r="3339" spans="14:14" x14ac:dyDescent="0.3">
      <c r="N3339"/>
    </row>
    <row r="3340" spans="14:14" x14ac:dyDescent="0.3">
      <c r="N3340"/>
    </row>
    <row r="3341" spans="14:14" x14ac:dyDescent="0.3">
      <c r="N3341"/>
    </row>
    <row r="3342" spans="14:14" x14ac:dyDescent="0.3">
      <c r="N3342"/>
    </row>
    <row r="3343" spans="14:14" x14ac:dyDescent="0.3">
      <c r="N3343"/>
    </row>
    <row r="3344" spans="14:14" x14ac:dyDescent="0.3">
      <c r="N3344"/>
    </row>
    <row r="3345" spans="14:14" x14ac:dyDescent="0.3">
      <c r="N3345"/>
    </row>
    <row r="3346" spans="14:14" x14ac:dyDescent="0.3">
      <c r="N3346"/>
    </row>
    <row r="3347" spans="14:14" x14ac:dyDescent="0.3">
      <c r="N3347"/>
    </row>
    <row r="3348" spans="14:14" x14ac:dyDescent="0.3">
      <c r="N3348"/>
    </row>
    <row r="3349" spans="14:14" x14ac:dyDescent="0.3">
      <c r="N3349"/>
    </row>
    <row r="3350" spans="14:14" x14ac:dyDescent="0.3">
      <c r="N3350"/>
    </row>
    <row r="3351" spans="14:14" x14ac:dyDescent="0.3">
      <c r="N3351"/>
    </row>
    <row r="3352" spans="14:14" x14ac:dyDescent="0.3">
      <c r="N3352"/>
    </row>
    <row r="3353" spans="14:14" x14ac:dyDescent="0.3">
      <c r="N3353"/>
    </row>
    <row r="3354" spans="14:14" x14ac:dyDescent="0.3">
      <c r="N3354"/>
    </row>
    <row r="3355" spans="14:14" x14ac:dyDescent="0.3">
      <c r="N3355"/>
    </row>
    <row r="3356" spans="14:14" x14ac:dyDescent="0.3">
      <c r="N3356"/>
    </row>
    <row r="3357" spans="14:14" x14ac:dyDescent="0.3">
      <c r="N3357"/>
    </row>
    <row r="3358" spans="14:14" x14ac:dyDescent="0.3">
      <c r="N3358"/>
    </row>
    <row r="3359" spans="14:14" x14ac:dyDescent="0.3">
      <c r="N3359"/>
    </row>
    <row r="3360" spans="14:14" x14ac:dyDescent="0.3">
      <c r="N3360"/>
    </row>
    <row r="3361" spans="14:14" x14ac:dyDescent="0.3">
      <c r="N3361"/>
    </row>
    <row r="3362" spans="14:14" x14ac:dyDescent="0.3">
      <c r="N3362"/>
    </row>
    <row r="3363" spans="14:14" x14ac:dyDescent="0.3">
      <c r="N3363"/>
    </row>
    <row r="3364" spans="14:14" x14ac:dyDescent="0.3">
      <c r="N3364"/>
    </row>
    <row r="3365" spans="14:14" x14ac:dyDescent="0.3">
      <c r="N3365"/>
    </row>
    <row r="3366" spans="14:14" x14ac:dyDescent="0.3">
      <c r="N3366"/>
    </row>
    <row r="3367" spans="14:14" x14ac:dyDescent="0.3">
      <c r="N3367"/>
    </row>
    <row r="3368" spans="14:14" x14ac:dyDescent="0.3">
      <c r="N3368"/>
    </row>
    <row r="3369" spans="14:14" x14ac:dyDescent="0.3">
      <c r="N3369"/>
    </row>
    <row r="3370" spans="14:14" x14ac:dyDescent="0.3">
      <c r="N3370"/>
    </row>
    <row r="3371" spans="14:14" x14ac:dyDescent="0.3">
      <c r="N3371"/>
    </row>
    <row r="3372" spans="14:14" x14ac:dyDescent="0.3">
      <c r="N3372"/>
    </row>
    <row r="3373" spans="14:14" x14ac:dyDescent="0.3">
      <c r="N3373"/>
    </row>
    <row r="3374" spans="14:14" x14ac:dyDescent="0.3">
      <c r="N3374"/>
    </row>
    <row r="3375" spans="14:14" x14ac:dyDescent="0.3">
      <c r="N3375"/>
    </row>
    <row r="3376" spans="14:14" x14ac:dyDescent="0.3">
      <c r="N3376"/>
    </row>
    <row r="3377" spans="14:14" x14ac:dyDescent="0.3">
      <c r="N3377"/>
    </row>
    <row r="3378" spans="14:14" x14ac:dyDescent="0.3">
      <c r="N3378"/>
    </row>
    <row r="3379" spans="14:14" x14ac:dyDescent="0.3">
      <c r="N3379"/>
    </row>
    <row r="3380" spans="14:14" x14ac:dyDescent="0.3">
      <c r="N3380"/>
    </row>
    <row r="3381" spans="14:14" x14ac:dyDescent="0.3">
      <c r="N3381"/>
    </row>
    <row r="3382" spans="14:14" x14ac:dyDescent="0.3">
      <c r="N3382"/>
    </row>
    <row r="3383" spans="14:14" x14ac:dyDescent="0.3">
      <c r="N3383"/>
    </row>
    <row r="3384" spans="14:14" x14ac:dyDescent="0.3">
      <c r="N3384"/>
    </row>
    <row r="3385" spans="14:14" x14ac:dyDescent="0.3">
      <c r="N3385"/>
    </row>
    <row r="3386" spans="14:14" x14ac:dyDescent="0.3">
      <c r="N3386"/>
    </row>
    <row r="3387" spans="14:14" x14ac:dyDescent="0.3">
      <c r="N3387"/>
    </row>
    <row r="3388" spans="14:14" x14ac:dyDescent="0.3">
      <c r="N3388"/>
    </row>
    <row r="3389" spans="14:14" x14ac:dyDescent="0.3">
      <c r="N3389"/>
    </row>
    <row r="3390" spans="14:14" x14ac:dyDescent="0.3">
      <c r="N3390"/>
    </row>
    <row r="3391" spans="14:14" x14ac:dyDescent="0.3">
      <c r="N3391"/>
    </row>
    <row r="3392" spans="14:14" x14ac:dyDescent="0.3">
      <c r="N3392"/>
    </row>
    <row r="3393" spans="14:14" x14ac:dyDescent="0.3">
      <c r="N3393"/>
    </row>
    <row r="3394" spans="14:14" x14ac:dyDescent="0.3">
      <c r="N3394"/>
    </row>
    <row r="3395" spans="14:14" x14ac:dyDescent="0.3">
      <c r="N3395"/>
    </row>
    <row r="3396" spans="14:14" x14ac:dyDescent="0.3">
      <c r="N3396"/>
    </row>
    <row r="3397" spans="14:14" x14ac:dyDescent="0.3">
      <c r="N3397"/>
    </row>
    <row r="3398" spans="14:14" x14ac:dyDescent="0.3">
      <c r="N3398"/>
    </row>
    <row r="3399" spans="14:14" x14ac:dyDescent="0.3">
      <c r="N3399"/>
    </row>
    <row r="3400" spans="14:14" x14ac:dyDescent="0.3">
      <c r="N3400"/>
    </row>
    <row r="3401" spans="14:14" x14ac:dyDescent="0.3">
      <c r="N3401"/>
    </row>
    <row r="3402" spans="14:14" x14ac:dyDescent="0.3">
      <c r="N3402"/>
    </row>
    <row r="3403" spans="14:14" x14ac:dyDescent="0.3">
      <c r="N3403"/>
    </row>
    <row r="3404" spans="14:14" x14ac:dyDescent="0.3">
      <c r="N3404"/>
    </row>
    <row r="3405" spans="14:14" x14ac:dyDescent="0.3">
      <c r="N3405"/>
    </row>
    <row r="3406" spans="14:14" x14ac:dyDescent="0.3">
      <c r="N3406"/>
    </row>
    <row r="3407" spans="14:14" x14ac:dyDescent="0.3">
      <c r="N3407"/>
    </row>
    <row r="3408" spans="14:14" x14ac:dyDescent="0.3">
      <c r="N3408"/>
    </row>
    <row r="3409" spans="14:14" x14ac:dyDescent="0.3">
      <c r="N3409"/>
    </row>
    <row r="3410" spans="14:14" x14ac:dyDescent="0.3">
      <c r="N3410"/>
    </row>
    <row r="3411" spans="14:14" x14ac:dyDescent="0.3">
      <c r="N3411"/>
    </row>
    <row r="3412" spans="14:14" x14ac:dyDescent="0.3">
      <c r="N3412"/>
    </row>
    <row r="3413" spans="14:14" x14ac:dyDescent="0.3">
      <c r="N3413"/>
    </row>
    <row r="3414" spans="14:14" x14ac:dyDescent="0.3">
      <c r="N3414"/>
    </row>
    <row r="3415" spans="14:14" x14ac:dyDescent="0.3">
      <c r="N3415"/>
    </row>
    <row r="3416" spans="14:14" x14ac:dyDescent="0.3">
      <c r="N3416"/>
    </row>
    <row r="3417" spans="14:14" x14ac:dyDescent="0.3">
      <c r="N3417"/>
    </row>
    <row r="3418" spans="14:14" x14ac:dyDescent="0.3">
      <c r="N3418"/>
    </row>
    <row r="3419" spans="14:14" x14ac:dyDescent="0.3">
      <c r="N3419"/>
    </row>
    <row r="3420" spans="14:14" x14ac:dyDescent="0.3">
      <c r="N3420"/>
    </row>
    <row r="3421" spans="14:14" x14ac:dyDescent="0.3">
      <c r="N3421"/>
    </row>
    <row r="3422" spans="14:14" x14ac:dyDescent="0.3">
      <c r="N3422"/>
    </row>
    <row r="3423" spans="14:14" x14ac:dyDescent="0.3">
      <c r="N3423"/>
    </row>
    <row r="3424" spans="14:14" x14ac:dyDescent="0.3">
      <c r="N3424"/>
    </row>
    <row r="3425" spans="14:14" x14ac:dyDescent="0.3">
      <c r="N3425"/>
    </row>
    <row r="3426" spans="14:14" x14ac:dyDescent="0.3">
      <c r="N3426"/>
    </row>
    <row r="3427" spans="14:14" x14ac:dyDescent="0.3">
      <c r="N3427"/>
    </row>
    <row r="3428" spans="14:14" x14ac:dyDescent="0.3">
      <c r="N3428"/>
    </row>
    <row r="3429" spans="14:14" x14ac:dyDescent="0.3">
      <c r="N3429"/>
    </row>
    <row r="3430" spans="14:14" x14ac:dyDescent="0.3">
      <c r="N3430"/>
    </row>
    <row r="3431" spans="14:14" x14ac:dyDescent="0.3">
      <c r="N3431"/>
    </row>
    <row r="3432" spans="14:14" x14ac:dyDescent="0.3">
      <c r="N3432"/>
    </row>
    <row r="3433" spans="14:14" x14ac:dyDescent="0.3">
      <c r="N3433"/>
    </row>
    <row r="3434" spans="14:14" x14ac:dyDescent="0.3">
      <c r="N3434"/>
    </row>
    <row r="3435" spans="14:14" x14ac:dyDescent="0.3">
      <c r="N3435"/>
    </row>
    <row r="3436" spans="14:14" x14ac:dyDescent="0.3">
      <c r="N3436"/>
    </row>
    <row r="3437" spans="14:14" x14ac:dyDescent="0.3">
      <c r="N3437"/>
    </row>
    <row r="3438" spans="14:14" x14ac:dyDescent="0.3">
      <c r="N3438"/>
    </row>
    <row r="3439" spans="14:14" x14ac:dyDescent="0.3">
      <c r="N3439"/>
    </row>
    <row r="3440" spans="14:14" x14ac:dyDescent="0.3">
      <c r="N3440"/>
    </row>
    <row r="3441" spans="14:14" x14ac:dyDescent="0.3">
      <c r="N3441"/>
    </row>
    <row r="3442" spans="14:14" x14ac:dyDescent="0.3">
      <c r="N3442"/>
    </row>
    <row r="3443" spans="14:14" x14ac:dyDescent="0.3">
      <c r="N3443"/>
    </row>
    <row r="3444" spans="14:14" x14ac:dyDescent="0.3">
      <c r="N3444"/>
    </row>
    <row r="3445" spans="14:14" x14ac:dyDescent="0.3">
      <c r="N3445"/>
    </row>
    <row r="3446" spans="14:14" x14ac:dyDescent="0.3">
      <c r="N3446"/>
    </row>
    <row r="3447" spans="14:14" x14ac:dyDescent="0.3">
      <c r="N3447"/>
    </row>
    <row r="3448" spans="14:14" x14ac:dyDescent="0.3">
      <c r="N3448"/>
    </row>
    <row r="3449" spans="14:14" x14ac:dyDescent="0.3">
      <c r="N3449"/>
    </row>
    <row r="3450" spans="14:14" x14ac:dyDescent="0.3">
      <c r="N3450"/>
    </row>
    <row r="3451" spans="14:14" x14ac:dyDescent="0.3">
      <c r="N3451"/>
    </row>
    <row r="3452" spans="14:14" x14ac:dyDescent="0.3">
      <c r="N3452"/>
    </row>
    <row r="3453" spans="14:14" x14ac:dyDescent="0.3">
      <c r="N3453"/>
    </row>
    <row r="3454" spans="14:14" x14ac:dyDescent="0.3">
      <c r="N3454"/>
    </row>
    <row r="3455" spans="14:14" x14ac:dyDescent="0.3">
      <c r="N3455"/>
    </row>
    <row r="3456" spans="14:14" x14ac:dyDescent="0.3">
      <c r="N3456"/>
    </row>
    <row r="3457" spans="14:14" x14ac:dyDescent="0.3">
      <c r="N3457"/>
    </row>
    <row r="3458" spans="14:14" x14ac:dyDescent="0.3">
      <c r="N3458"/>
    </row>
    <row r="3459" spans="14:14" x14ac:dyDescent="0.3">
      <c r="N3459"/>
    </row>
    <row r="3460" spans="14:14" x14ac:dyDescent="0.3">
      <c r="N3460"/>
    </row>
    <row r="3461" spans="14:14" x14ac:dyDescent="0.3">
      <c r="N3461"/>
    </row>
    <row r="3462" spans="14:14" x14ac:dyDescent="0.3">
      <c r="N3462"/>
    </row>
    <row r="3463" spans="14:14" x14ac:dyDescent="0.3">
      <c r="N3463"/>
    </row>
    <row r="3464" spans="14:14" x14ac:dyDescent="0.3">
      <c r="N3464"/>
    </row>
    <row r="3465" spans="14:14" x14ac:dyDescent="0.3">
      <c r="N3465"/>
    </row>
    <row r="3466" spans="14:14" x14ac:dyDescent="0.3">
      <c r="N3466"/>
    </row>
    <row r="3467" spans="14:14" x14ac:dyDescent="0.3">
      <c r="N3467"/>
    </row>
    <row r="3468" spans="14:14" x14ac:dyDescent="0.3">
      <c r="N3468"/>
    </row>
    <row r="3469" spans="14:14" x14ac:dyDescent="0.3">
      <c r="N3469"/>
    </row>
    <row r="3470" spans="14:14" x14ac:dyDescent="0.3">
      <c r="N3470"/>
    </row>
    <row r="3471" spans="14:14" x14ac:dyDescent="0.3">
      <c r="N3471"/>
    </row>
    <row r="3472" spans="14:14" x14ac:dyDescent="0.3">
      <c r="N3472"/>
    </row>
    <row r="3473" spans="14:14" x14ac:dyDescent="0.3">
      <c r="N3473"/>
    </row>
    <row r="3474" spans="14:14" x14ac:dyDescent="0.3">
      <c r="N3474"/>
    </row>
    <row r="3475" spans="14:14" x14ac:dyDescent="0.3">
      <c r="N3475"/>
    </row>
    <row r="3476" spans="14:14" x14ac:dyDescent="0.3">
      <c r="N3476"/>
    </row>
    <row r="3477" spans="14:14" x14ac:dyDescent="0.3">
      <c r="N3477"/>
    </row>
    <row r="3478" spans="14:14" x14ac:dyDescent="0.3">
      <c r="N3478"/>
    </row>
    <row r="3479" spans="14:14" x14ac:dyDescent="0.3">
      <c r="N3479"/>
    </row>
    <row r="3480" spans="14:14" x14ac:dyDescent="0.3">
      <c r="N3480"/>
    </row>
    <row r="3481" spans="14:14" x14ac:dyDescent="0.3">
      <c r="N3481"/>
    </row>
    <row r="3482" spans="14:14" x14ac:dyDescent="0.3">
      <c r="N3482"/>
    </row>
    <row r="3483" spans="14:14" x14ac:dyDescent="0.3">
      <c r="N3483"/>
    </row>
    <row r="3484" spans="14:14" x14ac:dyDescent="0.3">
      <c r="N3484"/>
    </row>
    <row r="3485" spans="14:14" x14ac:dyDescent="0.3">
      <c r="N3485"/>
    </row>
    <row r="3486" spans="14:14" x14ac:dyDescent="0.3">
      <c r="N3486"/>
    </row>
    <row r="3487" spans="14:14" x14ac:dyDescent="0.3">
      <c r="N3487"/>
    </row>
    <row r="3488" spans="14:14" x14ac:dyDescent="0.3">
      <c r="N3488"/>
    </row>
    <row r="3489" spans="14:14" x14ac:dyDescent="0.3">
      <c r="N3489"/>
    </row>
    <row r="3490" spans="14:14" x14ac:dyDescent="0.3">
      <c r="N3490"/>
    </row>
    <row r="3491" spans="14:14" x14ac:dyDescent="0.3">
      <c r="N3491"/>
    </row>
    <row r="3492" spans="14:14" x14ac:dyDescent="0.3">
      <c r="N3492"/>
    </row>
    <row r="3493" spans="14:14" x14ac:dyDescent="0.3">
      <c r="N3493"/>
    </row>
    <row r="3494" spans="14:14" x14ac:dyDescent="0.3">
      <c r="N3494"/>
    </row>
    <row r="3495" spans="14:14" x14ac:dyDescent="0.3">
      <c r="N3495"/>
    </row>
    <row r="3496" spans="14:14" x14ac:dyDescent="0.3">
      <c r="N3496"/>
    </row>
    <row r="3497" spans="14:14" x14ac:dyDescent="0.3">
      <c r="N3497"/>
    </row>
    <row r="3498" spans="14:14" x14ac:dyDescent="0.3">
      <c r="N3498"/>
    </row>
    <row r="3499" spans="14:14" x14ac:dyDescent="0.3">
      <c r="N3499"/>
    </row>
    <row r="3500" spans="14:14" x14ac:dyDescent="0.3">
      <c r="N3500"/>
    </row>
    <row r="3501" spans="14:14" x14ac:dyDescent="0.3">
      <c r="N3501"/>
    </row>
    <row r="3502" spans="14:14" x14ac:dyDescent="0.3">
      <c r="N3502"/>
    </row>
    <row r="3503" spans="14:14" x14ac:dyDescent="0.3">
      <c r="N3503"/>
    </row>
    <row r="3504" spans="14:14" x14ac:dyDescent="0.3">
      <c r="N3504"/>
    </row>
    <row r="3505" spans="14:14" x14ac:dyDescent="0.3">
      <c r="N3505"/>
    </row>
    <row r="3506" spans="14:14" x14ac:dyDescent="0.3">
      <c r="N3506"/>
    </row>
    <row r="3507" spans="14:14" x14ac:dyDescent="0.3">
      <c r="N3507"/>
    </row>
    <row r="3508" spans="14:14" x14ac:dyDescent="0.3">
      <c r="N3508"/>
    </row>
    <row r="3509" spans="14:14" x14ac:dyDescent="0.3">
      <c r="N3509"/>
    </row>
    <row r="3510" spans="14:14" x14ac:dyDescent="0.3">
      <c r="N3510"/>
    </row>
    <row r="3511" spans="14:14" x14ac:dyDescent="0.3">
      <c r="N3511"/>
    </row>
    <row r="3512" spans="14:14" x14ac:dyDescent="0.3">
      <c r="N3512"/>
    </row>
    <row r="3513" spans="14:14" x14ac:dyDescent="0.3">
      <c r="N3513"/>
    </row>
    <row r="3514" spans="14:14" x14ac:dyDescent="0.3">
      <c r="N3514"/>
    </row>
    <row r="3515" spans="14:14" x14ac:dyDescent="0.3">
      <c r="N3515"/>
    </row>
    <row r="3516" spans="14:14" x14ac:dyDescent="0.3">
      <c r="N3516"/>
    </row>
    <row r="3517" spans="14:14" x14ac:dyDescent="0.3">
      <c r="N3517"/>
    </row>
    <row r="3518" spans="14:14" x14ac:dyDescent="0.3">
      <c r="N3518"/>
    </row>
    <row r="3519" spans="14:14" x14ac:dyDescent="0.3">
      <c r="N3519"/>
    </row>
    <row r="3520" spans="14:14" x14ac:dyDescent="0.3">
      <c r="N3520"/>
    </row>
    <row r="3521" spans="14:14" x14ac:dyDescent="0.3">
      <c r="N3521"/>
    </row>
    <row r="3522" spans="14:14" x14ac:dyDescent="0.3">
      <c r="N3522"/>
    </row>
    <row r="3523" spans="14:14" x14ac:dyDescent="0.3">
      <c r="N3523"/>
    </row>
    <row r="3524" spans="14:14" x14ac:dyDescent="0.3">
      <c r="N3524"/>
    </row>
    <row r="3525" spans="14:14" x14ac:dyDescent="0.3">
      <c r="N3525"/>
    </row>
    <row r="3526" spans="14:14" x14ac:dyDescent="0.3">
      <c r="N3526"/>
    </row>
    <row r="3527" spans="14:14" x14ac:dyDescent="0.3">
      <c r="N3527"/>
    </row>
    <row r="3528" spans="14:14" x14ac:dyDescent="0.3">
      <c r="N3528"/>
    </row>
    <row r="3529" spans="14:14" x14ac:dyDescent="0.3">
      <c r="N3529"/>
    </row>
    <row r="3530" spans="14:14" x14ac:dyDescent="0.3">
      <c r="N3530"/>
    </row>
    <row r="3531" spans="14:14" x14ac:dyDescent="0.3">
      <c r="N3531"/>
    </row>
    <row r="3532" spans="14:14" x14ac:dyDescent="0.3">
      <c r="N3532"/>
    </row>
    <row r="3533" spans="14:14" x14ac:dyDescent="0.3">
      <c r="N3533"/>
    </row>
    <row r="3534" spans="14:14" x14ac:dyDescent="0.3">
      <c r="N3534"/>
    </row>
    <row r="3535" spans="14:14" x14ac:dyDescent="0.3">
      <c r="N3535"/>
    </row>
    <row r="3536" spans="14:14" x14ac:dyDescent="0.3">
      <c r="N3536"/>
    </row>
    <row r="3537" spans="14:14" x14ac:dyDescent="0.3">
      <c r="N3537"/>
    </row>
    <row r="3538" spans="14:14" x14ac:dyDescent="0.3">
      <c r="N3538"/>
    </row>
    <row r="3539" spans="14:14" x14ac:dyDescent="0.3">
      <c r="N3539"/>
    </row>
    <row r="3540" spans="14:14" x14ac:dyDescent="0.3">
      <c r="N3540"/>
    </row>
    <row r="3541" spans="14:14" x14ac:dyDescent="0.3">
      <c r="N3541"/>
    </row>
    <row r="3542" spans="14:14" x14ac:dyDescent="0.3">
      <c r="N3542"/>
    </row>
    <row r="3543" spans="14:14" x14ac:dyDescent="0.3">
      <c r="N3543"/>
    </row>
    <row r="3544" spans="14:14" x14ac:dyDescent="0.3">
      <c r="N3544"/>
    </row>
    <row r="3545" spans="14:14" x14ac:dyDescent="0.3">
      <c r="N3545"/>
    </row>
    <row r="3546" spans="14:14" x14ac:dyDescent="0.3">
      <c r="N3546"/>
    </row>
    <row r="3547" spans="14:14" x14ac:dyDescent="0.3">
      <c r="N3547"/>
    </row>
    <row r="3548" spans="14:14" x14ac:dyDescent="0.3">
      <c r="N3548"/>
    </row>
    <row r="3549" spans="14:14" x14ac:dyDescent="0.3">
      <c r="N3549"/>
    </row>
    <row r="3550" spans="14:14" x14ac:dyDescent="0.3">
      <c r="N3550"/>
    </row>
    <row r="3551" spans="14:14" x14ac:dyDescent="0.3">
      <c r="N3551"/>
    </row>
    <row r="3552" spans="14:14" x14ac:dyDescent="0.3">
      <c r="N3552"/>
    </row>
    <row r="3553" spans="14:14" x14ac:dyDescent="0.3">
      <c r="N3553"/>
    </row>
    <row r="3554" spans="14:14" x14ac:dyDescent="0.3">
      <c r="N3554"/>
    </row>
    <row r="3555" spans="14:14" x14ac:dyDescent="0.3">
      <c r="N3555"/>
    </row>
    <row r="3556" spans="14:14" x14ac:dyDescent="0.3">
      <c r="N3556"/>
    </row>
    <row r="3557" spans="14:14" x14ac:dyDescent="0.3">
      <c r="N3557"/>
    </row>
    <row r="3558" spans="14:14" x14ac:dyDescent="0.3">
      <c r="N3558"/>
    </row>
    <row r="3559" spans="14:14" x14ac:dyDescent="0.3">
      <c r="N3559"/>
    </row>
    <row r="3560" spans="14:14" x14ac:dyDescent="0.3">
      <c r="N3560"/>
    </row>
    <row r="3561" spans="14:14" x14ac:dyDescent="0.3">
      <c r="N3561"/>
    </row>
    <row r="3562" spans="14:14" x14ac:dyDescent="0.3">
      <c r="N3562"/>
    </row>
    <row r="3563" spans="14:14" x14ac:dyDescent="0.3">
      <c r="N3563"/>
    </row>
    <row r="3564" spans="14:14" x14ac:dyDescent="0.3">
      <c r="N3564"/>
    </row>
    <row r="3565" spans="14:14" x14ac:dyDescent="0.3">
      <c r="N3565"/>
    </row>
    <row r="3566" spans="14:14" x14ac:dyDescent="0.3">
      <c r="N3566"/>
    </row>
    <row r="3567" spans="14:14" x14ac:dyDescent="0.3">
      <c r="N3567"/>
    </row>
    <row r="3568" spans="14:14" x14ac:dyDescent="0.3">
      <c r="N3568"/>
    </row>
    <row r="3569" spans="14:14" x14ac:dyDescent="0.3">
      <c r="N3569"/>
    </row>
    <row r="3570" spans="14:14" x14ac:dyDescent="0.3">
      <c r="N3570"/>
    </row>
    <row r="3571" spans="14:14" x14ac:dyDescent="0.3">
      <c r="N3571"/>
    </row>
    <row r="3572" spans="14:14" x14ac:dyDescent="0.3">
      <c r="N3572"/>
    </row>
    <row r="3573" spans="14:14" x14ac:dyDescent="0.3">
      <c r="N3573"/>
    </row>
    <row r="3574" spans="14:14" x14ac:dyDescent="0.3">
      <c r="N3574"/>
    </row>
    <row r="3575" spans="14:14" x14ac:dyDescent="0.3">
      <c r="N3575"/>
    </row>
    <row r="3576" spans="14:14" x14ac:dyDescent="0.3">
      <c r="N3576"/>
    </row>
    <row r="3577" spans="14:14" x14ac:dyDescent="0.3">
      <c r="N3577"/>
    </row>
    <row r="3578" spans="14:14" x14ac:dyDescent="0.3">
      <c r="N3578"/>
    </row>
    <row r="3579" spans="14:14" x14ac:dyDescent="0.3">
      <c r="N3579"/>
    </row>
    <row r="3580" spans="14:14" x14ac:dyDescent="0.3">
      <c r="N3580"/>
    </row>
    <row r="3581" spans="14:14" x14ac:dyDescent="0.3">
      <c r="N3581"/>
    </row>
    <row r="3582" spans="14:14" x14ac:dyDescent="0.3">
      <c r="N3582"/>
    </row>
    <row r="3583" spans="14:14" x14ac:dyDescent="0.3">
      <c r="N3583"/>
    </row>
    <row r="3584" spans="14:14" x14ac:dyDescent="0.3">
      <c r="N3584"/>
    </row>
    <row r="3585" spans="14:14" x14ac:dyDescent="0.3">
      <c r="N3585"/>
    </row>
    <row r="3586" spans="14:14" x14ac:dyDescent="0.3">
      <c r="N3586"/>
    </row>
    <row r="3587" spans="14:14" x14ac:dyDescent="0.3">
      <c r="N3587"/>
    </row>
    <row r="3588" spans="14:14" x14ac:dyDescent="0.3">
      <c r="N3588"/>
    </row>
    <row r="3589" spans="14:14" x14ac:dyDescent="0.3">
      <c r="N3589"/>
    </row>
    <row r="3590" spans="14:14" x14ac:dyDescent="0.3">
      <c r="N3590"/>
    </row>
    <row r="3591" spans="14:14" x14ac:dyDescent="0.3">
      <c r="N3591"/>
    </row>
    <row r="3592" spans="14:14" x14ac:dyDescent="0.3">
      <c r="N3592"/>
    </row>
    <row r="3593" spans="14:14" x14ac:dyDescent="0.3">
      <c r="N3593"/>
    </row>
    <row r="3594" spans="14:14" x14ac:dyDescent="0.3">
      <c r="N3594"/>
    </row>
    <row r="3595" spans="14:14" x14ac:dyDescent="0.3">
      <c r="N3595"/>
    </row>
    <row r="3596" spans="14:14" x14ac:dyDescent="0.3">
      <c r="N3596"/>
    </row>
    <row r="3597" spans="14:14" x14ac:dyDescent="0.3">
      <c r="N3597"/>
    </row>
    <row r="3598" spans="14:14" x14ac:dyDescent="0.3">
      <c r="N3598"/>
    </row>
    <row r="3599" spans="14:14" x14ac:dyDescent="0.3">
      <c r="N3599"/>
    </row>
    <row r="3600" spans="14:14" x14ac:dyDescent="0.3">
      <c r="N3600"/>
    </row>
    <row r="3601" spans="14:14" x14ac:dyDescent="0.3">
      <c r="N3601"/>
    </row>
    <row r="3602" spans="14:14" x14ac:dyDescent="0.3">
      <c r="N3602"/>
    </row>
    <row r="3603" spans="14:14" x14ac:dyDescent="0.3">
      <c r="N3603"/>
    </row>
    <row r="3604" spans="14:14" x14ac:dyDescent="0.3">
      <c r="N3604"/>
    </row>
    <row r="3605" spans="14:14" x14ac:dyDescent="0.3">
      <c r="N3605"/>
    </row>
    <row r="3606" spans="14:14" x14ac:dyDescent="0.3">
      <c r="N3606"/>
    </row>
    <row r="3607" spans="14:14" x14ac:dyDescent="0.3">
      <c r="N3607"/>
    </row>
    <row r="3608" spans="14:14" x14ac:dyDescent="0.3">
      <c r="N3608"/>
    </row>
    <row r="3609" spans="14:14" x14ac:dyDescent="0.3">
      <c r="N3609"/>
    </row>
    <row r="3610" spans="14:14" x14ac:dyDescent="0.3">
      <c r="N3610"/>
    </row>
    <row r="3611" spans="14:14" x14ac:dyDescent="0.3">
      <c r="N3611"/>
    </row>
    <row r="3612" spans="14:14" x14ac:dyDescent="0.3">
      <c r="N3612"/>
    </row>
    <row r="3613" spans="14:14" x14ac:dyDescent="0.3">
      <c r="N3613"/>
    </row>
    <row r="3614" spans="14:14" x14ac:dyDescent="0.3">
      <c r="N3614"/>
    </row>
    <row r="3615" spans="14:14" x14ac:dyDescent="0.3">
      <c r="N3615"/>
    </row>
    <row r="3616" spans="14:14" x14ac:dyDescent="0.3">
      <c r="N3616"/>
    </row>
    <row r="3617" spans="14:14" x14ac:dyDescent="0.3">
      <c r="N3617"/>
    </row>
    <row r="3618" spans="14:14" x14ac:dyDescent="0.3">
      <c r="N3618"/>
    </row>
    <row r="3619" spans="14:14" x14ac:dyDescent="0.3">
      <c r="N3619"/>
    </row>
    <row r="3620" spans="14:14" x14ac:dyDescent="0.3">
      <c r="N3620"/>
    </row>
    <row r="3621" spans="14:14" x14ac:dyDescent="0.3">
      <c r="N3621"/>
    </row>
    <row r="3622" spans="14:14" x14ac:dyDescent="0.3">
      <c r="N3622"/>
    </row>
    <row r="3623" spans="14:14" x14ac:dyDescent="0.3">
      <c r="N3623"/>
    </row>
    <row r="3624" spans="14:14" x14ac:dyDescent="0.3">
      <c r="N3624"/>
    </row>
    <row r="3625" spans="14:14" x14ac:dyDescent="0.3">
      <c r="N3625"/>
    </row>
    <row r="3626" spans="14:14" x14ac:dyDescent="0.3">
      <c r="N3626"/>
    </row>
    <row r="3627" spans="14:14" x14ac:dyDescent="0.3">
      <c r="N3627"/>
    </row>
    <row r="3628" spans="14:14" x14ac:dyDescent="0.3">
      <c r="N3628"/>
    </row>
    <row r="3629" spans="14:14" x14ac:dyDescent="0.3">
      <c r="N3629"/>
    </row>
    <row r="3630" spans="14:14" x14ac:dyDescent="0.3">
      <c r="N3630"/>
    </row>
    <row r="3631" spans="14:14" x14ac:dyDescent="0.3">
      <c r="N3631"/>
    </row>
    <row r="3632" spans="14:14" x14ac:dyDescent="0.3">
      <c r="N3632"/>
    </row>
    <row r="3633" spans="14:14" x14ac:dyDescent="0.3">
      <c r="N3633"/>
    </row>
    <row r="3634" spans="14:14" x14ac:dyDescent="0.3">
      <c r="N3634"/>
    </row>
    <row r="3635" spans="14:14" x14ac:dyDescent="0.3">
      <c r="N3635"/>
    </row>
    <row r="3636" spans="14:14" x14ac:dyDescent="0.3">
      <c r="N3636"/>
    </row>
    <row r="3637" spans="14:14" x14ac:dyDescent="0.3">
      <c r="N3637"/>
    </row>
    <row r="3638" spans="14:14" x14ac:dyDescent="0.3">
      <c r="N3638"/>
    </row>
    <row r="3639" spans="14:14" x14ac:dyDescent="0.3">
      <c r="N3639"/>
    </row>
    <row r="3640" spans="14:14" x14ac:dyDescent="0.3">
      <c r="N3640"/>
    </row>
    <row r="3641" spans="14:14" x14ac:dyDescent="0.3">
      <c r="N3641"/>
    </row>
    <row r="3642" spans="14:14" x14ac:dyDescent="0.3">
      <c r="N3642"/>
    </row>
    <row r="3643" spans="14:14" x14ac:dyDescent="0.3">
      <c r="N3643"/>
    </row>
    <row r="3644" spans="14:14" x14ac:dyDescent="0.3">
      <c r="N3644"/>
    </row>
    <row r="3645" spans="14:14" x14ac:dyDescent="0.3">
      <c r="N3645"/>
    </row>
    <row r="3646" spans="14:14" x14ac:dyDescent="0.3">
      <c r="N3646"/>
    </row>
    <row r="3647" spans="14:14" x14ac:dyDescent="0.3">
      <c r="N3647"/>
    </row>
    <row r="3648" spans="14:14" x14ac:dyDescent="0.3">
      <c r="N3648"/>
    </row>
    <row r="3649" spans="14:14" x14ac:dyDescent="0.3">
      <c r="N3649"/>
    </row>
    <row r="3650" spans="14:14" x14ac:dyDescent="0.3">
      <c r="N3650"/>
    </row>
    <row r="3651" spans="14:14" x14ac:dyDescent="0.3">
      <c r="N3651"/>
    </row>
    <row r="3652" spans="14:14" x14ac:dyDescent="0.3">
      <c r="N3652"/>
    </row>
    <row r="3653" spans="14:14" x14ac:dyDescent="0.3">
      <c r="N3653"/>
    </row>
    <row r="3654" spans="14:14" x14ac:dyDescent="0.3">
      <c r="N3654"/>
    </row>
    <row r="3655" spans="14:14" x14ac:dyDescent="0.3">
      <c r="N3655"/>
    </row>
    <row r="3656" spans="14:14" x14ac:dyDescent="0.3">
      <c r="N3656"/>
    </row>
    <row r="3657" spans="14:14" x14ac:dyDescent="0.3">
      <c r="N3657"/>
    </row>
    <row r="3658" spans="14:14" x14ac:dyDescent="0.3">
      <c r="N3658"/>
    </row>
    <row r="3659" spans="14:14" x14ac:dyDescent="0.3">
      <c r="N3659"/>
    </row>
    <row r="3660" spans="14:14" x14ac:dyDescent="0.3">
      <c r="N3660"/>
    </row>
    <row r="3661" spans="14:14" x14ac:dyDescent="0.3">
      <c r="N3661"/>
    </row>
    <row r="3662" spans="14:14" x14ac:dyDescent="0.3">
      <c r="N3662"/>
    </row>
    <row r="3663" spans="14:14" x14ac:dyDescent="0.3">
      <c r="N3663"/>
    </row>
    <row r="3664" spans="14:14" x14ac:dyDescent="0.3">
      <c r="N3664"/>
    </row>
    <row r="3665" spans="14:14" x14ac:dyDescent="0.3">
      <c r="N3665"/>
    </row>
    <row r="3666" spans="14:14" x14ac:dyDescent="0.3">
      <c r="N3666"/>
    </row>
    <row r="3667" spans="14:14" x14ac:dyDescent="0.3">
      <c r="N3667"/>
    </row>
    <row r="3668" spans="14:14" x14ac:dyDescent="0.3">
      <c r="N3668"/>
    </row>
    <row r="3669" spans="14:14" x14ac:dyDescent="0.3">
      <c r="N3669"/>
    </row>
    <row r="3670" spans="14:14" x14ac:dyDescent="0.3">
      <c r="N3670"/>
    </row>
    <row r="3671" spans="14:14" x14ac:dyDescent="0.3">
      <c r="N3671"/>
    </row>
    <row r="3672" spans="14:14" x14ac:dyDescent="0.3">
      <c r="N3672"/>
    </row>
    <row r="3673" spans="14:14" x14ac:dyDescent="0.3">
      <c r="N3673"/>
    </row>
    <row r="3674" spans="14:14" x14ac:dyDescent="0.3">
      <c r="N3674"/>
    </row>
    <row r="3675" spans="14:14" x14ac:dyDescent="0.3">
      <c r="N3675"/>
    </row>
    <row r="3676" spans="14:14" x14ac:dyDescent="0.3">
      <c r="N3676"/>
    </row>
    <row r="3677" spans="14:14" x14ac:dyDescent="0.3">
      <c r="N3677"/>
    </row>
    <row r="3678" spans="14:14" x14ac:dyDescent="0.3">
      <c r="N3678"/>
    </row>
    <row r="3679" spans="14:14" x14ac:dyDescent="0.3">
      <c r="N3679"/>
    </row>
    <row r="3680" spans="14:14" x14ac:dyDescent="0.3">
      <c r="N3680"/>
    </row>
    <row r="3681" spans="14:14" x14ac:dyDescent="0.3">
      <c r="N3681"/>
    </row>
    <row r="3682" spans="14:14" x14ac:dyDescent="0.3">
      <c r="N3682"/>
    </row>
    <row r="3683" spans="14:14" x14ac:dyDescent="0.3">
      <c r="N3683"/>
    </row>
    <row r="3684" spans="14:14" x14ac:dyDescent="0.3">
      <c r="N3684"/>
    </row>
    <row r="3685" spans="14:14" x14ac:dyDescent="0.3">
      <c r="N3685"/>
    </row>
    <row r="3686" spans="14:14" x14ac:dyDescent="0.3">
      <c r="N3686"/>
    </row>
    <row r="3687" spans="14:14" x14ac:dyDescent="0.3">
      <c r="N3687"/>
    </row>
    <row r="3688" spans="14:14" x14ac:dyDescent="0.3">
      <c r="N3688"/>
    </row>
    <row r="3689" spans="14:14" x14ac:dyDescent="0.3">
      <c r="N3689"/>
    </row>
    <row r="3690" spans="14:14" x14ac:dyDescent="0.3">
      <c r="N3690"/>
    </row>
    <row r="3691" spans="14:14" x14ac:dyDescent="0.3">
      <c r="N3691"/>
    </row>
    <row r="3692" spans="14:14" x14ac:dyDescent="0.3">
      <c r="N3692"/>
    </row>
    <row r="3693" spans="14:14" x14ac:dyDescent="0.3">
      <c r="N3693"/>
    </row>
    <row r="3694" spans="14:14" x14ac:dyDescent="0.3">
      <c r="N3694"/>
    </row>
    <row r="3695" spans="14:14" x14ac:dyDescent="0.3">
      <c r="N3695"/>
    </row>
    <row r="3696" spans="14:14" x14ac:dyDescent="0.3">
      <c r="N3696"/>
    </row>
    <row r="3697" spans="14:14" x14ac:dyDescent="0.3">
      <c r="N3697"/>
    </row>
    <row r="3698" spans="14:14" x14ac:dyDescent="0.3">
      <c r="N3698"/>
    </row>
    <row r="3699" spans="14:14" x14ac:dyDescent="0.3">
      <c r="N3699"/>
    </row>
    <row r="3700" spans="14:14" x14ac:dyDescent="0.3">
      <c r="N3700"/>
    </row>
    <row r="3701" spans="14:14" x14ac:dyDescent="0.3">
      <c r="N3701"/>
    </row>
    <row r="3702" spans="14:14" x14ac:dyDescent="0.3">
      <c r="N3702"/>
    </row>
    <row r="3703" spans="14:14" x14ac:dyDescent="0.3">
      <c r="N3703"/>
    </row>
    <row r="3704" spans="14:14" x14ac:dyDescent="0.3">
      <c r="N3704"/>
    </row>
    <row r="3705" spans="14:14" x14ac:dyDescent="0.3">
      <c r="N3705"/>
    </row>
    <row r="3706" spans="14:14" x14ac:dyDescent="0.3">
      <c r="N3706"/>
    </row>
    <row r="3707" spans="14:14" x14ac:dyDescent="0.3">
      <c r="N3707"/>
    </row>
    <row r="3708" spans="14:14" x14ac:dyDescent="0.3">
      <c r="N3708"/>
    </row>
    <row r="3709" spans="14:14" x14ac:dyDescent="0.3">
      <c r="N3709"/>
    </row>
    <row r="3710" spans="14:14" x14ac:dyDescent="0.3">
      <c r="N3710"/>
    </row>
    <row r="3711" spans="14:14" x14ac:dyDescent="0.3">
      <c r="N3711"/>
    </row>
    <row r="3712" spans="14:14" x14ac:dyDescent="0.3">
      <c r="N3712"/>
    </row>
    <row r="3713" spans="14:14" x14ac:dyDescent="0.3">
      <c r="N3713"/>
    </row>
    <row r="3714" spans="14:14" x14ac:dyDescent="0.3">
      <c r="N3714"/>
    </row>
    <row r="3715" spans="14:14" x14ac:dyDescent="0.3">
      <c r="N3715"/>
    </row>
    <row r="3716" spans="14:14" x14ac:dyDescent="0.3">
      <c r="N3716"/>
    </row>
    <row r="3717" spans="14:14" x14ac:dyDescent="0.3">
      <c r="N3717"/>
    </row>
    <row r="3718" spans="14:14" x14ac:dyDescent="0.3">
      <c r="N3718"/>
    </row>
    <row r="3719" spans="14:14" x14ac:dyDescent="0.3">
      <c r="N3719"/>
    </row>
    <row r="3720" spans="14:14" x14ac:dyDescent="0.3">
      <c r="N3720"/>
    </row>
    <row r="3721" spans="14:14" x14ac:dyDescent="0.3">
      <c r="N3721"/>
    </row>
    <row r="3722" spans="14:14" x14ac:dyDescent="0.3">
      <c r="N3722"/>
    </row>
    <row r="3723" spans="14:14" x14ac:dyDescent="0.3">
      <c r="N3723"/>
    </row>
    <row r="3724" spans="14:14" x14ac:dyDescent="0.3">
      <c r="N3724"/>
    </row>
    <row r="3725" spans="14:14" x14ac:dyDescent="0.3">
      <c r="N3725"/>
    </row>
    <row r="3726" spans="14:14" x14ac:dyDescent="0.3">
      <c r="N3726"/>
    </row>
    <row r="3727" spans="14:14" x14ac:dyDescent="0.3">
      <c r="N3727"/>
    </row>
    <row r="3728" spans="14:14" x14ac:dyDescent="0.3">
      <c r="N3728"/>
    </row>
    <row r="3729" spans="14:14" x14ac:dyDescent="0.3">
      <c r="N3729"/>
    </row>
    <row r="3730" spans="14:14" x14ac:dyDescent="0.3">
      <c r="N3730"/>
    </row>
    <row r="3731" spans="14:14" x14ac:dyDescent="0.3">
      <c r="N3731"/>
    </row>
    <row r="3732" spans="14:14" x14ac:dyDescent="0.3">
      <c r="N3732"/>
    </row>
    <row r="3733" spans="14:14" x14ac:dyDescent="0.3">
      <c r="N3733"/>
    </row>
    <row r="3734" spans="14:14" x14ac:dyDescent="0.3">
      <c r="N3734"/>
    </row>
    <row r="3735" spans="14:14" x14ac:dyDescent="0.3">
      <c r="N3735"/>
    </row>
    <row r="3736" spans="14:14" x14ac:dyDescent="0.3">
      <c r="N3736"/>
    </row>
    <row r="3737" spans="14:14" x14ac:dyDescent="0.3">
      <c r="N3737"/>
    </row>
    <row r="3738" spans="14:14" x14ac:dyDescent="0.3">
      <c r="N3738"/>
    </row>
    <row r="3739" spans="14:14" x14ac:dyDescent="0.3">
      <c r="N3739"/>
    </row>
    <row r="3740" spans="14:14" x14ac:dyDescent="0.3">
      <c r="N3740"/>
    </row>
    <row r="3741" spans="14:14" x14ac:dyDescent="0.3">
      <c r="N3741"/>
    </row>
    <row r="3742" spans="14:14" x14ac:dyDescent="0.3">
      <c r="N3742"/>
    </row>
    <row r="3743" spans="14:14" x14ac:dyDescent="0.3">
      <c r="N3743"/>
    </row>
    <row r="3744" spans="14:14" x14ac:dyDescent="0.3">
      <c r="N3744"/>
    </row>
    <row r="3745" spans="14:14" x14ac:dyDescent="0.3">
      <c r="N3745"/>
    </row>
    <row r="3746" spans="14:14" x14ac:dyDescent="0.3">
      <c r="N3746"/>
    </row>
    <row r="3747" spans="14:14" x14ac:dyDescent="0.3">
      <c r="N3747"/>
    </row>
    <row r="3748" spans="14:14" x14ac:dyDescent="0.3">
      <c r="N3748"/>
    </row>
    <row r="3749" spans="14:14" x14ac:dyDescent="0.3">
      <c r="N3749"/>
    </row>
    <row r="3750" spans="14:14" x14ac:dyDescent="0.3">
      <c r="N3750"/>
    </row>
    <row r="3751" spans="14:14" x14ac:dyDescent="0.3">
      <c r="N3751"/>
    </row>
    <row r="3752" spans="14:14" x14ac:dyDescent="0.3">
      <c r="N3752"/>
    </row>
    <row r="3753" spans="14:14" x14ac:dyDescent="0.3">
      <c r="N3753"/>
    </row>
    <row r="3754" spans="14:14" x14ac:dyDescent="0.3">
      <c r="N3754"/>
    </row>
    <row r="3755" spans="14:14" x14ac:dyDescent="0.3">
      <c r="N3755"/>
    </row>
    <row r="3756" spans="14:14" x14ac:dyDescent="0.3">
      <c r="N3756"/>
    </row>
    <row r="3757" spans="14:14" x14ac:dyDescent="0.3">
      <c r="N3757"/>
    </row>
    <row r="3758" spans="14:14" x14ac:dyDescent="0.3">
      <c r="N3758"/>
    </row>
    <row r="3759" spans="14:14" x14ac:dyDescent="0.3">
      <c r="N3759"/>
    </row>
    <row r="3760" spans="14:14" x14ac:dyDescent="0.3">
      <c r="N3760"/>
    </row>
    <row r="3761" spans="14:14" x14ac:dyDescent="0.3">
      <c r="N3761"/>
    </row>
    <row r="3762" spans="14:14" x14ac:dyDescent="0.3">
      <c r="N3762"/>
    </row>
    <row r="3763" spans="14:14" x14ac:dyDescent="0.3">
      <c r="N3763"/>
    </row>
    <row r="3764" spans="14:14" x14ac:dyDescent="0.3">
      <c r="N3764"/>
    </row>
    <row r="3765" spans="14:14" x14ac:dyDescent="0.3">
      <c r="N3765"/>
    </row>
    <row r="3766" spans="14:14" x14ac:dyDescent="0.3">
      <c r="N3766"/>
    </row>
    <row r="3767" spans="14:14" x14ac:dyDescent="0.3">
      <c r="N3767"/>
    </row>
    <row r="3768" spans="14:14" x14ac:dyDescent="0.3">
      <c r="N3768"/>
    </row>
    <row r="3769" spans="14:14" x14ac:dyDescent="0.3">
      <c r="N3769"/>
    </row>
    <row r="3770" spans="14:14" x14ac:dyDescent="0.3">
      <c r="N3770"/>
    </row>
    <row r="3771" spans="14:14" x14ac:dyDescent="0.3">
      <c r="N3771"/>
    </row>
    <row r="3772" spans="14:14" x14ac:dyDescent="0.3">
      <c r="N3772"/>
    </row>
    <row r="3773" spans="14:14" x14ac:dyDescent="0.3">
      <c r="N3773"/>
    </row>
    <row r="3774" spans="14:14" x14ac:dyDescent="0.3">
      <c r="N3774"/>
    </row>
    <row r="3775" spans="14:14" x14ac:dyDescent="0.3">
      <c r="N3775"/>
    </row>
    <row r="3776" spans="14:14" x14ac:dyDescent="0.3">
      <c r="N3776"/>
    </row>
    <row r="3777" spans="14:14" x14ac:dyDescent="0.3">
      <c r="N3777"/>
    </row>
    <row r="3778" spans="14:14" x14ac:dyDescent="0.3">
      <c r="N3778"/>
    </row>
    <row r="3779" spans="14:14" x14ac:dyDescent="0.3">
      <c r="N3779"/>
    </row>
    <row r="3780" spans="14:14" x14ac:dyDescent="0.3">
      <c r="N3780"/>
    </row>
    <row r="3781" spans="14:14" x14ac:dyDescent="0.3">
      <c r="N3781"/>
    </row>
    <row r="3782" spans="14:14" x14ac:dyDescent="0.3">
      <c r="N3782"/>
    </row>
    <row r="3783" spans="14:14" x14ac:dyDescent="0.3">
      <c r="N3783"/>
    </row>
    <row r="3784" spans="14:14" x14ac:dyDescent="0.3">
      <c r="N3784"/>
    </row>
    <row r="3785" spans="14:14" x14ac:dyDescent="0.3">
      <c r="N3785"/>
    </row>
    <row r="3786" spans="14:14" x14ac:dyDescent="0.3">
      <c r="N3786"/>
    </row>
    <row r="3787" spans="14:14" x14ac:dyDescent="0.3">
      <c r="N3787"/>
    </row>
    <row r="3788" spans="14:14" x14ac:dyDescent="0.3">
      <c r="N3788"/>
    </row>
    <row r="3789" spans="14:14" x14ac:dyDescent="0.3">
      <c r="N3789"/>
    </row>
    <row r="3790" spans="14:14" x14ac:dyDescent="0.3">
      <c r="N3790"/>
    </row>
    <row r="3791" spans="14:14" x14ac:dyDescent="0.3">
      <c r="N3791"/>
    </row>
    <row r="3792" spans="14:14" x14ac:dyDescent="0.3">
      <c r="N3792"/>
    </row>
    <row r="3793" spans="14:14" x14ac:dyDescent="0.3">
      <c r="N3793"/>
    </row>
    <row r="3794" spans="14:14" x14ac:dyDescent="0.3">
      <c r="N3794"/>
    </row>
    <row r="3795" spans="14:14" x14ac:dyDescent="0.3">
      <c r="N3795"/>
    </row>
    <row r="3796" spans="14:14" x14ac:dyDescent="0.3">
      <c r="N3796"/>
    </row>
    <row r="3797" spans="14:14" x14ac:dyDescent="0.3">
      <c r="N3797"/>
    </row>
    <row r="3798" spans="14:14" x14ac:dyDescent="0.3">
      <c r="N3798"/>
    </row>
    <row r="3799" spans="14:14" x14ac:dyDescent="0.3">
      <c r="N3799"/>
    </row>
    <row r="3800" spans="14:14" x14ac:dyDescent="0.3">
      <c r="N3800"/>
    </row>
    <row r="3801" spans="14:14" x14ac:dyDescent="0.3">
      <c r="N3801"/>
    </row>
    <row r="3802" spans="14:14" x14ac:dyDescent="0.3">
      <c r="N3802"/>
    </row>
    <row r="3803" spans="14:14" x14ac:dyDescent="0.3">
      <c r="N3803"/>
    </row>
    <row r="3804" spans="14:14" x14ac:dyDescent="0.3">
      <c r="N3804"/>
    </row>
    <row r="3805" spans="14:14" x14ac:dyDescent="0.3">
      <c r="N3805"/>
    </row>
    <row r="3806" spans="14:14" x14ac:dyDescent="0.3">
      <c r="N3806"/>
    </row>
    <row r="3807" spans="14:14" x14ac:dyDescent="0.3">
      <c r="N3807"/>
    </row>
    <row r="3808" spans="14:14" x14ac:dyDescent="0.3">
      <c r="N3808"/>
    </row>
    <row r="3809" spans="14:14" x14ac:dyDescent="0.3">
      <c r="N3809"/>
    </row>
    <row r="3810" spans="14:14" x14ac:dyDescent="0.3">
      <c r="N3810"/>
    </row>
    <row r="3811" spans="14:14" x14ac:dyDescent="0.3">
      <c r="N3811"/>
    </row>
    <row r="3812" spans="14:14" x14ac:dyDescent="0.3">
      <c r="N3812"/>
    </row>
    <row r="3813" spans="14:14" x14ac:dyDescent="0.3">
      <c r="N3813"/>
    </row>
    <row r="3814" spans="14:14" x14ac:dyDescent="0.3">
      <c r="N3814"/>
    </row>
    <row r="3815" spans="14:14" x14ac:dyDescent="0.3">
      <c r="N3815"/>
    </row>
    <row r="3816" spans="14:14" x14ac:dyDescent="0.3">
      <c r="N3816"/>
    </row>
    <row r="3817" spans="14:14" x14ac:dyDescent="0.3">
      <c r="N3817"/>
    </row>
    <row r="3818" spans="14:14" x14ac:dyDescent="0.3">
      <c r="N3818"/>
    </row>
    <row r="3819" spans="14:14" x14ac:dyDescent="0.3">
      <c r="N3819"/>
    </row>
    <row r="3820" spans="14:14" x14ac:dyDescent="0.3">
      <c r="N3820"/>
    </row>
    <row r="3821" spans="14:14" x14ac:dyDescent="0.3">
      <c r="N3821"/>
    </row>
    <row r="3822" spans="14:14" x14ac:dyDescent="0.3">
      <c r="N3822"/>
    </row>
    <row r="3823" spans="14:14" x14ac:dyDescent="0.3">
      <c r="N3823"/>
    </row>
    <row r="3824" spans="14:14" x14ac:dyDescent="0.3">
      <c r="N3824"/>
    </row>
    <row r="3825" spans="14:14" x14ac:dyDescent="0.3">
      <c r="N3825"/>
    </row>
    <row r="3826" spans="14:14" x14ac:dyDescent="0.3">
      <c r="N3826"/>
    </row>
    <row r="3827" spans="14:14" x14ac:dyDescent="0.3">
      <c r="N3827"/>
    </row>
    <row r="3828" spans="14:14" x14ac:dyDescent="0.3">
      <c r="N3828"/>
    </row>
    <row r="3829" spans="14:14" x14ac:dyDescent="0.3">
      <c r="N3829"/>
    </row>
    <row r="3830" spans="14:14" x14ac:dyDescent="0.3">
      <c r="N3830"/>
    </row>
    <row r="3831" spans="14:14" x14ac:dyDescent="0.3">
      <c r="N3831"/>
    </row>
    <row r="3832" spans="14:14" x14ac:dyDescent="0.3">
      <c r="N3832"/>
    </row>
    <row r="3833" spans="14:14" x14ac:dyDescent="0.3">
      <c r="N3833"/>
    </row>
    <row r="3834" spans="14:14" x14ac:dyDescent="0.3">
      <c r="N3834"/>
    </row>
    <row r="3835" spans="14:14" x14ac:dyDescent="0.3">
      <c r="N3835"/>
    </row>
    <row r="3836" spans="14:14" x14ac:dyDescent="0.3">
      <c r="N3836"/>
    </row>
    <row r="3837" spans="14:14" x14ac:dyDescent="0.3">
      <c r="N3837"/>
    </row>
    <row r="3838" spans="14:14" x14ac:dyDescent="0.3">
      <c r="N3838"/>
    </row>
    <row r="3839" spans="14:14" x14ac:dyDescent="0.3">
      <c r="N3839"/>
    </row>
    <row r="3840" spans="14:14" x14ac:dyDescent="0.3">
      <c r="N3840"/>
    </row>
    <row r="3841" spans="14:14" x14ac:dyDescent="0.3">
      <c r="N3841"/>
    </row>
    <row r="3842" spans="14:14" x14ac:dyDescent="0.3">
      <c r="N3842"/>
    </row>
    <row r="3843" spans="14:14" x14ac:dyDescent="0.3">
      <c r="N3843"/>
    </row>
    <row r="3844" spans="14:14" x14ac:dyDescent="0.3">
      <c r="N3844"/>
    </row>
    <row r="3845" spans="14:14" x14ac:dyDescent="0.3">
      <c r="N3845"/>
    </row>
    <row r="3846" spans="14:14" x14ac:dyDescent="0.3">
      <c r="N3846"/>
    </row>
    <row r="3847" spans="14:14" x14ac:dyDescent="0.3">
      <c r="N3847"/>
    </row>
    <row r="3848" spans="14:14" x14ac:dyDescent="0.3">
      <c r="N3848"/>
    </row>
    <row r="3849" spans="14:14" x14ac:dyDescent="0.3">
      <c r="N3849"/>
    </row>
    <row r="3850" spans="14:14" x14ac:dyDescent="0.3">
      <c r="N3850"/>
    </row>
    <row r="3851" spans="14:14" x14ac:dyDescent="0.3">
      <c r="N3851"/>
    </row>
    <row r="3852" spans="14:14" x14ac:dyDescent="0.3">
      <c r="N3852"/>
    </row>
    <row r="3853" spans="14:14" x14ac:dyDescent="0.3">
      <c r="N3853"/>
    </row>
    <row r="3854" spans="14:14" x14ac:dyDescent="0.3">
      <c r="N3854"/>
    </row>
    <row r="3855" spans="14:14" x14ac:dyDescent="0.3">
      <c r="N3855"/>
    </row>
    <row r="3856" spans="14:14" x14ac:dyDescent="0.3">
      <c r="N3856"/>
    </row>
    <row r="3857" spans="14:14" x14ac:dyDescent="0.3">
      <c r="N3857"/>
    </row>
    <row r="3858" spans="14:14" x14ac:dyDescent="0.3">
      <c r="N3858"/>
    </row>
    <row r="3859" spans="14:14" x14ac:dyDescent="0.3">
      <c r="N3859"/>
    </row>
    <row r="3860" spans="14:14" x14ac:dyDescent="0.3">
      <c r="N3860"/>
    </row>
    <row r="3861" spans="14:14" x14ac:dyDescent="0.3">
      <c r="N3861"/>
    </row>
    <row r="3862" spans="14:14" x14ac:dyDescent="0.3">
      <c r="N3862"/>
    </row>
    <row r="3863" spans="14:14" x14ac:dyDescent="0.3">
      <c r="N3863"/>
    </row>
    <row r="3864" spans="14:14" x14ac:dyDescent="0.3">
      <c r="N3864"/>
    </row>
    <row r="3865" spans="14:14" x14ac:dyDescent="0.3">
      <c r="N3865"/>
    </row>
    <row r="3866" spans="14:14" x14ac:dyDescent="0.3">
      <c r="N3866"/>
    </row>
    <row r="3867" spans="14:14" x14ac:dyDescent="0.3">
      <c r="N3867"/>
    </row>
    <row r="3868" spans="14:14" x14ac:dyDescent="0.3">
      <c r="N3868"/>
    </row>
    <row r="3869" spans="14:14" x14ac:dyDescent="0.3">
      <c r="N3869"/>
    </row>
    <row r="3870" spans="14:14" x14ac:dyDescent="0.3">
      <c r="N3870"/>
    </row>
    <row r="3871" spans="14:14" x14ac:dyDescent="0.3">
      <c r="N3871"/>
    </row>
    <row r="3872" spans="14:14" x14ac:dyDescent="0.3">
      <c r="N3872"/>
    </row>
    <row r="3873" spans="14:14" x14ac:dyDescent="0.3">
      <c r="N3873"/>
    </row>
    <row r="3874" spans="14:14" x14ac:dyDescent="0.3">
      <c r="N3874"/>
    </row>
    <row r="3875" spans="14:14" x14ac:dyDescent="0.3">
      <c r="N3875"/>
    </row>
    <row r="3876" spans="14:14" x14ac:dyDescent="0.3">
      <c r="N3876"/>
    </row>
    <row r="3877" spans="14:14" x14ac:dyDescent="0.3">
      <c r="N3877"/>
    </row>
    <row r="3878" spans="14:14" x14ac:dyDescent="0.3">
      <c r="N3878"/>
    </row>
    <row r="3879" spans="14:14" x14ac:dyDescent="0.3">
      <c r="N3879"/>
    </row>
    <row r="3880" spans="14:14" x14ac:dyDescent="0.3">
      <c r="N3880"/>
    </row>
    <row r="3881" spans="14:14" x14ac:dyDescent="0.3">
      <c r="N3881"/>
    </row>
    <row r="3882" spans="14:14" x14ac:dyDescent="0.3">
      <c r="N3882"/>
    </row>
    <row r="3883" spans="14:14" x14ac:dyDescent="0.3">
      <c r="N3883"/>
    </row>
    <row r="3884" spans="14:14" x14ac:dyDescent="0.3">
      <c r="N3884"/>
    </row>
    <row r="3885" spans="14:14" x14ac:dyDescent="0.3">
      <c r="N3885"/>
    </row>
    <row r="3886" spans="14:14" x14ac:dyDescent="0.3">
      <c r="N3886"/>
    </row>
    <row r="3887" spans="14:14" x14ac:dyDescent="0.3">
      <c r="N3887"/>
    </row>
    <row r="3888" spans="14:14" x14ac:dyDescent="0.3">
      <c r="N3888"/>
    </row>
    <row r="3889" spans="14:14" x14ac:dyDescent="0.3">
      <c r="N3889"/>
    </row>
    <row r="3890" spans="14:14" x14ac:dyDescent="0.3">
      <c r="N3890"/>
    </row>
    <row r="3891" spans="14:14" x14ac:dyDescent="0.3">
      <c r="N3891"/>
    </row>
    <row r="3892" spans="14:14" x14ac:dyDescent="0.3">
      <c r="N3892"/>
    </row>
    <row r="3893" spans="14:14" x14ac:dyDescent="0.3">
      <c r="N3893"/>
    </row>
    <row r="3894" spans="14:14" x14ac:dyDescent="0.3">
      <c r="N3894"/>
    </row>
    <row r="3895" spans="14:14" x14ac:dyDescent="0.3">
      <c r="N3895"/>
    </row>
    <row r="3896" spans="14:14" x14ac:dyDescent="0.3">
      <c r="N3896"/>
    </row>
    <row r="3897" spans="14:14" x14ac:dyDescent="0.3">
      <c r="N3897"/>
    </row>
    <row r="3898" spans="14:14" x14ac:dyDescent="0.3">
      <c r="N3898"/>
    </row>
    <row r="3899" spans="14:14" x14ac:dyDescent="0.3">
      <c r="N3899"/>
    </row>
    <row r="3900" spans="14:14" x14ac:dyDescent="0.3">
      <c r="N3900"/>
    </row>
    <row r="3901" spans="14:14" x14ac:dyDescent="0.3">
      <c r="N3901"/>
    </row>
    <row r="3902" spans="14:14" x14ac:dyDescent="0.3">
      <c r="N3902"/>
    </row>
    <row r="3903" spans="14:14" x14ac:dyDescent="0.3">
      <c r="N3903"/>
    </row>
    <row r="3904" spans="14:14" x14ac:dyDescent="0.3">
      <c r="N3904"/>
    </row>
    <row r="3905" spans="14:14" x14ac:dyDescent="0.3">
      <c r="N3905"/>
    </row>
    <row r="3906" spans="14:14" x14ac:dyDescent="0.3">
      <c r="N3906"/>
    </row>
    <row r="3907" spans="14:14" x14ac:dyDescent="0.3">
      <c r="N3907"/>
    </row>
    <row r="3908" spans="14:14" x14ac:dyDescent="0.3">
      <c r="N3908"/>
    </row>
    <row r="3909" spans="14:14" x14ac:dyDescent="0.3">
      <c r="N3909"/>
    </row>
    <row r="3910" spans="14:14" x14ac:dyDescent="0.3">
      <c r="N3910"/>
    </row>
    <row r="3911" spans="14:14" x14ac:dyDescent="0.3">
      <c r="N3911"/>
    </row>
    <row r="3912" spans="14:14" x14ac:dyDescent="0.3">
      <c r="N3912"/>
    </row>
    <row r="3913" spans="14:14" x14ac:dyDescent="0.3">
      <c r="N3913"/>
    </row>
    <row r="3914" spans="14:14" x14ac:dyDescent="0.3">
      <c r="N3914"/>
    </row>
    <row r="3915" spans="14:14" x14ac:dyDescent="0.3">
      <c r="N3915"/>
    </row>
    <row r="3916" spans="14:14" x14ac:dyDescent="0.3">
      <c r="N3916"/>
    </row>
    <row r="3917" spans="14:14" x14ac:dyDescent="0.3">
      <c r="N3917"/>
    </row>
    <row r="3918" spans="14:14" x14ac:dyDescent="0.3">
      <c r="N3918"/>
    </row>
    <row r="3919" spans="14:14" x14ac:dyDescent="0.3">
      <c r="N3919"/>
    </row>
    <row r="3920" spans="14:14" x14ac:dyDescent="0.3">
      <c r="N3920"/>
    </row>
    <row r="3921" spans="14:14" x14ac:dyDescent="0.3">
      <c r="N3921"/>
    </row>
    <row r="3922" spans="14:14" x14ac:dyDescent="0.3">
      <c r="N3922"/>
    </row>
    <row r="3923" spans="14:14" x14ac:dyDescent="0.3">
      <c r="N3923"/>
    </row>
    <row r="3924" spans="14:14" x14ac:dyDescent="0.3">
      <c r="N3924"/>
    </row>
    <row r="3925" spans="14:14" x14ac:dyDescent="0.3">
      <c r="N3925"/>
    </row>
    <row r="3926" spans="14:14" x14ac:dyDescent="0.3">
      <c r="N3926"/>
    </row>
    <row r="3927" spans="14:14" x14ac:dyDescent="0.3">
      <c r="N3927"/>
    </row>
    <row r="3928" spans="14:14" x14ac:dyDescent="0.3">
      <c r="N3928"/>
    </row>
    <row r="3929" spans="14:14" x14ac:dyDescent="0.3">
      <c r="N3929"/>
    </row>
    <row r="3930" spans="14:14" x14ac:dyDescent="0.3">
      <c r="N3930"/>
    </row>
    <row r="3931" spans="14:14" x14ac:dyDescent="0.3">
      <c r="N3931"/>
    </row>
    <row r="3932" spans="14:14" x14ac:dyDescent="0.3">
      <c r="N3932"/>
    </row>
    <row r="3933" spans="14:14" x14ac:dyDescent="0.3">
      <c r="N3933"/>
    </row>
    <row r="3934" spans="14:14" x14ac:dyDescent="0.3">
      <c r="N3934"/>
    </row>
    <row r="3935" spans="14:14" x14ac:dyDescent="0.3">
      <c r="N3935"/>
    </row>
    <row r="3936" spans="14:14" x14ac:dyDescent="0.3">
      <c r="N3936"/>
    </row>
    <row r="3937" spans="14:14" x14ac:dyDescent="0.3">
      <c r="N3937"/>
    </row>
    <row r="3938" spans="14:14" x14ac:dyDescent="0.3">
      <c r="N3938"/>
    </row>
    <row r="3939" spans="14:14" x14ac:dyDescent="0.3">
      <c r="N3939"/>
    </row>
    <row r="3940" spans="14:14" x14ac:dyDescent="0.3">
      <c r="N3940"/>
    </row>
    <row r="3941" spans="14:14" x14ac:dyDescent="0.3">
      <c r="N3941"/>
    </row>
    <row r="3942" spans="14:14" x14ac:dyDescent="0.3">
      <c r="N3942"/>
    </row>
    <row r="3943" spans="14:14" x14ac:dyDescent="0.3">
      <c r="N3943"/>
    </row>
    <row r="3944" spans="14:14" x14ac:dyDescent="0.3">
      <c r="N3944"/>
    </row>
    <row r="3945" spans="14:14" x14ac:dyDescent="0.3">
      <c r="N3945"/>
    </row>
    <row r="3946" spans="14:14" x14ac:dyDescent="0.3">
      <c r="N3946"/>
    </row>
    <row r="3947" spans="14:14" x14ac:dyDescent="0.3">
      <c r="N3947"/>
    </row>
    <row r="3948" spans="14:14" x14ac:dyDescent="0.3">
      <c r="N3948"/>
    </row>
    <row r="3949" spans="14:14" x14ac:dyDescent="0.3">
      <c r="N3949"/>
    </row>
    <row r="3950" spans="14:14" x14ac:dyDescent="0.3">
      <c r="N3950"/>
    </row>
    <row r="3951" spans="14:14" x14ac:dyDescent="0.3">
      <c r="N3951"/>
    </row>
    <row r="3952" spans="14:14" x14ac:dyDescent="0.3">
      <c r="N3952"/>
    </row>
    <row r="3953" spans="14:14" x14ac:dyDescent="0.3">
      <c r="N3953"/>
    </row>
    <row r="3954" spans="14:14" x14ac:dyDescent="0.3">
      <c r="N3954"/>
    </row>
    <row r="3955" spans="14:14" x14ac:dyDescent="0.3">
      <c r="N3955"/>
    </row>
    <row r="3956" spans="14:14" x14ac:dyDescent="0.3">
      <c r="N3956"/>
    </row>
    <row r="3957" spans="14:14" x14ac:dyDescent="0.3">
      <c r="N3957"/>
    </row>
    <row r="3958" spans="14:14" x14ac:dyDescent="0.3">
      <c r="N3958"/>
    </row>
    <row r="3959" spans="14:14" x14ac:dyDescent="0.3">
      <c r="N3959"/>
    </row>
    <row r="3960" spans="14:14" x14ac:dyDescent="0.3">
      <c r="N3960"/>
    </row>
    <row r="3961" spans="14:14" x14ac:dyDescent="0.3">
      <c r="N3961"/>
    </row>
    <row r="3962" spans="14:14" x14ac:dyDescent="0.3">
      <c r="N3962"/>
    </row>
    <row r="3963" spans="14:14" x14ac:dyDescent="0.3">
      <c r="N3963"/>
    </row>
    <row r="3964" spans="14:14" x14ac:dyDescent="0.3">
      <c r="N3964"/>
    </row>
    <row r="3965" spans="14:14" x14ac:dyDescent="0.3">
      <c r="N3965"/>
    </row>
    <row r="3966" spans="14:14" x14ac:dyDescent="0.3">
      <c r="N3966"/>
    </row>
    <row r="3967" spans="14:14" x14ac:dyDescent="0.3">
      <c r="N3967"/>
    </row>
    <row r="3968" spans="14:14" x14ac:dyDescent="0.3">
      <c r="N3968"/>
    </row>
    <row r="3969" spans="14:14" x14ac:dyDescent="0.3">
      <c r="N3969"/>
    </row>
    <row r="3970" spans="14:14" x14ac:dyDescent="0.3">
      <c r="N3970"/>
    </row>
    <row r="3971" spans="14:14" x14ac:dyDescent="0.3">
      <c r="N3971"/>
    </row>
    <row r="3972" spans="14:14" x14ac:dyDescent="0.3">
      <c r="N3972"/>
    </row>
    <row r="3973" spans="14:14" x14ac:dyDescent="0.3">
      <c r="N3973"/>
    </row>
    <row r="3974" spans="14:14" x14ac:dyDescent="0.3">
      <c r="N3974"/>
    </row>
    <row r="3975" spans="14:14" x14ac:dyDescent="0.3">
      <c r="N3975"/>
    </row>
    <row r="3976" spans="14:14" x14ac:dyDescent="0.3">
      <c r="N3976"/>
    </row>
    <row r="3977" spans="14:14" x14ac:dyDescent="0.3">
      <c r="N3977"/>
    </row>
    <row r="3978" spans="14:14" x14ac:dyDescent="0.3">
      <c r="N3978"/>
    </row>
    <row r="3979" spans="14:14" x14ac:dyDescent="0.3">
      <c r="N3979"/>
    </row>
    <row r="3980" spans="14:14" x14ac:dyDescent="0.3">
      <c r="N3980"/>
    </row>
    <row r="3981" spans="14:14" x14ac:dyDescent="0.3">
      <c r="N3981"/>
    </row>
    <row r="3982" spans="14:14" x14ac:dyDescent="0.3">
      <c r="N3982"/>
    </row>
    <row r="3983" spans="14:14" x14ac:dyDescent="0.3">
      <c r="N3983"/>
    </row>
    <row r="3984" spans="14:14" x14ac:dyDescent="0.3">
      <c r="N3984"/>
    </row>
    <row r="3985" spans="14:14" x14ac:dyDescent="0.3">
      <c r="N3985"/>
    </row>
    <row r="3986" spans="14:14" x14ac:dyDescent="0.3">
      <c r="N3986"/>
    </row>
    <row r="3987" spans="14:14" x14ac:dyDescent="0.3">
      <c r="N3987"/>
    </row>
    <row r="3988" spans="14:14" x14ac:dyDescent="0.3">
      <c r="N3988"/>
    </row>
    <row r="3989" spans="14:14" x14ac:dyDescent="0.3">
      <c r="N3989"/>
    </row>
    <row r="3990" spans="14:14" x14ac:dyDescent="0.3">
      <c r="N3990"/>
    </row>
    <row r="3991" spans="14:14" x14ac:dyDescent="0.3">
      <c r="N3991"/>
    </row>
    <row r="3992" spans="14:14" x14ac:dyDescent="0.3">
      <c r="N3992"/>
    </row>
    <row r="3993" spans="14:14" x14ac:dyDescent="0.3">
      <c r="N3993"/>
    </row>
    <row r="3994" spans="14:14" x14ac:dyDescent="0.3">
      <c r="N3994"/>
    </row>
    <row r="3995" spans="14:14" x14ac:dyDescent="0.3">
      <c r="N3995"/>
    </row>
    <row r="3996" spans="14:14" x14ac:dyDescent="0.3">
      <c r="N3996"/>
    </row>
    <row r="3997" spans="14:14" x14ac:dyDescent="0.3">
      <c r="N3997"/>
    </row>
    <row r="3998" spans="14:14" x14ac:dyDescent="0.3">
      <c r="N3998"/>
    </row>
    <row r="3999" spans="14:14" x14ac:dyDescent="0.3">
      <c r="N3999"/>
    </row>
    <row r="4000" spans="14:14" x14ac:dyDescent="0.3">
      <c r="N4000"/>
    </row>
    <row r="4001" spans="14:14" x14ac:dyDescent="0.3">
      <c r="N4001"/>
    </row>
    <row r="4002" spans="14:14" x14ac:dyDescent="0.3">
      <c r="N4002"/>
    </row>
    <row r="4003" spans="14:14" x14ac:dyDescent="0.3">
      <c r="N4003"/>
    </row>
    <row r="4004" spans="14:14" x14ac:dyDescent="0.3">
      <c r="N4004"/>
    </row>
    <row r="4005" spans="14:14" x14ac:dyDescent="0.3">
      <c r="N4005"/>
    </row>
    <row r="4006" spans="14:14" x14ac:dyDescent="0.3">
      <c r="N4006"/>
    </row>
    <row r="4007" spans="14:14" x14ac:dyDescent="0.3">
      <c r="N4007"/>
    </row>
    <row r="4008" spans="14:14" x14ac:dyDescent="0.3">
      <c r="N4008"/>
    </row>
    <row r="4009" spans="14:14" x14ac:dyDescent="0.3">
      <c r="N4009"/>
    </row>
    <row r="4010" spans="14:14" x14ac:dyDescent="0.3">
      <c r="N4010"/>
    </row>
    <row r="4011" spans="14:14" x14ac:dyDescent="0.3">
      <c r="N4011"/>
    </row>
    <row r="4012" spans="14:14" x14ac:dyDescent="0.3">
      <c r="N4012"/>
    </row>
    <row r="4013" spans="14:14" x14ac:dyDescent="0.3">
      <c r="N4013"/>
    </row>
    <row r="4014" spans="14:14" x14ac:dyDescent="0.3">
      <c r="N4014"/>
    </row>
    <row r="4015" spans="14:14" x14ac:dyDescent="0.3">
      <c r="N4015"/>
    </row>
    <row r="4016" spans="14:14" x14ac:dyDescent="0.3">
      <c r="N4016"/>
    </row>
    <row r="4017" spans="14:14" x14ac:dyDescent="0.3">
      <c r="N4017"/>
    </row>
    <row r="4018" spans="14:14" x14ac:dyDescent="0.3">
      <c r="N4018"/>
    </row>
    <row r="4019" spans="14:14" x14ac:dyDescent="0.3">
      <c r="N4019"/>
    </row>
    <row r="4020" spans="14:14" x14ac:dyDescent="0.3">
      <c r="N4020"/>
    </row>
    <row r="4021" spans="14:14" x14ac:dyDescent="0.3">
      <c r="N4021"/>
    </row>
    <row r="4022" spans="14:14" x14ac:dyDescent="0.3">
      <c r="N4022"/>
    </row>
    <row r="4023" spans="14:14" x14ac:dyDescent="0.3">
      <c r="N4023"/>
    </row>
    <row r="4024" spans="14:14" x14ac:dyDescent="0.3">
      <c r="N4024"/>
    </row>
    <row r="4025" spans="14:14" x14ac:dyDescent="0.3">
      <c r="N4025"/>
    </row>
    <row r="4026" spans="14:14" x14ac:dyDescent="0.3">
      <c r="N4026"/>
    </row>
    <row r="4027" spans="14:14" x14ac:dyDescent="0.3">
      <c r="N4027"/>
    </row>
    <row r="4028" spans="14:14" x14ac:dyDescent="0.3">
      <c r="N4028"/>
    </row>
    <row r="4029" spans="14:14" x14ac:dyDescent="0.3">
      <c r="N4029"/>
    </row>
    <row r="4030" spans="14:14" x14ac:dyDescent="0.3">
      <c r="N4030"/>
    </row>
    <row r="4031" spans="14:14" x14ac:dyDescent="0.3">
      <c r="N4031"/>
    </row>
    <row r="4032" spans="14:14" x14ac:dyDescent="0.3">
      <c r="N4032"/>
    </row>
    <row r="4033" spans="14:14" x14ac:dyDescent="0.3">
      <c r="N4033"/>
    </row>
    <row r="4034" spans="14:14" x14ac:dyDescent="0.3">
      <c r="N4034"/>
    </row>
    <row r="4035" spans="14:14" x14ac:dyDescent="0.3">
      <c r="N4035"/>
    </row>
    <row r="4036" spans="14:14" x14ac:dyDescent="0.3">
      <c r="N4036"/>
    </row>
    <row r="4037" spans="14:14" x14ac:dyDescent="0.3">
      <c r="N4037"/>
    </row>
    <row r="4038" spans="14:14" x14ac:dyDescent="0.3">
      <c r="N4038"/>
    </row>
    <row r="4039" spans="14:14" x14ac:dyDescent="0.3">
      <c r="N4039"/>
    </row>
    <row r="4040" spans="14:14" x14ac:dyDescent="0.3">
      <c r="N4040"/>
    </row>
    <row r="4041" spans="14:14" x14ac:dyDescent="0.3">
      <c r="N4041"/>
    </row>
    <row r="4042" spans="14:14" x14ac:dyDescent="0.3">
      <c r="N4042"/>
    </row>
    <row r="4043" spans="14:14" x14ac:dyDescent="0.3">
      <c r="N4043"/>
    </row>
    <row r="4044" spans="14:14" x14ac:dyDescent="0.3">
      <c r="N4044"/>
    </row>
    <row r="4045" spans="14:14" x14ac:dyDescent="0.3">
      <c r="N4045"/>
    </row>
    <row r="4046" spans="14:14" x14ac:dyDescent="0.3">
      <c r="N4046"/>
    </row>
    <row r="4047" spans="14:14" x14ac:dyDescent="0.3">
      <c r="N4047"/>
    </row>
    <row r="4048" spans="14:14" x14ac:dyDescent="0.3">
      <c r="N4048"/>
    </row>
    <row r="4049" spans="14:14" x14ac:dyDescent="0.3">
      <c r="N4049"/>
    </row>
    <row r="4050" spans="14:14" x14ac:dyDescent="0.3">
      <c r="N4050"/>
    </row>
    <row r="4051" spans="14:14" x14ac:dyDescent="0.3">
      <c r="N4051"/>
    </row>
    <row r="4052" spans="14:14" x14ac:dyDescent="0.3">
      <c r="N4052"/>
    </row>
    <row r="4053" spans="14:14" x14ac:dyDescent="0.3">
      <c r="N4053"/>
    </row>
    <row r="4054" spans="14:14" x14ac:dyDescent="0.3">
      <c r="N4054"/>
    </row>
    <row r="4055" spans="14:14" x14ac:dyDescent="0.3">
      <c r="N4055"/>
    </row>
    <row r="4056" spans="14:14" x14ac:dyDescent="0.3">
      <c r="N4056"/>
    </row>
    <row r="4057" spans="14:14" x14ac:dyDescent="0.3">
      <c r="N4057"/>
    </row>
    <row r="4058" spans="14:14" x14ac:dyDescent="0.3">
      <c r="N4058"/>
    </row>
    <row r="4059" spans="14:14" x14ac:dyDescent="0.3">
      <c r="N4059"/>
    </row>
    <row r="4060" spans="14:14" x14ac:dyDescent="0.3">
      <c r="N4060"/>
    </row>
    <row r="4061" spans="14:14" x14ac:dyDescent="0.3">
      <c r="N4061"/>
    </row>
    <row r="4062" spans="14:14" x14ac:dyDescent="0.3">
      <c r="N4062"/>
    </row>
    <row r="4063" spans="14:14" x14ac:dyDescent="0.3">
      <c r="N4063"/>
    </row>
    <row r="4064" spans="14:14" x14ac:dyDescent="0.3">
      <c r="N4064"/>
    </row>
    <row r="4065" spans="14:14" x14ac:dyDescent="0.3">
      <c r="N4065"/>
    </row>
    <row r="4066" spans="14:14" x14ac:dyDescent="0.3">
      <c r="N4066"/>
    </row>
    <row r="4067" spans="14:14" x14ac:dyDescent="0.3">
      <c r="N4067"/>
    </row>
    <row r="4068" spans="14:14" x14ac:dyDescent="0.3">
      <c r="N4068"/>
    </row>
    <row r="4069" spans="14:14" x14ac:dyDescent="0.3">
      <c r="N4069"/>
    </row>
    <row r="4070" spans="14:14" x14ac:dyDescent="0.3">
      <c r="N4070"/>
    </row>
    <row r="4071" spans="14:14" x14ac:dyDescent="0.3">
      <c r="N4071"/>
    </row>
    <row r="4072" spans="14:14" x14ac:dyDescent="0.3">
      <c r="N4072"/>
    </row>
    <row r="4073" spans="14:14" x14ac:dyDescent="0.3">
      <c r="N4073"/>
    </row>
    <row r="4074" spans="14:14" x14ac:dyDescent="0.3">
      <c r="N4074"/>
    </row>
    <row r="4075" spans="14:14" x14ac:dyDescent="0.3">
      <c r="N4075"/>
    </row>
    <row r="4076" spans="14:14" x14ac:dyDescent="0.3">
      <c r="N4076"/>
    </row>
    <row r="4077" spans="14:14" x14ac:dyDescent="0.3">
      <c r="N4077"/>
    </row>
    <row r="4078" spans="14:14" x14ac:dyDescent="0.3">
      <c r="N4078"/>
    </row>
    <row r="4079" spans="14:14" x14ac:dyDescent="0.3">
      <c r="N4079"/>
    </row>
    <row r="4080" spans="14:14" x14ac:dyDescent="0.3">
      <c r="N4080"/>
    </row>
    <row r="4081" spans="14:14" x14ac:dyDescent="0.3">
      <c r="N4081"/>
    </row>
    <row r="4082" spans="14:14" x14ac:dyDescent="0.3">
      <c r="N4082"/>
    </row>
    <row r="4083" spans="14:14" x14ac:dyDescent="0.3">
      <c r="N4083"/>
    </row>
    <row r="4084" spans="14:14" x14ac:dyDescent="0.3">
      <c r="N4084"/>
    </row>
    <row r="4085" spans="14:14" x14ac:dyDescent="0.3">
      <c r="N4085"/>
    </row>
    <row r="4086" spans="14:14" x14ac:dyDescent="0.3">
      <c r="N4086"/>
    </row>
    <row r="4087" spans="14:14" x14ac:dyDescent="0.3">
      <c r="N4087"/>
    </row>
    <row r="4088" spans="14:14" x14ac:dyDescent="0.3">
      <c r="N4088"/>
    </row>
    <row r="4089" spans="14:14" x14ac:dyDescent="0.3">
      <c r="N4089"/>
    </row>
    <row r="4090" spans="14:14" x14ac:dyDescent="0.3">
      <c r="N4090"/>
    </row>
    <row r="4091" spans="14:14" x14ac:dyDescent="0.3">
      <c r="N4091"/>
    </row>
    <row r="4092" spans="14:14" x14ac:dyDescent="0.3">
      <c r="N4092"/>
    </row>
    <row r="4093" spans="14:14" x14ac:dyDescent="0.3">
      <c r="N4093"/>
    </row>
    <row r="4094" spans="14:14" x14ac:dyDescent="0.3">
      <c r="N4094"/>
    </row>
    <row r="4095" spans="14:14" x14ac:dyDescent="0.3">
      <c r="N4095"/>
    </row>
    <row r="4096" spans="14:14" x14ac:dyDescent="0.3">
      <c r="N4096"/>
    </row>
    <row r="4097" spans="14:14" x14ac:dyDescent="0.3">
      <c r="N4097"/>
    </row>
    <row r="4098" spans="14:14" x14ac:dyDescent="0.3">
      <c r="N4098"/>
    </row>
    <row r="4099" spans="14:14" x14ac:dyDescent="0.3">
      <c r="N4099"/>
    </row>
    <row r="4100" spans="14:14" x14ac:dyDescent="0.3">
      <c r="N4100"/>
    </row>
    <row r="4101" spans="14:14" x14ac:dyDescent="0.3">
      <c r="N4101"/>
    </row>
    <row r="4102" spans="14:14" x14ac:dyDescent="0.3">
      <c r="N4102"/>
    </row>
    <row r="4103" spans="14:14" x14ac:dyDescent="0.3">
      <c r="N4103"/>
    </row>
    <row r="4104" spans="14:14" x14ac:dyDescent="0.3">
      <c r="N4104"/>
    </row>
    <row r="4105" spans="14:14" x14ac:dyDescent="0.3">
      <c r="N4105"/>
    </row>
    <row r="4106" spans="14:14" x14ac:dyDescent="0.3">
      <c r="N4106"/>
    </row>
    <row r="4107" spans="14:14" x14ac:dyDescent="0.3">
      <c r="N4107"/>
    </row>
    <row r="4108" spans="14:14" x14ac:dyDescent="0.3">
      <c r="N4108"/>
    </row>
    <row r="4109" spans="14:14" x14ac:dyDescent="0.3">
      <c r="N4109"/>
    </row>
    <row r="4110" spans="14:14" x14ac:dyDescent="0.3">
      <c r="N4110"/>
    </row>
    <row r="4111" spans="14:14" x14ac:dyDescent="0.3">
      <c r="N4111"/>
    </row>
    <row r="4112" spans="14:14" x14ac:dyDescent="0.3">
      <c r="N4112"/>
    </row>
    <row r="4113" spans="14:14" x14ac:dyDescent="0.3">
      <c r="N4113"/>
    </row>
    <row r="4114" spans="14:14" x14ac:dyDescent="0.3">
      <c r="N4114"/>
    </row>
    <row r="4115" spans="14:14" x14ac:dyDescent="0.3">
      <c r="N4115"/>
    </row>
    <row r="4116" spans="14:14" x14ac:dyDescent="0.3">
      <c r="N4116"/>
    </row>
    <row r="4117" spans="14:14" x14ac:dyDescent="0.3">
      <c r="N4117"/>
    </row>
    <row r="4118" spans="14:14" x14ac:dyDescent="0.3">
      <c r="N4118"/>
    </row>
    <row r="4119" spans="14:14" x14ac:dyDescent="0.3">
      <c r="N4119"/>
    </row>
    <row r="4120" spans="14:14" x14ac:dyDescent="0.3">
      <c r="N4120"/>
    </row>
    <row r="4121" spans="14:14" x14ac:dyDescent="0.3">
      <c r="N4121"/>
    </row>
    <row r="4122" spans="14:14" x14ac:dyDescent="0.3">
      <c r="N4122"/>
    </row>
    <row r="4123" spans="14:14" x14ac:dyDescent="0.3">
      <c r="N4123"/>
    </row>
    <row r="4124" spans="14:14" x14ac:dyDescent="0.3">
      <c r="N4124"/>
    </row>
    <row r="4125" spans="14:14" x14ac:dyDescent="0.3">
      <c r="N4125"/>
    </row>
    <row r="4126" spans="14:14" x14ac:dyDescent="0.3">
      <c r="N4126"/>
    </row>
    <row r="4127" spans="14:14" x14ac:dyDescent="0.3">
      <c r="N4127"/>
    </row>
    <row r="4128" spans="14:14" x14ac:dyDescent="0.3">
      <c r="N4128"/>
    </row>
    <row r="4129" spans="14:14" x14ac:dyDescent="0.3">
      <c r="N4129"/>
    </row>
    <row r="4130" spans="14:14" x14ac:dyDescent="0.3">
      <c r="N4130"/>
    </row>
    <row r="4131" spans="14:14" x14ac:dyDescent="0.3">
      <c r="N4131"/>
    </row>
    <row r="4132" spans="14:14" x14ac:dyDescent="0.3">
      <c r="N4132"/>
    </row>
    <row r="4133" spans="14:14" x14ac:dyDescent="0.3">
      <c r="N4133"/>
    </row>
    <row r="4134" spans="14:14" x14ac:dyDescent="0.3">
      <c r="N4134"/>
    </row>
    <row r="4135" spans="14:14" x14ac:dyDescent="0.3">
      <c r="N4135"/>
    </row>
    <row r="4136" spans="14:14" x14ac:dyDescent="0.3">
      <c r="N4136"/>
    </row>
    <row r="4137" spans="14:14" x14ac:dyDescent="0.3">
      <c r="N4137"/>
    </row>
    <row r="4138" spans="14:14" x14ac:dyDescent="0.3">
      <c r="N4138"/>
    </row>
    <row r="4139" spans="14:14" x14ac:dyDescent="0.3">
      <c r="N4139"/>
    </row>
    <row r="4140" spans="14:14" x14ac:dyDescent="0.3">
      <c r="N4140"/>
    </row>
    <row r="4141" spans="14:14" x14ac:dyDescent="0.3">
      <c r="N4141"/>
    </row>
    <row r="4142" spans="14:14" x14ac:dyDescent="0.3">
      <c r="N4142"/>
    </row>
    <row r="4143" spans="14:14" x14ac:dyDescent="0.3">
      <c r="N4143"/>
    </row>
    <row r="4144" spans="14:14" x14ac:dyDescent="0.3">
      <c r="N4144"/>
    </row>
    <row r="4145" spans="14:14" x14ac:dyDescent="0.3">
      <c r="N4145"/>
    </row>
    <row r="4146" spans="14:14" x14ac:dyDescent="0.3">
      <c r="N4146"/>
    </row>
    <row r="4147" spans="14:14" x14ac:dyDescent="0.3">
      <c r="N4147"/>
    </row>
    <row r="4148" spans="14:14" x14ac:dyDescent="0.3">
      <c r="N4148"/>
    </row>
    <row r="4149" spans="14:14" x14ac:dyDescent="0.3">
      <c r="N4149"/>
    </row>
    <row r="4150" spans="14:14" x14ac:dyDescent="0.3">
      <c r="N4150"/>
    </row>
    <row r="4151" spans="14:14" x14ac:dyDescent="0.3">
      <c r="N4151"/>
    </row>
    <row r="4152" spans="14:14" x14ac:dyDescent="0.3">
      <c r="N4152"/>
    </row>
    <row r="4153" spans="14:14" x14ac:dyDescent="0.3">
      <c r="N4153"/>
    </row>
    <row r="4154" spans="14:14" x14ac:dyDescent="0.3">
      <c r="N4154"/>
    </row>
    <row r="4155" spans="14:14" x14ac:dyDescent="0.3">
      <c r="N4155"/>
    </row>
    <row r="4156" spans="14:14" x14ac:dyDescent="0.3">
      <c r="N4156"/>
    </row>
    <row r="4157" spans="14:14" x14ac:dyDescent="0.3">
      <c r="N4157"/>
    </row>
    <row r="4158" spans="14:14" x14ac:dyDescent="0.3">
      <c r="N4158"/>
    </row>
    <row r="4159" spans="14:14" x14ac:dyDescent="0.3">
      <c r="N4159"/>
    </row>
    <row r="4160" spans="14:14" x14ac:dyDescent="0.3">
      <c r="N4160"/>
    </row>
    <row r="4161" spans="14:14" x14ac:dyDescent="0.3">
      <c r="N4161"/>
    </row>
    <row r="4162" spans="14:14" x14ac:dyDescent="0.3">
      <c r="N4162"/>
    </row>
    <row r="4163" spans="14:14" x14ac:dyDescent="0.3">
      <c r="N4163"/>
    </row>
    <row r="4164" spans="14:14" x14ac:dyDescent="0.3">
      <c r="N4164"/>
    </row>
    <row r="4165" spans="14:14" x14ac:dyDescent="0.3">
      <c r="N4165"/>
    </row>
    <row r="4166" spans="14:14" x14ac:dyDescent="0.3">
      <c r="N4166"/>
    </row>
    <row r="4167" spans="14:14" x14ac:dyDescent="0.3">
      <c r="N4167"/>
    </row>
    <row r="4168" spans="14:14" x14ac:dyDescent="0.3">
      <c r="N4168"/>
    </row>
    <row r="4169" spans="14:14" x14ac:dyDescent="0.3">
      <c r="N4169"/>
    </row>
    <row r="4170" spans="14:14" x14ac:dyDescent="0.3">
      <c r="N4170"/>
    </row>
    <row r="4171" spans="14:14" x14ac:dyDescent="0.3">
      <c r="N4171"/>
    </row>
    <row r="4172" spans="14:14" x14ac:dyDescent="0.3">
      <c r="N4172"/>
    </row>
    <row r="4173" spans="14:14" x14ac:dyDescent="0.3">
      <c r="N4173"/>
    </row>
    <row r="4174" spans="14:14" x14ac:dyDescent="0.3">
      <c r="N4174"/>
    </row>
    <row r="4175" spans="14:14" x14ac:dyDescent="0.3">
      <c r="N4175"/>
    </row>
    <row r="4176" spans="14:14" x14ac:dyDescent="0.3">
      <c r="N4176"/>
    </row>
    <row r="4177" spans="14:14" x14ac:dyDescent="0.3">
      <c r="N4177"/>
    </row>
    <row r="4178" spans="14:14" x14ac:dyDescent="0.3">
      <c r="N4178"/>
    </row>
    <row r="4179" spans="14:14" x14ac:dyDescent="0.3">
      <c r="N4179"/>
    </row>
    <row r="4180" spans="14:14" x14ac:dyDescent="0.3">
      <c r="N4180"/>
    </row>
    <row r="4181" spans="14:14" x14ac:dyDescent="0.3">
      <c r="N4181"/>
    </row>
    <row r="4182" spans="14:14" x14ac:dyDescent="0.3">
      <c r="N4182"/>
    </row>
    <row r="4183" spans="14:14" x14ac:dyDescent="0.3">
      <c r="N4183"/>
    </row>
    <row r="4184" spans="14:14" x14ac:dyDescent="0.3">
      <c r="N4184"/>
    </row>
    <row r="4185" spans="14:14" x14ac:dyDescent="0.3">
      <c r="N4185"/>
    </row>
    <row r="4186" spans="14:14" x14ac:dyDescent="0.3">
      <c r="N4186"/>
    </row>
    <row r="4187" spans="14:14" x14ac:dyDescent="0.3">
      <c r="N4187"/>
    </row>
    <row r="4188" spans="14:14" x14ac:dyDescent="0.3">
      <c r="N4188"/>
    </row>
    <row r="4189" spans="14:14" x14ac:dyDescent="0.3">
      <c r="N4189"/>
    </row>
    <row r="4190" spans="14:14" x14ac:dyDescent="0.3">
      <c r="N4190"/>
    </row>
    <row r="4191" spans="14:14" x14ac:dyDescent="0.3">
      <c r="N4191"/>
    </row>
    <row r="4192" spans="14:14" x14ac:dyDescent="0.3">
      <c r="N4192"/>
    </row>
    <row r="4193" spans="14:14" x14ac:dyDescent="0.3">
      <c r="N4193"/>
    </row>
    <row r="4194" spans="14:14" x14ac:dyDescent="0.3">
      <c r="N4194"/>
    </row>
    <row r="4195" spans="14:14" x14ac:dyDescent="0.3">
      <c r="N4195"/>
    </row>
    <row r="4196" spans="14:14" x14ac:dyDescent="0.3">
      <c r="N4196"/>
    </row>
    <row r="4197" spans="14:14" x14ac:dyDescent="0.3">
      <c r="N4197"/>
    </row>
    <row r="4198" spans="14:14" x14ac:dyDescent="0.3">
      <c r="N4198"/>
    </row>
    <row r="4199" spans="14:14" x14ac:dyDescent="0.3">
      <c r="N4199"/>
    </row>
    <row r="4200" spans="14:14" x14ac:dyDescent="0.3">
      <c r="N4200"/>
    </row>
    <row r="4201" spans="14:14" x14ac:dyDescent="0.3">
      <c r="N4201"/>
    </row>
    <row r="4202" spans="14:14" x14ac:dyDescent="0.3">
      <c r="N4202"/>
    </row>
    <row r="4203" spans="14:14" x14ac:dyDescent="0.3">
      <c r="N4203"/>
    </row>
    <row r="4204" spans="14:14" x14ac:dyDescent="0.3">
      <c r="N4204"/>
    </row>
    <row r="4205" spans="14:14" x14ac:dyDescent="0.3">
      <c r="N4205"/>
    </row>
    <row r="4206" spans="14:14" x14ac:dyDescent="0.3">
      <c r="N4206"/>
    </row>
    <row r="4207" spans="14:14" x14ac:dyDescent="0.3">
      <c r="N4207"/>
    </row>
    <row r="4208" spans="14:14" x14ac:dyDescent="0.3">
      <c r="N4208"/>
    </row>
    <row r="4209" spans="14:14" x14ac:dyDescent="0.3">
      <c r="N4209"/>
    </row>
    <row r="4210" spans="14:14" x14ac:dyDescent="0.3">
      <c r="N4210"/>
    </row>
    <row r="4211" spans="14:14" x14ac:dyDescent="0.3">
      <c r="N4211"/>
    </row>
    <row r="4212" spans="14:14" x14ac:dyDescent="0.3">
      <c r="N4212"/>
    </row>
    <row r="4213" spans="14:14" x14ac:dyDescent="0.3">
      <c r="N4213"/>
    </row>
    <row r="4214" spans="14:14" x14ac:dyDescent="0.3">
      <c r="N4214"/>
    </row>
    <row r="4215" spans="14:14" x14ac:dyDescent="0.3">
      <c r="N4215"/>
    </row>
    <row r="4216" spans="14:14" x14ac:dyDescent="0.3">
      <c r="N4216"/>
    </row>
    <row r="4217" spans="14:14" x14ac:dyDescent="0.3">
      <c r="N4217"/>
    </row>
    <row r="4218" spans="14:14" x14ac:dyDescent="0.3">
      <c r="N4218"/>
    </row>
    <row r="4219" spans="14:14" x14ac:dyDescent="0.3">
      <c r="N4219"/>
    </row>
    <row r="4220" spans="14:14" x14ac:dyDescent="0.3">
      <c r="N4220"/>
    </row>
    <row r="4221" spans="14:14" x14ac:dyDescent="0.3">
      <c r="N4221"/>
    </row>
    <row r="4222" spans="14:14" x14ac:dyDescent="0.3">
      <c r="N4222"/>
    </row>
    <row r="4223" spans="14:14" x14ac:dyDescent="0.3">
      <c r="N4223"/>
    </row>
    <row r="4224" spans="14:14" x14ac:dyDescent="0.3">
      <c r="N4224"/>
    </row>
    <row r="4225" spans="14:14" x14ac:dyDescent="0.3">
      <c r="N4225"/>
    </row>
    <row r="4226" spans="14:14" x14ac:dyDescent="0.3">
      <c r="N4226"/>
    </row>
    <row r="4227" spans="14:14" x14ac:dyDescent="0.3">
      <c r="N4227"/>
    </row>
    <row r="4228" spans="14:14" x14ac:dyDescent="0.3">
      <c r="N4228"/>
    </row>
    <row r="4229" spans="14:14" x14ac:dyDescent="0.3">
      <c r="N4229"/>
    </row>
    <row r="4230" spans="14:14" x14ac:dyDescent="0.3">
      <c r="N4230"/>
    </row>
    <row r="4231" spans="14:14" x14ac:dyDescent="0.3">
      <c r="N4231"/>
    </row>
    <row r="4232" spans="14:14" x14ac:dyDescent="0.3">
      <c r="N4232"/>
    </row>
    <row r="4233" spans="14:14" x14ac:dyDescent="0.3">
      <c r="N4233"/>
    </row>
    <row r="4234" spans="14:14" x14ac:dyDescent="0.3">
      <c r="N4234"/>
    </row>
    <row r="4235" spans="14:14" x14ac:dyDescent="0.3">
      <c r="N4235"/>
    </row>
    <row r="4236" spans="14:14" x14ac:dyDescent="0.3">
      <c r="N4236"/>
    </row>
    <row r="4237" spans="14:14" x14ac:dyDescent="0.3">
      <c r="N4237"/>
    </row>
    <row r="4238" spans="14:14" x14ac:dyDescent="0.3">
      <c r="N4238"/>
    </row>
    <row r="4239" spans="14:14" x14ac:dyDescent="0.3">
      <c r="N4239"/>
    </row>
    <row r="4240" spans="14:14" x14ac:dyDescent="0.3">
      <c r="N4240"/>
    </row>
    <row r="4241" spans="14:14" x14ac:dyDescent="0.3">
      <c r="N4241"/>
    </row>
    <row r="4242" spans="14:14" x14ac:dyDescent="0.3">
      <c r="N4242"/>
    </row>
    <row r="4243" spans="14:14" x14ac:dyDescent="0.3">
      <c r="N4243"/>
    </row>
    <row r="4244" spans="14:14" x14ac:dyDescent="0.3">
      <c r="N4244"/>
    </row>
    <row r="4245" spans="14:14" x14ac:dyDescent="0.3">
      <c r="N4245"/>
    </row>
    <row r="4246" spans="14:14" x14ac:dyDescent="0.3">
      <c r="N4246"/>
    </row>
    <row r="4247" spans="14:14" x14ac:dyDescent="0.3">
      <c r="N4247"/>
    </row>
    <row r="4248" spans="14:14" x14ac:dyDescent="0.3">
      <c r="N4248"/>
    </row>
    <row r="4249" spans="14:14" x14ac:dyDescent="0.3">
      <c r="N4249"/>
    </row>
    <row r="4250" spans="14:14" x14ac:dyDescent="0.3">
      <c r="N4250"/>
    </row>
    <row r="4251" spans="14:14" x14ac:dyDescent="0.3">
      <c r="N4251"/>
    </row>
    <row r="4252" spans="14:14" x14ac:dyDescent="0.3">
      <c r="N4252"/>
    </row>
    <row r="4253" spans="14:14" x14ac:dyDescent="0.3">
      <c r="N4253"/>
    </row>
    <row r="4254" spans="14:14" x14ac:dyDescent="0.3">
      <c r="N4254"/>
    </row>
    <row r="4255" spans="14:14" x14ac:dyDescent="0.3">
      <c r="N4255"/>
    </row>
    <row r="4256" spans="14:14" x14ac:dyDescent="0.3">
      <c r="N4256"/>
    </row>
    <row r="4257" spans="14:14" x14ac:dyDescent="0.3">
      <c r="N4257"/>
    </row>
    <row r="4258" spans="14:14" x14ac:dyDescent="0.3">
      <c r="N4258"/>
    </row>
    <row r="4259" spans="14:14" x14ac:dyDescent="0.3">
      <c r="N4259"/>
    </row>
    <row r="4260" spans="14:14" x14ac:dyDescent="0.3">
      <c r="N4260"/>
    </row>
    <row r="4261" spans="14:14" x14ac:dyDescent="0.3">
      <c r="N4261"/>
    </row>
    <row r="4262" spans="14:14" x14ac:dyDescent="0.3">
      <c r="N4262"/>
    </row>
    <row r="4263" spans="14:14" x14ac:dyDescent="0.3">
      <c r="N4263"/>
    </row>
    <row r="4264" spans="14:14" x14ac:dyDescent="0.3">
      <c r="N4264"/>
    </row>
    <row r="4265" spans="14:14" x14ac:dyDescent="0.3">
      <c r="N4265"/>
    </row>
    <row r="4266" spans="14:14" x14ac:dyDescent="0.3">
      <c r="N4266"/>
    </row>
    <row r="4267" spans="14:14" x14ac:dyDescent="0.3">
      <c r="N4267"/>
    </row>
    <row r="4268" spans="14:14" x14ac:dyDescent="0.3">
      <c r="N4268"/>
    </row>
    <row r="4269" spans="14:14" x14ac:dyDescent="0.3">
      <c r="N4269"/>
    </row>
    <row r="4270" spans="14:14" x14ac:dyDescent="0.3">
      <c r="N4270"/>
    </row>
    <row r="4271" spans="14:14" x14ac:dyDescent="0.3">
      <c r="N4271"/>
    </row>
    <row r="4272" spans="14:14" x14ac:dyDescent="0.3">
      <c r="N4272"/>
    </row>
    <row r="4273" spans="14:14" x14ac:dyDescent="0.3">
      <c r="N4273"/>
    </row>
    <row r="4274" spans="14:14" x14ac:dyDescent="0.3">
      <c r="N4274"/>
    </row>
    <row r="4275" spans="14:14" x14ac:dyDescent="0.3">
      <c r="N4275"/>
    </row>
    <row r="4276" spans="14:14" x14ac:dyDescent="0.3">
      <c r="N4276"/>
    </row>
    <row r="4277" spans="14:14" x14ac:dyDescent="0.3">
      <c r="N4277"/>
    </row>
    <row r="4278" spans="14:14" x14ac:dyDescent="0.3">
      <c r="N4278"/>
    </row>
    <row r="4279" spans="14:14" x14ac:dyDescent="0.3">
      <c r="N4279"/>
    </row>
    <row r="4280" spans="14:14" x14ac:dyDescent="0.3">
      <c r="N4280"/>
    </row>
    <row r="4281" spans="14:14" x14ac:dyDescent="0.3">
      <c r="N4281"/>
    </row>
    <row r="4282" spans="14:14" x14ac:dyDescent="0.3">
      <c r="N4282"/>
    </row>
    <row r="4283" spans="14:14" x14ac:dyDescent="0.3">
      <c r="N4283"/>
    </row>
    <row r="4284" spans="14:14" x14ac:dyDescent="0.3">
      <c r="N4284"/>
    </row>
    <row r="4285" spans="14:14" x14ac:dyDescent="0.3">
      <c r="N4285"/>
    </row>
    <row r="4286" spans="14:14" x14ac:dyDescent="0.3">
      <c r="N4286"/>
    </row>
    <row r="4287" spans="14:14" x14ac:dyDescent="0.3">
      <c r="N4287"/>
    </row>
    <row r="4288" spans="14:14" x14ac:dyDescent="0.3">
      <c r="N4288"/>
    </row>
    <row r="4289" spans="14:14" x14ac:dyDescent="0.3">
      <c r="N4289"/>
    </row>
    <row r="4290" spans="14:14" x14ac:dyDescent="0.3">
      <c r="N4290"/>
    </row>
    <row r="4291" spans="14:14" x14ac:dyDescent="0.3">
      <c r="N4291"/>
    </row>
    <row r="4292" spans="14:14" x14ac:dyDescent="0.3">
      <c r="N4292"/>
    </row>
    <row r="4293" spans="14:14" x14ac:dyDescent="0.3">
      <c r="N4293"/>
    </row>
    <row r="4294" spans="14:14" x14ac:dyDescent="0.3">
      <c r="N4294"/>
    </row>
    <row r="4295" spans="14:14" x14ac:dyDescent="0.3">
      <c r="N4295"/>
    </row>
    <row r="4296" spans="14:14" x14ac:dyDescent="0.3">
      <c r="N4296"/>
    </row>
    <row r="4297" spans="14:14" x14ac:dyDescent="0.3">
      <c r="N4297"/>
    </row>
    <row r="4298" spans="14:14" x14ac:dyDescent="0.3">
      <c r="N4298"/>
    </row>
    <row r="4299" spans="14:14" x14ac:dyDescent="0.3">
      <c r="N4299"/>
    </row>
    <row r="4300" spans="14:14" x14ac:dyDescent="0.3">
      <c r="N4300"/>
    </row>
    <row r="4301" spans="14:14" x14ac:dyDescent="0.3">
      <c r="N4301"/>
    </row>
    <row r="4302" spans="14:14" x14ac:dyDescent="0.3">
      <c r="N4302"/>
    </row>
    <row r="4303" spans="14:14" x14ac:dyDescent="0.3">
      <c r="N4303"/>
    </row>
    <row r="4304" spans="14:14" x14ac:dyDescent="0.3">
      <c r="N4304"/>
    </row>
    <row r="4305" spans="14:14" x14ac:dyDescent="0.3">
      <c r="N4305"/>
    </row>
    <row r="4306" spans="14:14" x14ac:dyDescent="0.3">
      <c r="N4306"/>
    </row>
    <row r="4307" spans="14:14" x14ac:dyDescent="0.3">
      <c r="N4307"/>
    </row>
    <row r="4308" spans="14:14" x14ac:dyDescent="0.3">
      <c r="N4308"/>
    </row>
    <row r="4309" spans="14:14" x14ac:dyDescent="0.3">
      <c r="N4309"/>
    </row>
    <row r="4310" spans="14:14" x14ac:dyDescent="0.3">
      <c r="N4310"/>
    </row>
    <row r="4311" spans="14:14" x14ac:dyDescent="0.3">
      <c r="N4311"/>
    </row>
    <row r="4312" spans="14:14" x14ac:dyDescent="0.3">
      <c r="N4312"/>
    </row>
    <row r="4313" spans="14:14" x14ac:dyDescent="0.3">
      <c r="N4313"/>
    </row>
    <row r="4314" spans="14:14" x14ac:dyDescent="0.3">
      <c r="N4314"/>
    </row>
    <row r="4315" spans="14:14" x14ac:dyDescent="0.3">
      <c r="N4315"/>
    </row>
    <row r="4316" spans="14:14" x14ac:dyDescent="0.3">
      <c r="N4316"/>
    </row>
    <row r="4317" spans="14:14" x14ac:dyDescent="0.3">
      <c r="N4317"/>
    </row>
    <row r="4318" spans="14:14" x14ac:dyDescent="0.3">
      <c r="N4318"/>
    </row>
    <row r="4319" spans="14:14" x14ac:dyDescent="0.3">
      <c r="N4319"/>
    </row>
    <row r="4320" spans="14:14" x14ac:dyDescent="0.3">
      <c r="N4320"/>
    </row>
    <row r="4321" spans="14:14" x14ac:dyDescent="0.3">
      <c r="N4321"/>
    </row>
    <row r="4322" spans="14:14" x14ac:dyDescent="0.3">
      <c r="N4322"/>
    </row>
    <row r="4323" spans="14:14" x14ac:dyDescent="0.3">
      <c r="N4323"/>
    </row>
    <row r="4324" spans="14:14" x14ac:dyDescent="0.3">
      <c r="N4324"/>
    </row>
    <row r="4325" spans="14:14" x14ac:dyDescent="0.3">
      <c r="N4325"/>
    </row>
    <row r="4326" spans="14:14" x14ac:dyDescent="0.3">
      <c r="N4326"/>
    </row>
    <row r="4327" spans="14:14" x14ac:dyDescent="0.3">
      <c r="N4327"/>
    </row>
    <row r="4328" spans="14:14" x14ac:dyDescent="0.3">
      <c r="N4328"/>
    </row>
    <row r="4329" spans="14:14" x14ac:dyDescent="0.3">
      <c r="N4329"/>
    </row>
    <row r="4330" spans="14:14" x14ac:dyDescent="0.3">
      <c r="N4330"/>
    </row>
    <row r="4331" spans="14:14" x14ac:dyDescent="0.3">
      <c r="N4331"/>
    </row>
    <row r="4332" spans="14:14" x14ac:dyDescent="0.3">
      <c r="N4332"/>
    </row>
    <row r="4333" spans="14:14" x14ac:dyDescent="0.3">
      <c r="N4333"/>
    </row>
    <row r="4334" spans="14:14" x14ac:dyDescent="0.3">
      <c r="N4334"/>
    </row>
    <row r="4335" spans="14:14" x14ac:dyDescent="0.3">
      <c r="N4335"/>
    </row>
    <row r="4336" spans="14:14" x14ac:dyDescent="0.3">
      <c r="N4336"/>
    </row>
    <row r="4337" spans="14:14" x14ac:dyDescent="0.3">
      <c r="N4337"/>
    </row>
    <row r="4338" spans="14:14" x14ac:dyDescent="0.3">
      <c r="N4338"/>
    </row>
    <row r="4339" spans="14:14" x14ac:dyDescent="0.3">
      <c r="N4339"/>
    </row>
    <row r="4340" spans="14:14" x14ac:dyDescent="0.3">
      <c r="N4340"/>
    </row>
    <row r="4341" spans="14:14" x14ac:dyDescent="0.3">
      <c r="N4341"/>
    </row>
    <row r="4342" spans="14:14" x14ac:dyDescent="0.3">
      <c r="N4342"/>
    </row>
    <row r="4343" spans="14:14" x14ac:dyDescent="0.3">
      <c r="N4343"/>
    </row>
    <row r="4344" spans="14:14" x14ac:dyDescent="0.3">
      <c r="N4344"/>
    </row>
    <row r="4345" spans="14:14" x14ac:dyDescent="0.3">
      <c r="N4345"/>
    </row>
    <row r="4346" spans="14:14" x14ac:dyDescent="0.3">
      <c r="N4346"/>
    </row>
    <row r="4347" spans="14:14" x14ac:dyDescent="0.3">
      <c r="N4347"/>
    </row>
    <row r="4348" spans="14:14" x14ac:dyDescent="0.3">
      <c r="N4348"/>
    </row>
    <row r="4349" spans="14:14" x14ac:dyDescent="0.3">
      <c r="N4349"/>
    </row>
    <row r="4350" spans="14:14" x14ac:dyDescent="0.3">
      <c r="N4350"/>
    </row>
    <row r="4351" spans="14:14" x14ac:dyDescent="0.3">
      <c r="N4351"/>
    </row>
    <row r="4352" spans="14:14" x14ac:dyDescent="0.3">
      <c r="N4352"/>
    </row>
    <row r="4353" spans="14:14" x14ac:dyDescent="0.3">
      <c r="N4353"/>
    </row>
    <row r="4354" spans="14:14" x14ac:dyDescent="0.3">
      <c r="N4354"/>
    </row>
    <row r="4355" spans="14:14" x14ac:dyDescent="0.3">
      <c r="N4355"/>
    </row>
    <row r="4356" spans="14:14" x14ac:dyDescent="0.3">
      <c r="N4356"/>
    </row>
    <row r="4357" spans="14:14" x14ac:dyDescent="0.3">
      <c r="N4357"/>
    </row>
    <row r="4358" spans="14:14" x14ac:dyDescent="0.3">
      <c r="N4358"/>
    </row>
    <row r="4359" spans="14:14" x14ac:dyDescent="0.3">
      <c r="N4359"/>
    </row>
    <row r="4360" spans="14:14" x14ac:dyDescent="0.3">
      <c r="N4360"/>
    </row>
    <row r="4361" spans="14:14" x14ac:dyDescent="0.3">
      <c r="N4361"/>
    </row>
    <row r="4362" spans="14:14" x14ac:dyDescent="0.3">
      <c r="N4362"/>
    </row>
    <row r="4363" spans="14:14" x14ac:dyDescent="0.3">
      <c r="N4363"/>
    </row>
    <row r="4364" spans="14:14" x14ac:dyDescent="0.3">
      <c r="N4364"/>
    </row>
    <row r="4365" spans="14:14" x14ac:dyDescent="0.3">
      <c r="N4365"/>
    </row>
    <row r="4366" spans="14:14" x14ac:dyDescent="0.3">
      <c r="N4366"/>
    </row>
    <row r="4367" spans="14:14" x14ac:dyDescent="0.3">
      <c r="N4367"/>
    </row>
    <row r="4368" spans="14:14" x14ac:dyDescent="0.3">
      <c r="N4368"/>
    </row>
    <row r="4369" spans="14:14" x14ac:dyDescent="0.3">
      <c r="N4369"/>
    </row>
    <row r="4370" spans="14:14" x14ac:dyDescent="0.3">
      <c r="N4370"/>
    </row>
    <row r="4371" spans="14:14" x14ac:dyDescent="0.3">
      <c r="N4371"/>
    </row>
    <row r="4372" spans="14:14" x14ac:dyDescent="0.3">
      <c r="N4372"/>
    </row>
    <row r="4373" spans="14:14" x14ac:dyDescent="0.3">
      <c r="N4373"/>
    </row>
    <row r="4374" spans="14:14" x14ac:dyDescent="0.3">
      <c r="N4374"/>
    </row>
    <row r="4375" spans="14:14" x14ac:dyDescent="0.3">
      <c r="N4375"/>
    </row>
    <row r="4376" spans="14:14" x14ac:dyDescent="0.3">
      <c r="N4376"/>
    </row>
    <row r="4377" spans="14:14" x14ac:dyDescent="0.3">
      <c r="N4377"/>
    </row>
    <row r="4378" spans="14:14" x14ac:dyDescent="0.3">
      <c r="N4378"/>
    </row>
    <row r="4379" spans="14:14" x14ac:dyDescent="0.3">
      <c r="N4379"/>
    </row>
    <row r="4380" spans="14:14" x14ac:dyDescent="0.3">
      <c r="N4380"/>
    </row>
    <row r="4381" spans="14:14" x14ac:dyDescent="0.3">
      <c r="N4381"/>
    </row>
    <row r="4382" spans="14:14" x14ac:dyDescent="0.3">
      <c r="N4382"/>
    </row>
    <row r="4383" spans="14:14" x14ac:dyDescent="0.3">
      <c r="N4383"/>
    </row>
    <row r="4384" spans="14:14" x14ac:dyDescent="0.3">
      <c r="N4384"/>
    </row>
    <row r="4385" spans="14:14" x14ac:dyDescent="0.3">
      <c r="N4385"/>
    </row>
    <row r="4386" spans="14:14" x14ac:dyDescent="0.3">
      <c r="N4386"/>
    </row>
    <row r="4387" spans="14:14" x14ac:dyDescent="0.3">
      <c r="N4387"/>
    </row>
    <row r="4388" spans="14:14" x14ac:dyDescent="0.3">
      <c r="N4388"/>
    </row>
    <row r="4389" spans="14:14" x14ac:dyDescent="0.3">
      <c r="N4389"/>
    </row>
    <row r="4390" spans="14:14" x14ac:dyDescent="0.3">
      <c r="N4390"/>
    </row>
    <row r="4391" spans="14:14" x14ac:dyDescent="0.3">
      <c r="N4391"/>
    </row>
    <row r="4392" spans="14:14" x14ac:dyDescent="0.3">
      <c r="N4392"/>
    </row>
    <row r="4393" spans="14:14" x14ac:dyDescent="0.3">
      <c r="N4393"/>
    </row>
    <row r="4394" spans="14:14" x14ac:dyDescent="0.3">
      <c r="N4394"/>
    </row>
    <row r="4395" spans="14:14" x14ac:dyDescent="0.3">
      <c r="N4395"/>
    </row>
    <row r="4396" spans="14:14" x14ac:dyDescent="0.3">
      <c r="N4396"/>
    </row>
    <row r="4397" spans="14:14" x14ac:dyDescent="0.3">
      <c r="N4397"/>
    </row>
    <row r="4398" spans="14:14" x14ac:dyDescent="0.3">
      <c r="N4398"/>
    </row>
    <row r="4399" spans="14:14" x14ac:dyDescent="0.3">
      <c r="N4399"/>
    </row>
    <row r="4400" spans="14:14" x14ac:dyDescent="0.3">
      <c r="N4400"/>
    </row>
    <row r="4401" spans="14:14" x14ac:dyDescent="0.3">
      <c r="N4401"/>
    </row>
    <row r="4402" spans="14:14" x14ac:dyDescent="0.3">
      <c r="N4402"/>
    </row>
    <row r="4403" spans="14:14" x14ac:dyDescent="0.3">
      <c r="N4403"/>
    </row>
    <row r="4404" spans="14:14" x14ac:dyDescent="0.3">
      <c r="N4404"/>
    </row>
    <row r="4405" spans="14:14" x14ac:dyDescent="0.3">
      <c r="N4405"/>
    </row>
    <row r="4406" spans="14:14" x14ac:dyDescent="0.3">
      <c r="N4406"/>
    </row>
    <row r="4407" spans="14:14" x14ac:dyDescent="0.3">
      <c r="N4407"/>
    </row>
    <row r="4408" spans="14:14" x14ac:dyDescent="0.3">
      <c r="N4408"/>
    </row>
    <row r="4409" spans="14:14" x14ac:dyDescent="0.3">
      <c r="N4409"/>
    </row>
    <row r="4410" spans="14:14" x14ac:dyDescent="0.3">
      <c r="N4410"/>
    </row>
    <row r="4411" spans="14:14" x14ac:dyDescent="0.3">
      <c r="N4411"/>
    </row>
    <row r="4412" spans="14:14" x14ac:dyDescent="0.3">
      <c r="N4412"/>
    </row>
    <row r="4413" spans="14:14" x14ac:dyDescent="0.3">
      <c r="N4413"/>
    </row>
    <row r="4414" spans="14:14" x14ac:dyDescent="0.3">
      <c r="N4414"/>
    </row>
    <row r="4415" spans="14:14" x14ac:dyDescent="0.3">
      <c r="N4415"/>
    </row>
    <row r="4416" spans="14:14" x14ac:dyDescent="0.3">
      <c r="N4416"/>
    </row>
    <row r="4417" spans="14:14" x14ac:dyDescent="0.3">
      <c r="N4417"/>
    </row>
    <row r="4418" spans="14:14" x14ac:dyDescent="0.3">
      <c r="N4418"/>
    </row>
    <row r="4419" spans="14:14" x14ac:dyDescent="0.3">
      <c r="N4419"/>
    </row>
    <row r="4420" spans="14:14" x14ac:dyDescent="0.3">
      <c r="N4420"/>
    </row>
    <row r="4421" spans="14:14" x14ac:dyDescent="0.3">
      <c r="N4421"/>
    </row>
    <row r="4422" spans="14:14" x14ac:dyDescent="0.3">
      <c r="N4422"/>
    </row>
    <row r="4423" spans="14:14" x14ac:dyDescent="0.3">
      <c r="N4423"/>
    </row>
    <row r="4424" spans="14:14" x14ac:dyDescent="0.3">
      <c r="N4424"/>
    </row>
    <row r="4425" spans="14:14" x14ac:dyDescent="0.3">
      <c r="N4425"/>
    </row>
    <row r="4426" spans="14:14" x14ac:dyDescent="0.3">
      <c r="N4426"/>
    </row>
    <row r="4427" spans="14:14" x14ac:dyDescent="0.3">
      <c r="N4427"/>
    </row>
    <row r="4428" spans="14:14" x14ac:dyDescent="0.3">
      <c r="N4428"/>
    </row>
    <row r="4429" spans="14:14" x14ac:dyDescent="0.3">
      <c r="N4429"/>
    </row>
    <row r="4430" spans="14:14" x14ac:dyDescent="0.3">
      <c r="N4430"/>
    </row>
    <row r="4431" spans="14:14" x14ac:dyDescent="0.3">
      <c r="N4431"/>
    </row>
    <row r="4432" spans="14:14" x14ac:dyDescent="0.3">
      <c r="N4432"/>
    </row>
    <row r="4433" spans="14:14" x14ac:dyDescent="0.3">
      <c r="N4433"/>
    </row>
    <row r="4434" spans="14:14" x14ac:dyDescent="0.3">
      <c r="N4434"/>
    </row>
    <row r="4435" spans="14:14" x14ac:dyDescent="0.3">
      <c r="N4435"/>
    </row>
    <row r="4436" spans="14:14" x14ac:dyDescent="0.3">
      <c r="N4436"/>
    </row>
    <row r="4437" spans="14:14" x14ac:dyDescent="0.3">
      <c r="N4437"/>
    </row>
    <row r="4438" spans="14:14" x14ac:dyDescent="0.3">
      <c r="N4438"/>
    </row>
    <row r="4439" spans="14:14" x14ac:dyDescent="0.3">
      <c r="N4439"/>
    </row>
    <row r="4440" spans="14:14" x14ac:dyDescent="0.3">
      <c r="N4440"/>
    </row>
    <row r="4441" spans="14:14" x14ac:dyDescent="0.3">
      <c r="N4441"/>
    </row>
    <row r="4442" spans="14:14" x14ac:dyDescent="0.3">
      <c r="N4442"/>
    </row>
    <row r="4443" spans="14:14" x14ac:dyDescent="0.3">
      <c r="N4443"/>
    </row>
    <row r="4444" spans="14:14" x14ac:dyDescent="0.3">
      <c r="N4444"/>
    </row>
    <row r="4445" spans="14:14" x14ac:dyDescent="0.3">
      <c r="N4445"/>
    </row>
    <row r="4446" spans="14:14" x14ac:dyDescent="0.3">
      <c r="N4446"/>
    </row>
    <row r="4447" spans="14:14" x14ac:dyDescent="0.3">
      <c r="N4447"/>
    </row>
    <row r="4448" spans="14:14" x14ac:dyDescent="0.3">
      <c r="N4448"/>
    </row>
    <row r="4449" spans="14:14" x14ac:dyDescent="0.3">
      <c r="N4449"/>
    </row>
    <row r="4450" spans="14:14" x14ac:dyDescent="0.3">
      <c r="N4450"/>
    </row>
    <row r="4451" spans="14:14" x14ac:dyDescent="0.3">
      <c r="N4451"/>
    </row>
    <row r="4452" spans="14:14" x14ac:dyDescent="0.3">
      <c r="N4452"/>
    </row>
    <row r="4453" spans="14:14" x14ac:dyDescent="0.3">
      <c r="N4453"/>
    </row>
    <row r="4454" spans="14:14" x14ac:dyDescent="0.3">
      <c r="N4454"/>
    </row>
    <row r="4455" spans="14:14" x14ac:dyDescent="0.3">
      <c r="N4455"/>
    </row>
    <row r="4456" spans="14:14" x14ac:dyDescent="0.3">
      <c r="N4456"/>
    </row>
    <row r="4457" spans="14:14" x14ac:dyDescent="0.3">
      <c r="N4457"/>
    </row>
    <row r="4458" spans="14:14" x14ac:dyDescent="0.3">
      <c r="N4458"/>
    </row>
    <row r="4459" spans="14:14" x14ac:dyDescent="0.3">
      <c r="N4459"/>
    </row>
    <row r="4460" spans="14:14" x14ac:dyDescent="0.3">
      <c r="N4460"/>
    </row>
    <row r="4461" spans="14:14" x14ac:dyDescent="0.3">
      <c r="N4461"/>
    </row>
    <row r="4462" spans="14:14" x14ac:dyDescent="0.3">
      <c r="N4462"/>
    </row>
    <row r="4463" spans="14:14" x14ac:dyDescent="0.3">
      <c r="N4463"/>
    </row>
    <row r="4464" spans="14:14" x14ac:dyDescent="0.3">
      <c r="N4464"/>
    </row>
    <row r="4465" spans="14:14" x14ac:dyDescent="0.3">
      <c r="N4465"/>
    </row>
    <row r="4466" spans="14:14" x14ac:dyDescent="0.3">
      <c r="N4466"/>
    </row>
    <row r="4467" spans="14:14" x14ac:dyDescent="0.3">
      <c r="N4467"/>
    </row>
    <row r="4468" spans="14:14" x14ac:dyDescent="0.3">
      <c r="N4468"/>
    </row>
    <row r="4469" spans="14:14" x14ac:dyDescent="0.3">
      <c r="N4469"/>
    </row>
    <row r="4470" spans="14:14" x14ac:dyDescent="0.3">
      <c r="N4470"/>
    </row>
    <row r="4471" spans="14:14" x14ac:dyDescent="0.3">
      <c r="N4471"/>
    </row>
    <row r="4472" spans="14:14" x14ac:dyDescent="0.3">
      <c r="N4472"/>
    </row>
    <row r="4473" spans="14:14" x14ac:dyDescent="0.3">
      <c r="N4473"/>
    </row>
    <row r="4474" spans="14:14" x14ac:dyDescent="0.3">
      <c r="N4474"/>
    </row>
    <row r="4475" spans="14:14" x14ac:dyDescent="0.3">
      <c r="N4475"/>
    </row>
    <row r="4476" spans="14:14" x14ac:dyDescent="0.3">
      <c r="N4476"/>
    </row>
    <row r="4477" spans="14:14" x14ac:dyDescent="0.3">
      <c r="N4477"/>
    </row>
    <row r="4478" spans="14:14" x14ac:dyDescent="0.3">
      <c r="N4478"/>
    </row>
    <row r="4479" spans="14:14" x14ac:dyDescent="0.3">
      <c r="N4479"/>
    </row>
    <row r="4480" spans="14:14" x14ac:dyDescent="0.3">
      <c r="N4480"/>
    </row>
    <row r="4481" spans="14:14" x14ac:dyDescent="0.3">
      <c r="N4481"/>
    </row>
    <row r="4482" spans="14:14" x14ac:dyDescent="0.3">
      <c r="N4482"/>
    </row>
    <row r="4483" spans="14:14" x14ac:dyDescent="0.3">
      <c r="N4483"/>
    </row>
    <row r="4484" spans="14:14" x14ac:dyDescent="0.3">
      <c r="N4484"/>
    </row>
    <row r="4485" spans="14:14" x14ac:dyDescent="0.3">
      <c r="N4485"/>
    </row>
    <row r="4486" spans="14:14" x14ac:dyDescent="0.3">
      <c r="N4486"/>
    </row>
    <row r="4487" spans="14:14" x14ac:dyDescent="0.3">
      <c r="N4487"/>
    </row>
    <row r="4488" spans="14:14" x14ac:dyDescent="0.3">
      <c r="N4488"/>
    </row>
    <row r="4489" spans="14:14" x14ac:dyDescent="0.3">
      <c r="N4489"/>
    </row>
    <row r="4490" spans="14:14" x14ac:dyDescent="0.3">
      <c r="N4490"/>
    </row>
    <row r="4491" spans="14:14" x14ac:dyDescent="0.3">
      <c r="N4491"/>
    </row>
    <row r="4492" spans="14:14" x14ac:dyDescent="0.3">
      <c r="N4492"/>
    </row>
    <row r="4493" spans="14:14" x14ac:dyDescent="0.3">
      <c r="N4493"/>
    </row>
    <row r="4494" spans="14:14" x14ac:dyDescent="0.3">
      <c r="N4494"/>
    </row>
    <row r="4495" spans="14:14" x14ac:dyDescent="0.3">
      <c r="N4495"/>
    </row>
    <row r="4496" spans="14:14" x14ac:dyDescent="0.3">
      <c r="N4496"/>
    </row>
    <row r="4497" spans="14:14" x14ac:dyDescent="0.3">
      <c r="N4497"/>
    </row>
    <row r="4498" spans="14:14" x14ac:dyDescent="0.3">
      <c r="N4498"/>
    </row>
    <row r="4499" spans="14:14" x14ac:dyDescent="0.3">
      <c r="N4499"/>
    </row>
    <row r="4500" spans="14:14" x14ac:dyDescent="0.3">
      <c r="N4500"/>
    </row>
    <row r="4501" spans="14:14" x14ac:dyDescent="0.3">
      <c r="N4501"/>
    </row>
    <row r="4502" spans="14:14" x14ac:dyDescent="0.3">
      <c r="N4502"/>
    </row>
    <row r="4503" spans="14:14" x14ac:dyDescent="0.3">
      <c r="N4503"/>
    </row>
    <row r="4504" spans="14:14" x14ac:dyDescent="0.3">
      <c r="N4504"/>
    </row>
    <row r="4505" spans="14:14" x14ac:dyDescent="0.3">
      <c r="N4505"/>
    </row>
    <row r="4506" spans="14:14" x14ac:dyDescent="0.3">
      <c r="N4506"/>
    </row>
    <row r="4507" spans="14:14" x14ac:dyDescent="0.3">
      <c r="N4507"/>
    </row>
    <row r="4508" spans="14:14" x14ac:dyDescent="0.3">
      <c r="N4508"/>
    </row>
    <row r="4509" spans="14:14" x14ac:dyDescent="0.3">
      <c r="N4509"/>
    </row>
    <row r="4510" spans="14:14" x14ac:dyDescent="0.3">
      <c r="N4510"/>
    </row>
    <row r="4511" spans="14:14" x14ac:dyDescent="0.3">
      <c r="N4511"/>
    </row>
    <row r="4512" spans="14:14" x14ac:dyDescent="0.3">
      <c r="N4512"/>
    </row>
    <row r="4513" spans="14:14" x14ac:dyDescent="0.3">
      <c r="N4513"/>
    </row>
    <row r="4514" spans="14:14" x14ac:dyDescent="0.3">
      <c r="N4514"/>
    </row>
    <row r="4515" spans="14:14" x14ac:dyDescent="0.3">
      <c r="N4515"/>
    </row>
    <row r="4516" spans="14:14" x14ac:dyDescent="0.3">
      <c r="N4516"/>
    </row>
    <row r="4517" spans="14:14" x14ac:dyDescent="0.3">
      <c r="N4517"/>
    </row>
    <row r="4518" spans="14:14" x14ac:dyDescent="0.3">
      <c r="N4518"/>
    </row>
    <row r="4519" spans="14:14" x14ac:dyDescent="0.3">
      <c r="N4519"/>
    </row>
    <row r="4520" spans="14:14" x14ac:dyDescent="0.3">
      <c r="N4520"/>
    </row>
    <row r="4521" spans="14:14" x14ac:dyDescent="0.3">
      <c r="N4521"/>
    </row>
    <row r="4522" spans="14:14" x14ac:dyDescent="0.3">
      <c r="N4522"/>
    </row>
    <row r="4523" spans="14:14" x14ac:dyDescent="0.3">
      <c r="N4523"/>
    </row>
    <row r="4524" spans="14:14" x14ac:dyDescent="0.3">
      <c r="N4524"/>
    </row>
    <row r="4525" spans="14:14" x14ac:dyDescent="0.3">
      <c r="N4525"/>
    </row>
    <row r="4526" spans="14:14" x14ac:dyDescent="0.3">
      <c r="N4526"/>
    </row>
    <row r="4527" spans="14:14" x14ac:dyDescent="0.3">
      <c r="N4527"/>
    </row>
    <row r="4528" spans="14:14" x14ac:dyDescent="0.3">
      <c r="N4528"/>
    </row>
    <row r="4529" spans="14:14" x14ac:dyDescent="0.3">
      <c r="N4529"/>
    </row>
    <row r="4530" spans="14:14" x14ac:dyDescent="0.3">
      <c r="N4530"/>
    </row>
    <row r="4531" spans="14:14" x14ac:dyDescent="0.3">
      <c r="N4531"/>
    </row>
    <row r="4532" spans="14:14" x14ac:dyDescent="0.3">
      <c r="N4532"/>
    </row>
    <row r="4533" spans="14:14" x14ac:dyDescent="0.3">
      <c r="N4533"/>
    </row>
    <row r="4534" spans="14:14" x14ac:dyDescent="0.3">
      <c r="N4534"/>
    </row>
    <row r="4535" spans="14:14" x14ac:dyDescent="0.3">
      <c r="N4535"/>
    </row>
    <row r="4536" spans="14:14" x14ac:dyDescent="0.3">
      <c r="N4536"/>
    </row>
    <row r="4537" spans="14:14" x14ac:dyDescent="0.3">
      <c r="N4537"/>
    </row>
    <row r="4538" spans="14:14" x14ac:dyDescent="0.3">
      <c r="N4538"/>
    </row>
    <row r="4539" spans="14:14" x14ac:dyDescent="0.3">
      <c r="N4539"/>
    </row>
    <row r="4540" spans="14:14" x14ac:dyDescent="0.3">
      <c r="N4540"/>
    </row>
    <row r="4541" spans="14:14" x14ac:dyDescent="0.3">
      <c r="N4541"/>
    </row>
    <row r="4542" spans="14:14" x14ac:dyDescent="0.3">
      <c r="N4542"/>
    </row>
    <row r="4543" spans="14:14" x14ac:dyDescent="0.3">
      <c r="N4543"/>
    </row>
    <row r="4544" spans="14:14" x14ac:dyDescent="0.3">
      <c r="N4544"/>
    </row>
    <row r="4545" spans="14:14" x14ac:dyDescent="0.3">
      <c r="N4545"/>
    </row>
    <row r="4546" spans="14:14" x14ac:dyDescent="0.3">
      <c r="N4546"/>
    </row>
    <row r="4547" spans="14:14" x14ac:dyDescent="0.3">
      <c r="N4547"/>
    </row>
    <row r="4548" spans="14:14" x14ac:dyDescent="0.3">
      <c r="N4548"/>
    </row>
    <row r="4549" spans="14:14" x14ac:dyDescent="0.3">
      <c r="N4549"/>
    </row>
    <row r="4550" spans="14:14" x14ac:dyDescent="0.3">
      <c r="N4550"/>
    </row>
    <row r="4551" spans="14:14" x14ac:dyDescent="0.3">
      <c r="N4551"/>
    </row>
    <row r="4552" spans="14:14" x14ac:dyDescent="0.3">
      <c r="N4552"/>
    </row>
    <row r="4553" spans="14:14" x14ac:dyDescent="0.3">
      <c r="N4553"/>
    </row>
    <row r="4554" spans="14:14" x14ac:dyDescent="0.3">
      <c r="N4554"/>
    </row>
    <row r="4555" spans="14:14" x14ac:dyDescent="0.3">
      <c r="N4555"/>
    </row>
    <row r="4556" spans="14:14" x14ac:dyDescent="0.3">
      <c r="N4556"/>
    </row>
    <row r="4557" spans="14:14" x14ac:dyDescent="0.3">
      <c r="N4557"/>
    </row>
    <row r="4558" spans="14:14" x14ac:dyDescent="0.3">
      <c r="N4558"/>
    </row>
    <row r="4559" spans="14:14" x14ac:dyDescent="0.3">
      <c r="N4559"/>
    </row>
    <row r="4560" spans="14:14" x14ac:dyDescent="0.3">
      <c r="N4560"/>
    </row>
    <row r="4561" spans="14:14" x14ac:dyDescent="0.3">
      <c r="N4561"/>
    </row>
    <row r="4562" spans="14:14" x14ac:dyDescent="0.3">
      <c r="N4562"/>
    </row>
    <row r="4563" spans="14:14" x14ac:dyDescent="0.3">
      <c r="N4563"/>
    </row>
    <row r="4564" spans="14:14" x14ac:dyDescent="0.3">
      <c r="N4564"/>
    </row>
    <row r="4565" spans="14:14" x14ac:dyDescent="0.3">
      <c r="N4565"/>
    </row>
    <row r="4566" spans="14:14" x14ac:dyDescent="0.3">
      <c r="N4566"/>
    </row>
    <row r="4567" spans="14:14" x14ac:dyDescent="0.3">
      <c r="N4567"/>
    </row>
    <row r="4568" spans="14:14" x14ac:dyDescent="0.3">
      <c r="N4568"/>
    </row>
    <row r="4569" spans="14:14" x14ac:dyDescent="0.3">
      <c r="N4569"/>
    </row>
    <row r="4570" spans="14:14" x14ac:dyDescent="0.3">
      <c r="N4570"/>
    </row>
    <row r="4571" spans="14:14" x14ac:dyDescent="0.3">
      <c r="N4571"/>
    </row>
    <row r="4572" spans="14:14" x14ac:dyDescent="0.3">
      <c r="N4572"/>
    </row>
    <row r="4573" spans="14:14" x14ac:dyDescent="0.3">
      <c r="N4573"/>
    </row>
    <row r="4574" spans="14:14" x14ac:dyDescent="0.3">
      <c r="N4574"/>
    </row>
    <row r="4575" spans="14:14" x14ac:dyDescent="0.3">
      <c r="N4575"/>
    </row>
    <row r="4576" spans="14:14" x14ac:dyDescent="0.3">
      <c r="N4576"/>
    </row>
    <row r="4577" spans="14:14" x14ac:dyDescent="0.3">
      <c r="N4577"/>
    </row>
    <row r="4578" spans="14:14" x14ac:dyDescent="0.3">
      <c r="N4578"/>
    </row>
    <row r="4579" spans="14:14" x14ac:dyDescent="0.3">
      <c r="N4579"/>
    </row>
    <row r="4580" spans="14:14" x14ac:dyDescent="0.3">
      <c r="N4580"/>
    </row>
    <row r="4581" spans="14:14" x14ac:dyDescent="0.3">
      <c r="N4581"/>
    </row>
    <row r="4582" spans="14:14" x14ac:dyDescent="0.3">
      <c r="N4582"/>
    </row>
    <row r="4583" spans="14:14" x14ac:dyDescent="0.3">
      <c r="N4583"/>
    </row>
    <row r="4584" spans="14:14" x14ac:dyDescent="0.3">
      <c r="N4584"/>
    </row>
    <row r="4585" spans="14:14" x14ac:dyDescent="0.3">
      <c r="N4585"/>
    </row>
    <row r="4586" spans="14:14" x14ac:dyDescent="0.3">
      <c r="N4586"/>
    </row>
    <row r="4587" spans="14:14" x14ac:dyDescent="0.3">
      <c r="N4587"/>
    </row>
    <row r="4588" spans="14:14" x14ac:dyDescent="0.3">
      <c r="N4588"/>
    </row>
    <row r="4589" spans="14:14" x14ac:dyDescent="0.3">
      <c r="N4589"/>
    </row>
    <row r="4590" spans="14:14" x14ac:dyDescent="0.3">
      <c r="N4590"/>
    </row>
    <row r="4591" spans="14:14" x14ac:dyDescent="0.3">
      <c r="N4591"/>
    </row>
    <row r="4592" spans="14:14" x14ac:dyDescent="0.3">
      <c r="N4592"/>
    </row>
    <row r="4593" spans="14:14" x14ac:dyDescent="0.3">
      <c r="N4593"/>
    </row>
    <row r="4594" spans="14:14" x14ac:dyDescent="0.3">
      <c r="N4594"/>
    </row>
    <row r="4595" spans="14:14" x14ac:dyDescent="0.3">
      <c r="N4595"/>
    </row>
    <row r="4596" spans="14:14" x14ac:dyDescent="0.3">
      <c r="N4596"/>
    </row>
    <row r="4597" spans="14:14" x14ac:dyDescent="0.3">
      <c r="N4597"/>
    </row>
    <row r="4598" spans="14:14" x14ac:dyDescent="0.3">
      <c r="N4598"/>
    </row>
    <row r="4599" spans="14:14" x14ac:dyDescent="0.3">
      <c r="N4599"/>
    </row>
    <row r="4600" spans="14:14" x14ac:dyDescent="0.3">
      <c r="N4600"/>
    </row>
    <row r="4601" spans="14:14" x14ac:dyDescent="0.3">
      <c r="N4601"/>
    </row>
    <row r="4602" spans="14:14" x14ac:dyDescent="0.3">
      <c r="N4602"/>
    </row>
    <row r="4603" spans="14:14" x14ac:dyDescent="0.3">
      <c r="N4603"/>
    </row>
    <row r="4604" spans="14:14" x14ac:dyDescent="0.3">
      <c r="N4604"/>
    </row>
    <row r="4605" spans="14:14" x14ac:dyDescent="0.3">
      <c r="N4605"/>
    </row>
    <row r="4606" spans="14:14" x14ac:dyDescent="0.3">
      <c r="N4606"/>
    </row>
    <row r="4607" spans="14:14" x14ac:dyDescent="0.3">
      <c r="N4607"/>
    </row>
    <row r="4608" spans="14:14" x14ac:dyDescent="0.3">
      <c r="N4608"/>
    </row>
    <row r="4609" spans="14:14" x14ac:dyDescent="0.3">
      <c r="N4609"/>
    </row>
    <row r="4610" spans="14:14" x14ac:dyDescent="0.3">
      <c r="N4610"/>
    </row>
    <row r="4611" spans="14:14" x14ac:dyDescent="0.3">
      <c r="N4611"/>
    </row>
    <row r="4612" spans="14:14" x14ac:dyDescent="0.3">
      <c r="N4612"/>
    </row>
    <row r="4613" spans="14:14" x14ac:dyDescent="0.3">
      <c r="N4613"/>
    </row>
    <row r="4614" spans="14:14" x14ac:dyDescent="0.3">
      <c r="N4614"/>
    </row>
    <row r="4615" spans="14:14" x14ac:dyDescent="0.3">
      <c r="N4615"/>
    </row>
    <row r="4616" spans="14:14" x14ac:dyDescent="0.3">
      <c r="N4616"/>
    </row>
    <row r="4617" spans="14:14" x14ac:dyDescent="0.3">
      <c r="N4617"/>
    </row>
    <row r="4618" spans="14:14" x14ac:dyDescent="0.3">
      <c r="N4618"/>
    </row>
    <row r="4619" spans="14:14" x14ac:dyDescent="0.3">
      <c r="N4619"/>
    </row>
    <row r="4620" spans="14:14" x14ac:dyDescent="0.3">
      <c r="N4620"/>
    </row>
    <row r="4621" spans="14:14" x14ac:dyDescent="0.3">
      <c r="N4621"/>
    </row>
    <row r="4622" spans="14:14" x14ac:dyDescent="0.3">
      <c r="N4622"/>
    </row>
    <row r="4623" spans="14:14" x14ac:dyDescent="0.3">
      <c r="N4623"/>
    </row>
    <row r="4624" spans="14:14" x14ac:dyDescent="0.3">
      <c r="N4624"/>
    </row>
    <row r="4625" spans="14:14" x14ac:dyDescent="0.3">
      <c r="N4625"/>
    </row>
    <row r="4626" spans="14:14" x14ac:dyDescent="0.3">
      <c r="N4626"/>
    </row>
    <row r="4627" spans="14:14" x14ac:dyDescent="0.3">
      <c r="N4627"/>
    </row>
    <row r="4628" spans="14:14" x14ac:dyDescent="0.3">
      <c r="N4628"/>
    </row>
    <row r="4629" spans="14:14" x14ac:dyDescent="0.3">
      <c r="N4629"/>
    </row>
    <row r="4630" spans="14:14" x14ac:dyDescent="0.3">
      <c r="N4630"/>
    </row>
    <row r="4631" spans="14:14" x14ac:dyDescent="0.3">
      <c r="N4631"/>
    </row>
    <row r="4632" spans="14:14" x14ac:dyDescent="0.3">
      <c r="N4632"/>
    </row>
    <row r="4633" spans="14:14" x14ac:dyDescent="0.3">
      <c r="N4633"/>
    </row>
    <row r="4634" spans="14:14" x14ac:dyDescent="0.3">
      <c r="N4634"/>
    </row>
    <row r="4635" spans="14:14" x14ac:dyDescent="0.3">
      <c r="N4635"/>
    </row>
    <row r="4636" spans="14:14" x14ac:dyDescent="0.3">
      <c r="N4636"/>
    </row>
    <row r="4637" spans="14:14" x14ac:dyDescent="0.3">
      <c r="N4637"/>
    </row>
    <row r="4638" spans="14:14" x14ac:dyDescent="0.3">
      <c r="N4638"/>
    </row>
    <row r="4639" spans="14:14" x14ac:dyDescent="0.3">
      <c r="N4639"/>
    </row>
    <row r="4640" spans="14:14" x14ac:dyDescent="0.3">
      <c r="N4640"/>
    </row>
    <row r="4641" spans="14:14" x14ac:dyDescent="0.3">
      <c r="N4641"/>
    </row>
    <row r="4642" spans="14:14" x14ac:dyDescent="0.3">
      <c r="N4642"/>
    </row>
    <row r="4643" spans="14:14" x14ac:dyDescent="0.3">
      <c r="N4643"/>
    </row>
    <row r="4644" spans="14:14" x14ac:dyDescent="0.3">
      <c r="N4644"/>
    </row>
    <row r="4645" spans="14:14" x14ac:dyDescent="0.3">
      <c r="N4645"/>
    </row>
    <row r="4646" spans="14:14" x14ac:dyDescent="0.3">
      <c r="N4646"/>
    </row>
    <row r="4647" spans="14:14" x14ac:dyDescent="0.3">
      <c r="N4647"/>
    </row>
    <row r="4648" spans="14:14" x14ac:dyDescent="0.3">
      <c r="N4648"/>
    </row>
    <row r="4649" spans="14:14" x14ac:dyDescent="0.3">
      <c r="N4649"/>
    </row>
    <row r="4650" spans="14:14" x14ac:dyDescent="0.3">
      <c r="N4650"/>
    </row>
    <row r="4651" spans="14:14" x14ac:dyDescent="0.3">
      <c r="N4651"/>
    </row>
    <row r="4652" spans="14:14" x14ac:dyDescent="0.3">
      <c r="N4652"/>
    </row>
    <row r="4653" spans="14:14" x14ac:dyDescent="0.3">
      <c r="N4653"/>
    </row>
    <row r="4654" spans="14:14" x14ac:dyDescent="0.3">
      <c r="N4654"/>
    </row>
    <row r="4655" spans="14:14" x14ac:dyDescent="0.3">
      <c r="N4655"/>
    </row>
    <row r="4656" spans="14:14" x14ac:dyDescent="0.3">
      <c r="N4656"/>
    </row>
    <row r="4657" spans="14:14" x14ac:dyDescent="0.3">
      <c r="N4657"/>
    </row>
    <row r="4658" spans="14:14" x14ac:dyDescent="0.3">
      <c r="N4658"/>
    </row>
    <row r="4659" spans="14:14" x14ac:dyDescent="0.3">
      <c r="N4659"/>
    </row>
    <row r="4660" spans="14:14" x14ac:dyDescent="0.3">
      <c r="N4660"/>
    </row>
    <row r="4661" spans="14:14" x14ac:dyDescent="0.3">
      <c r="N4661"/>
    </row>
    <row r="4662" spans="14:14" x14ac:dyDescent="0.3">
      <c r="N4662"/>
    </row>
    <row r="4663" spans="14:14" x14ac:dyDescent="0.3">
      <c r="N4663"/>
    </row>
    <row r="4664" spans="14:14" x14ac:dyDescent="0.3">
      <c r="N4664"/>
    </row>
    <row r="4665" spans="14:14" x14ac:dyDescent="0.3">
      <c r="N4665"/>
    </row>
    <row r="4666" spans="14:14" x14ac:dyDescent="0.3">
      <c r="N4666"/>
    </row>
    <row r="4667" spans="14:14" x14ac:dyDescent="0.3">
      <c r="N4667"/>
    </row>
    <row r="4668" spans="14:14" x14ac:dyDescent="0.3">
      <c r="N4668"/>
    </row>
    <row r="4669" spans="14:14" x14ac:dyDescent="0.3">
      <c r="N4669"/>
    </row>
    <row r="4670" spans="14:14" x14ac:dyDescent="0.3">
      <c r="N4670"/>
    </row>
    <row r="4671" spans="14:14" x14ac:dyDescent="0.3">
      <c r="N4671"/>
    </row>
    <row r="4672" spans="14:14" x14ac:dyDescent="0.3">
      <c r="N4672"/>
    </row>
    <row r="4673" spans="14:14" x14ac:dyDescent="0.3">
      <c r="N4673"/>
    </row>
    <row r="4674" spans="14:14" x14ac:dyDescent="0.3">
      <c r="N4674"/>
    </row>
    <row r="4675" spans="14:14" x14ac:dyDescent="0.3">
      <c r="N4675"/>
    </row>
    <row r="4676" spans="14:14" x14ac:dyDescent="0.3">
      <c r="N4676"/>
    </row>
    <row r="4677" spans="14:14" x14ac:dyDescent="0.3">
      <c r="N4677"/>
    </row>
    <row r="4678" spans="14:14" x14ac:dyDescent="0.3">
      <c r="N4678"/>
    </row>
    <row r="4679" spans="14:14" x14ac:dyDescent="0.3">
      <c r="N4679"/>
    </row>
    <row r="4680" spans="14:14" x14ac:dyDescent="0.3">
      <c r="N4680"/>
    </row>
    <row r="4681" spans="14:14" x14ac:dyDescent="0.3">
      <c r="N4681"/>
    </row>
    <row r="4682" spans="14:14" x14ac:dyDescent="0.3">
      <c r="N4682"/>
    </row>
    <row r="4683" spans="14:14" x14ac:dyDescent="0.3">
      <c r="N4683"/>
    </row>
    <row r="4684" spans="14:14" x14ac:dyDescent="0.3">
      <c r="N4684"/>
    </row>
    <row r="4685" spans="14:14" x14ac:dyDescent="0.3">
      <c r="N4685"/>
    </row>
    <row r="4686" spans="14:14" x14ac:dyDescent="0.3">
      <c r="N4686"/>
    </row>
    <row r="4687" spans="14:14" x14ac:dyDescent="0.3">
      <c r="N4687"/>
    </row>
    <row r="4688" spans="14:14" x14ac:dyDescent="0.3">
      <c r="N4688"/>
    </row>
    <row r="4689" spans="14:14" x14ac:dyDescent="0.3">
      <c r="N4689"/>
    </row>
    <row r="4690" spans="14:14" x14ac:dyDescent="0.3">
      <c r="N4690"/>
    </row>
    <row r="4691" spans="14:14" x14ac:dyDescent="0.3">
      <c r="N4691"/>
    </row>
    <row r="4692" spans="14:14" x14ac:dyDescent="0.3">
      <c r="N4692"/>
    </row>
    <row r="4693" spans="14:14" x14ac:dyDescent="0.3">
      <c r="N4693"/>
    </row>
    <row r="4694" spans="14:14" x14ac:dyDescent="0.3">
      <c r="N4694"/>
    </row>
    <row r="4695" spans="14:14" x14ac:dyDescent="0.3">
      <c r="N4695"/>
    </row>
    <row r="4696" spans="14:14" x14ac:dyDescent="0.3">
      <c r="N4696"/>
    </row>
    <row r="4697" spans="14:14" x14ac:dyDescent="0.3">
      <c r="N4697"/>
    </row>
    <row r="4698" spans="14:14" x14ac:dyDescent="0.3">
      <c r="N4698"/>
    </row>
    <row r="4699" spans="14:14" x14ac:dyDescent="0.3">
      <c r="N4699"/>
    </row>
    <row r="4700" spans="14:14" x14ac:dyDescent="0.3">
      <c r="N4700"/>
    </row>
    <row r="4701" spans="14:14" x14ac:dyDescent="0.3">
      <c r="N4701"/>
    </row>
    <row r="4702" spans="14:14" x14ac:dyDescent="0.3">
      <c r="N4702"/>
    </row>
    <row r="4703" spans="14:14" x14ac:dyDescent="0.3">
      <c r="N4703"/>
    </row>
    <row r="4704" spans="14:14" x14ac:dyDescent="0.3">
      <c r="N4704"/>
    </row>
    <row r="4705" spans="14:14" x14ac:dyDescent="0.3">
      <c r="N4705"/>
    </row>
    <row r="4706" spans="14:14" x14ac:dyDescent="0.3">
      <c r="N4706"/>
    </row>
    <row r="4707" spans="14:14" x14ac:dyDescent="0.3">
      <c r="N4707"/>
    </row>
    <row r="4708" spans="14:14" x14ac:dyDescent="0.3">
      <c r="N4708"/>
    </row>
    <row r="4709" spans="14:14" x14ac:dyDescent="0.3">
      <c r="N4709"/>
    </row>
    <row r="4710" spans="14:14" x14ac:dyDescent="0.3">
      <c r="N4710"/>
    </row>
    <row r="4711" spans="14:14" x14ac:dyDescent="0.3">
      <c r="N4711"/>
    </row>
    <row r="4712" spans="14:14" x14ac:dyDescent="0.3">
      <c r="N4712"/>
    </row>
    <row r="4713" spans="14:14" x14ac:dyDescent="0.3">
      <c r="N4713"/>
    </row>
    <row r="4714" spans="14:14" x14ac:dyDescent="0.3">
      <c r="N4714"/>
    </row>
    <row r="4715" spans="14:14" x14ac:dyDescent="0.3">
      <c r="N4715"/>
    </row>
    <row r="4716" spans="14:14" x14ac:dyDescent="0.3">
      <c r="N4716"/>
    </row>
    <row r="4717" spans="14:14" x14ac:dyDescent="0.3">
      <c r="N4717"/>
    </row>
    <row r="4718" spans="14:14" x14ac:dyDescent="0.3">
      <c r="N4718"/>
    </row>
    <row r="4719" spans="14:14" x14ac:dyDescent="0.3">
      <c r="N4719"/>
    </row>
    <row r="4720" spans="14:14" x14ac:dyDescent="0.3">
      <c r="N4720"/>
    </row>
    <row r="4721" spans="14:14" x14ac:dyDescent="0.3">
      <c r="N4721"/>
    </row>
    <row r="4722" spans="14:14" x14ac:dyDescent="0.3">
      <c r="N4722"/>
    </row>
    <row r="4723" spans="14:14" x14ac:dyDescent="0.3">
      <c r="N4723"/>
    </row>
    <row r="4724" spans="14:14" x14ac:dyDescent="0.3">
      <c r="N4724"/>
    </row>
    <row r="4725" spans="14:14" x14ac:dyDescent="0.3">
      <c r="N4725"/>
    </row>
    <row r="4726" spans="14:14" x14ac:dyDescent="0.3">
      <c r="N4726"/>
    </row>
    <row r="4727" spans="14:14" x14ac:dyDescent="0.3">
      <c r="N4727"/>
    </row>
    <row r="4728" spans="14:14" x14ac:dyDescent="0.3">
      <c r="N4728"/>
    </row>
    <row r="4729" spans="14:14" x14ac:dyDescent="0.3">
      <c r="N4729"/>
    </row>
    <row r="4730" spans="14:14" x14ac:dyDescent="0.3">
      <c r="N4730"/>
    </row>
    <row r="4731" spans="14:14" x14ac:dyDescent="0.3">
      <c r="N4731"/>
    </row>
    <row r="4732" spans="14:14" x14ac:dyDescent="0.3">
      <c r="N4732"/>
    </row>
    <row r="4733" spans="14:14" x14ac:dyDescent="0.3">
      <c r="N4733"/>
    </row>
    <row r="4734" spans="14:14" x14ac:dyDescent="0.3">
      <c r="N4734"/>
    </row>
    <row r="4735" spans="14:14" x14ac:dyDescent="0.3">
      <c r="N4735"/>
    </row>
    <row r="4736" spans="14:14" x14ac:dyDescent="0.3">
      <c r="N4736"/>
    </row>
    <row r="4737" spans="14:14" x14ac:dyDescent="0.3">
      <c r="N4737"/>
    </row>
    <row r="4738" spans="14:14" x14ac:dyDescent="0.3">
      <c r="N4738"/>
    </row>
    <row r="4739" spans="14:14" x14ac:dyDescent="0.3">
      <c r="N4739"/>
    </row>
    <row r="4740" spans="14:14" x14ac:dyDescent="0.3">
      <c r="N4740"/>
    </row>
    <row r="4741" spans="14:14" x14ac:dyDescent="0.3">
      <c r="N4741"/>
    </row>
    <row r="4742" spans="14:14" x14ac:dyDescent="0.3">
      <c r="N4742"/>
    </row>
    <row r="4743" spans="14:14" x14ac:dyDescent="0.3">
      <c r="N4743"/>
    </row>
    <row r="4744" spans="14:14" x14ac:dyDescent="0.3">
      <c r="N4744"/>
    </row>
    <row r="4745" spans="14:14" x14ac:dyDescent="0.3">
      <c r="N4745"/>
    </row>
    <row r="4746" spans="14:14" x14ac:dyDescent="0.3">
      <c r="N4746"/>
    </row>
    <row r="4747" spans="14:14" x14ac:dyDescent="0.3">
      <c r="N4747"/>
    </row>
    <row r="4748" spans="14:14" x14ac:dyDescent="0.3">
      <c r="N4748"/>
    </row>
    <row r="4749" spans="14:14" x14ac:dyDescent="0.3">
      <c r="N4749"/>
    </row>
    <row r="4750" spans="14:14" x14ac:dyDescent="0.3">
      <c r="N4750"/>
    </row>
    <row r="4751" spans="14:14" x14ac:dyDescent="0.3">
      <c r="N4751"/>
    </row>
    <row r="4752" spans="14:14" x14ac:dyDescent="0.3">
      <c r="N4752"/>
    </row>
    <row r="4753" spans="14:14" x14ac:dyDescent="0.3">
      <c r="N4753"/>
    </row>
    <row r="4754" spans="14:14" x14ac:dyDescent="0.3">
      <c r="N4754"/>
    </row>
    <row r="4755" spans="14:14" x14ac:dyDescent="0.3">
      <c r="N4755"/>
    </row>
    <row r="4756" spans="14:14" x14ac:dyDescent="0.3">
      <c r="N4756"/>
    </row>
    <row r="4757" spans="14:14" x14ac:dyDescent="0.3">
      <c r="N4757"/>
    </row>
    <row r="4758" spans="14:14" x14ac:dyDescent="0.3">
      <c r="N4758"/>
    </row>
    <row r="4759" spans="14:14" x14ac:dyDescent="0.3">
      <c r="N4759"/>
    </row>
    <row r="4760" spans="14:14" x14ac:dyDescent="0.3">
      <c r="N4760"/>
    </row>
    <row r="4761" spans="14:14" x14ac:dyDescent="0.3">
      <c r="N4761"/>
    </row>
    <row r="4762" spans="14:14" x14ac:dyDescent="0.3">
      <c r="N4762"/>
    </row>
    <row r="4763" spans="14:14" x14ac:dyDescent="0.3">
      <c r="N4763"/>
    </row>
    <row r="4764" spans="14:14" x14ac:dyDescent="0.3">
      <c r="N4764"/>
    </row>
    <row r="4765" spans="14:14" x14ac:dyDescent="0.3">
      <c r="N4765"/>
    </row>
    <row r="4766" spans="14:14" x14ac:dyDescent="0.3">
      <c r="N4766"/>
    </row>
    <row r="4767" spans="14:14" x14ac:dyDescent="0.3">
      <c r="N4767"/>
    </row>
    <row r="4768" spans="14:14" x14ac:dyDescent="0.3">
      <c r="N4768"/>
    </row>
    <row r="4769" spans="14:14" x14ac:dyDescent="0.3">
      <c r="N4769"/>
    </row>
    <row r="4770" spans="14:14" x14ac:dyDescent="0.3">
      <c r="N4770"/>
    </row>
    <row r="4771" spans="14:14" x14ac:dyDescent="0.3">
      <c r="N4771"/>
    </row>
    <row r="4772" spans="14:14" x14ac:dyDescent="0.3">
      <c r="N4772"/>
    </row>
    <row r="4773" spans="14:14" x14ac:dyDescent="0.3">
      <c r="N4773"/>
    </row>
    <row r="4774" spans="14:14" x14ac:dyDescent="0.3">
      <c r="N4774"/>
    </row>
    <row r="4775" spans="14:14" x14ac:dyDescent="0.3">
      <c r="N4775"/>
    </row>
    <row r="4776" spans="14:14" x14ac:dyDescent="0.3">
      <c r="N4776"/>
    </row>
    <row r="4777" spans="14:14" x14ac:dyDescent="0.3">
      <c r="N4777"/>
    </row>
    <row r="4778" spans="14:14" x14ac:dyDescent="0.3">
      <c r="N4778"/>
    </row>
    <row r="4779" spans="14:14" x14ac:dyDescent="0.3">
      <c r="N4779"/>
    </row>
    <row r="4780" spans="14:14" x14ac:dyDescent="0.3">
      <c r="N4780"/>
    </row>
    <row r="4781" spans="14:14" x14ac:dyDescent="0.3">
      <c r="N4781"/>
    </row>
    <row r="4782" spans="14:14" x14ac:dyDescent="0.3">
      <c r="N4782"/>
    </row>
    <row r="4783" spans="14:14" x14ac:dyDescent="0.3">
      <c r="N4783"/>
    </row>
    <row r="4784" spans="14:14" x14ac:dyDescent="0.3">
      <c r="N4784"/>
    </row>
    <row r="4785" spans="14:14" x14ac:dyDescent="0.3">
      <c r="N4785"/>
    </row>
    <row r="4786" spans="14:14" x14ac:dyDescent="0.3">
      <c r="N4786"/>
    </row>
    <row r="4787" spans="14:14" x14ac:dyDescent="0.3">
      <c r="N4787"/>
    </row>
    <row r="4788" spans="14:14" x14ac:dyDescent="0.3">
      <c r="N4788"/>
    </row>
    <row r="4789" spans="14:14" x14ac:dyDescent="0.3">
      <c r="N4789"/>
    </row>
    <row r="4790" spans="14:14" x14ac:dyDescent="0.3">
      <c r="N4790"/>
    </row>
    <row r="4791" spans="14:14" x14ac:dyDescent="0.3">
      <c r="N4791"/>
    </row>
    <row r="4792" spans="14:14" x14ac:dyDescent="0.3">
      <c r="N4792"/>
    </row>
    <row r="4793" spans="14:14" x14ac:dyDescent="0.3">
      <c r="N4793"/>
    </row>
    <row r="4794" spans="14:14" x14ac:dyDescent="0.3">
      <c r="N4794"/>
    </row>
    <row r="4795" spans="14:14" x14ac:dyDescent="0.3">
      <c r="N4795"/>
    </row>
    <row r="4796" spans="14:14" x14ac:dyDescent="0.3">
      <c r="N4796"/>
    </row>
    <row r="4797" spans="14:14" x14ac:dyDescent="0.3">
      <c r="N4797"/>
    </row>
    <row r="4798" spans="14:14" x14ac:dyDescent="0.3">
      <c r="N4798"/>
    </row>
    <row r="4799" spans="14:14" x14ac:dyDescent="0.3">
      <c r="N4799"/>
    </row>
    <row r="4800" spans="14:14" x14ac:dyDescent="0.3">
      <c r="N4800"/>
    </row>
    <row r="4801" spans="14:14" x14ac:dyDescent="0.3">
      <c r="N4801"/>
    </row>
    <row r="4802" spans="14:14" x14ac:dyDescent="0.3">
      <c r="N4802"/>
    </row>
    <row r="4803" spans="14:14" x14ac:dyDescent="0.3">
      <c r="N4803"/>
    </row>
    <row r="4804" spans="14:14" x14ac:dyDescent="0.3">
      <c r="N4804"/>
    </row>
    <row r="4805" spans="14:14" x14ac:dyDescent="0.3">
      <c r="N4805"/>
    </row>
    <row r="4806" spans="14:14" x14ac:dyDescent="0.3">
      <c r="N4806"/>
    </row>
    <row r="4807" spans="14:14" x14ac:dyDescent="0.3">
      <c r="N4807"/>
    </row>
    <row r="4808" spans="14:14" x14ac:dyDescent="0.3">
      <c r="N4808"/>
    </row>
    <row r="4809" spans="14:14" x14ac:dyDescent="0.3">
      <c r="N4809"/>
    </row>
    <row r="4810" spans="14:14" x14ac:dyDescent="0.3">
      <c r="N4810"/>
    </row>
    <row r="4811" spans="14:14" x14ac:dyDescent="0.3">
      <c r="N4811"/>
    </row>
    <row r="4812" spans="14:14" x14ac:dyDescent="0.3">
      <c r="N4812"/>
    </row>
    <row r="4813" spans="14:14" x14ac:dyDescent="0.3">
      <c r="N4813"/>
    </row>
    <row r="4814" spans="14:14" x14ac:dyDescent="0.3">
      <c r="N4814"/>
    </row>
    <row r="4815" spans="14:14" x14ac:dyDescent="0.3">
      <c r="N4815"/>
    </row>
    <row r="4816" spans="14:14" x14ac:dyDescent="0.3">
      <c r="N4816"/>
    </row>
    <row r="4817" spans="14:14" x14ac:dyDescent="0.3">
      <c r="N4817"/>
    </row>
    <row r="4818" spans="14:14" x14ac:dyDescent="0.3">
      <c r="N4818"/>
    </row>
    <row r="4819" spans="14:14" x14ac:dyDescent="0.3">
      <c r="N4819"/>
    </row>
    <row r="4820" spans="14:14" x14ac:dyDescent="0.3">
      <c r="N4820"/>
    </row>
    <row r="4821" spans="14:14" x14ac:dyDescent="0.3">
      <c r="N4821"/>
    </row>
    <row r="4822" spans="14:14" x14ac:dyDescent="0.3">
      <c r="N4822"/>
    </row>
    <row r="4823" spans="14:14" x14ac:dyDescent="0.3">
      <c r="N4823"/>
    </row>
    <row r="4824" spans="14:14" x14ac:dyDescent="0.3">
      <c r="N4824"/>
    </row>
    <row r="4825" spans="14:14" x14ac:dyDescent="0.3">
      <c r="N4825"/>
    </row>
    <row r="4826" spans="14:14" x14ac:dyDescent="0.3">
      <c r="N4826"/>
    </row>
    <row r="4827" spans="14:14" x14ac:dyDescent="0.3">
      <c r="N4827"/>
    </row>
    <row r="4828" spans="14:14" x14ac:dyDescent="0.3">
      <c r="N4828"/>
    </row>
    <row r="4829" spans="14:14" x14ac:dyDescent="0.3">
      <c r="N4829"/>
    </row>
    <row r="4830" spans="14:14" x14ac:dyDescent="0.3">
      <c r="N4830"/>
    </row>
    <row r="4831" spans="14:14" x14ac:dyDescent="0.3">
      <c r="N4831"/>
    </row>
    <row r="4832" spans="14:14" x14ac:dyDescent="0.3">
      <c r="N4832"/>
    </row>
    <row r="4833" spans="14:14" x14ac:dyDescent="0.3">
      <c r="N4833"/>
    </row>
    <row r="4834" spans="14:14" x14ac:dyDescent="0.3">
      <c r="N4834"/>
    </row>
    <row r="4835" spans="14:14" x14ac:dyDescent="0.3">
      <c r="N4835"/>
    </row>
    <row r="4836" spans="14:14" x14ac:dyDescent="0.3">
      <c r="N4836"/>
    </row>
    <row r="4837" spans="14:14" x14ac:dyDescent="0.3">
      <c r="N4837"/>
    </row>
    <row r="4838" spans="14:14" x14ac:dyDescent="0.3">
      <c r="N4838"/>
    </row>
    <row r="4839" spans="14:14" x14ac:dyDescent="0.3">
      <c r="N4839"/>
    </row>
    <row r="4840" spans="14:14" x14ac:dyDescent="0.3">
      <c r="N4840"/>
    </row>
    <row r="4841" spans="14:14" x14ac:dyDescent="0.3">
      <c r="N4841"/>
    </row>
    <row r="4842" spans="14:14" x14ac:dyDescent="0.3">
      <c r="N4842"/>
    </row>
    <row r="4843" spans="14:14" x14ac:dyDescent="0.3">
      <c r="N4843"/>
    </row>
    <row r="4844" spans="14:14" x14ac:dyDescent="0.3">
      <c r="N4844"/>
    </row>
    <row r="4845" spans="14:14" x14ac:dyDescent="0.3">
      <c r="N4845"/>
    </row>
    <row r="4846" spans="14:14" x14ac:dyDescent="0.3">
      <c r="N4846"/>
    </row>
    <row r="4847" spans="14:14" x14ac:dyDescent="0.3">
      <c r="N4847"/>
    </row>
    <row r="4848" spans="14:14" x14ac:dyDescent="0.3">
      <c r="N4848"/>
    </row>
    <row r="4849" spans="14:14" x14ac:dyDescent="0.3">
      <c r="N4849"/>
    </row>
    <row r="4850" spans="14:14" x14ac:dyDescent="0.3">
      <c r="N4850"/>
    </row>
    <row r="4851" spans="14:14" x14ac:dyDescent="0.3">
      <c r="N4851"/>
    </row>
    <row r="4852" spans="14:14" x14ac:dyDescent="0.3">
      <c r="N4852"/>
    </row>
    <row r="4853" spans="14:14" x14ac:dyDescent="0.3">
      <c r="N4853"/>
    </row>
    <row r="4854" spans="14:14" x14ac:dyDescent="0.3">
      <c r="N4854"/>
    </row>
    <row r="4855" spans="14:14" x14ac:dyDescent="0.3">
      <c r="N4855"/>
    </row>
    <row r="4856" spans="14:14" x14ac:dyDescent="0.3">
      <c r="N4856"/>
    </row>
    <row r="4857" spans="14:14" x14ac:dyDescent="0.3">
      <c r="N4857"/>
    </row>
    <row r="4858" spans="14:14" x14ac:dyDescent="0.3">
      <c r="N4858"/>
    </row>
    <row r="4859" spans="14:14" x14ac:dyDescent="0.3">
      <c r="N4859"/>
    </row>
    <row r="4860" spans="14:14" x14ac:dyDescent="0.3">
      <c r="N4860"/>
    </row>
    <row r="4861" spans="14:14" x14ac:dyDescent="0.3">
      <c r="N4861"/>
    </row>
    <row r="4862" spans="14:14" x14ac:dyDescent="0.3">
      <c r="N4862"/>
    </row>
    <row r="4863" spans="14:14" x14ac:dyDescent="0.3">
      <c r="N4863"/>
    </row>
    <row r="4864" spans="14:14" x14ac:dyDescent="0.3">
      <c r="N4864"/>
    </row>
    <row r="4865" spans="14:14" x14ac:dyDescent="0.3">
      <c r="N4865"/>
    </row>
    <row r="4866" spans="14:14" x14ac:dyDescent="0.3">
      <c r="N4866"/>
    </row>
    <row r="4867" spans="14:14" x14ac:dyDescent="0.3">
      <c r="N4867"/>
    </row>
    <row r="4868" spans="14:14" x14ac:dyDescent="0.3">
      <c r="N4868"/>
    </row>
    <row r="4869" spans="14:14" x14ac:dyDescent="0.3">
      <c r="N4869"/>
    </row>
    <row r="4870" spans="14:14" x14ac:dyDescent="0.3">
      <c r="N4870"/>
    </row>
    <row r="4871" spans="14:14" x14ac:dyDescent="0.3">
      <c r="N4871"/>
    </row>
    <row r="4872" spans="14:14" x14ac:dyDescent="0.3">
      <c r="N4872"/>
    </row>
    <row r="4873" spans="14:14" x14ac:dyDescent="0.3">
      <c r="N4873"/>
    </row>
    <row r="4874" spans="14:14" x14ac:dyDescent="0.3">
      <c r="N4874"/>
    </row>
    <row r="4875" spans="14:14" x14ac:dyDescent="0.3">
      <c r="N4875"/>
    </row>
    <row r="4876" spans="14:14" x14ac:dyDescent="0.3">
      <c r="N4876"/>
    </row>
    <row r="4877" spans="14:14" x14ac:dyDescent="0.3">
      <c r="N4877"/>
    </row>
    <row r="4878" spans="14:14" x14ac:dyDescent="0.3">
      <c r="N4878"/>
    </row>
    <row r="4879" spans="14:14" x14ac:dyDescent="0.3">
      <c r="N4879"/>
    </row>
    <row r="4880" spans="14:14" x14ac:dyDescent="0.3">
      <c r="N4880"/>
    </row>
    <row r="4881" spans="14:14" x14ac:dyDescent="0.3">
      <c r="N4881"/>
    </row>
    <row r="4882" spans="14:14" x14ac:dyDescent="0.3">
      <c r="N4882"/>
    </row>
    <row r="4883" spans="14:14" x14ac:dyDescent="0.3">
      <c r="N4883"/>
    </row>
    <row r="4884" spans="14:14" x14ac:dyDescent="0.3">
      <c r="N4884"/>
    </row>
    <row r="4885" spans="14:14" x14ac:dyDescent="0.3">
      <c r="N4885"/>
    </row>
    <row r="4886" spans="14:14" x14ac:dyDescent="0.3">
      <c r="N4886"/>
    </row>
    <row r="4887" spans="14:14" x14ac:dyDescent="0.3">
      <c r="N4887"/>
    </row>
    <row r="4888" spans="14:14" x14ac:dyDescent="0.3">
      <c r="N4888"/>
    </row>
    <row r="4889" spans="14:14" x14ac:dyDescent="0.3">
      <c r="N4889"/>
    </row>
    <row r="4890" spans="14:14" x14ac:dyDescent="0.3">
      <c r="N4890"/>
    </row>
    <row r="4891" spans="14:14" x14ac:dyDescent="0.3">
      <c r="N4891"/>
    </row>
    <row r="4892" spans="14:14" x14ac:dyDescent="0.3">
      <c r="N4892"/>
    </row>
    <row r="4893" spans="14:14" x14ac:dyDescent="0.3">
      <c r="N4893"/>
    </row>
    <row r="4894" spans="14:14" x14ac:dyDescent="0.3">
      <c r="N4894"/>
    </row>
    <row r="4895" spans="14:14" x14ac:dyDescent="0.3">
      <c r="N4895"/>
    </row>
    <row r="4896" spans="14:14" x14ac:dyDescent="0.3">
      <c r="N4896"/>
    </row>
    <row r="4897" spans="14:14" x14ac:dyDescent="0.3">
      <c r="N4897"/>
    </row>
    <row r="4898" spans="14:14" x14ac:dyDescent="0.3">
      <c r="N4898"/>
    </row>
    <row r="4899" spans="14:14" x14ac:dyDescent="0.3">
      <c r="N4899"/>
    </row>
    <row r="4900" spans="14:14" x14ac:dyDescent="0.3">
      <c r="N4900"/>
    </row>
    <row r="4901" spans="14:14" x14ac:dyDescent="0.3">
      <c r="N4901"/>
    </row>
    <row r="4902" spans="14:14" x14ac:dyDescent="0.3">
      <c r="N4902"/>
    </row>
    <row r="4903" spans="14:14" x14ac:dyDescent="0.3">
      <c r="N4903"/>
    </row>
    <row r="4904" spans="14:14" x14ac:dyDescent="0.3">
      <c r="N4904"/>
    </row>
    <row r="4905" spans="14:14" x14ac:dyDescent="0.3">
      <c r="N4905"/>
    </row>
    <row r="4906" spans="14:14" x14ac:dyDescent="0.3">
      <c r="N4906"/>
    </row>
    <row r="4907" spans="14:14" x14ac:dyDescent="0.3">
      <c r="N4907"/>
    </row>
    <row r="4908" spans="14:14" x14ac:dyDescent="0.3">
      <c r="N4908"/>
    </row>
    <row r="4909" spans="14:14" x14ac:dyDescent="0.3">
      <c r="N4909"/>
    </row>
    <row r="4910" spans="14:14" x14ac:dyDescent="0.3">
      <c r="N4910"/>
    </row>
    <row r="4911" spans="14:14" x14ac:dyDescent="0.3">
      <c r="N4911"/>
    </row>
    <row r="4912" spans="14:14" x14ac:dyDescent="0.3">
      <c r="N4912"/>
    </row>
    <row r="4913" spans="14:14" x14ac:dyDescent="0.3">
      <c r="N4913"/>
    </row>
    <row r="4914" spans="14:14" x14ac:dyDescent="0.3">
      <c r="N4914"/>
    </row>
    <row r="4915" spans="14:14" x14ac:dyDescent="0.3">
      <c r="N4915"/>
    </row>
    <row r="4916" spans="14:14" x14ac:dyDescent="0.3">
      <c r="N4916"/>
    </row>
    <row r="4917" spans="14:14" x14ac:dyDescent="0.3">
      <c r="N4917"/>
    </row>
    <row r="4918" spans="14:14" x14ac:dyDescent="0.3">
      <c r="N4918"/>
    </row>
    <row r="4919" spans="14:14" x14ac:dyDescent="0.3">
      <c r="N4919"/>
    </row>
    <row r="4920" spans="14:14" x14ac:dyDescent="0.3">
      <c r="N4920"/>
    </row>
    <row r="4921" spans="14:14" x14ac:dyDescent="0.3">
      <c r="N4921"/>
    </row>
    <row r="4922" spans="14:14" x14ac:dyDescent="0.3">
      <c r="N4922"/>
    </row>
    <row r="4923" spans="14:14" x14ac:dyDescent="0.3">
      <c r="N4923"/>
    </row>
    <row r="4924" spans="14:14" x14ac:dyDescent="0.3">
      <c r="N4924"/>
    </row>
    <row r="4925" spans="14:14" x14ac:dyDescent="0.3">
      <c r="N4925"/>
    </row>
    <row r="4926" spans="14:14" x14ac:dyDescent="0.3">
      <c r="N4926"/>
    </row>
    <row r="4927" spans="14:14" x14ac:dyDescent="0.3">
      <c r="N4927"/>
    </row>
    <row r="4928" spans="14:14" x14ac:dyDescent="0.3">
      <c r="N4928"/>
    </row>
    <row r="4929" spans="14:14" x14ac:dyDescent="0.3">
      <c r="N4929"/>
    </row>
    <row r="4930" spans="14:14" x14ac:dyDescent="0.3">
      <c r="N4930"/>
    </row>
    <row r="4931" spans="14:14" x14ac:dyDescent="0.3">
      <c r="N4931"/>
    </row>
    <row r="4932" spans="14:14" x14ac:dyDescent="0.3">
      <c r="N4932"/>
    </row>
    <row r="4933" spans="14:14" x14ac:dyDescent="0.3">
      <c r="N4933"/>
    </row>
    <row r="4934" spans="14:14" x14ac:dyDescent="0.3">
      <c r="N4934"/>
    </row>
    <row r="4935" spans="14:14" x14ac:dyDescent="0.3">
      <c r="N4935"/>
    </row>
    <row r="4936" spans="14:14" x14ac:dyDescent="0.3">
      <c r="N4936"/>
    </row>
    <row r="4937" spans="14:14" x14ac:dyDescent="0.3">
      <c r="N4937"/>
    </row>
    <row r="4938" spans="14:14" x14ac:dyDescent="0.3">
      <c r="N4938"/>
    </row>
    <row r="4939" spans="14:14" x14ac:dyDescent="0.3">
      <c r="N4939"/>
    </row>
    <row r="4940" spans="14:14" x14ac:dyDescent="0.3">
      <c r="N4940"/>
    </row>
    <row r="4941" spans="14:14" x14ac:dyDescent="0.3">
      <c r="N4941"/>
    </row>
    <row r="4942" spans="14:14" x14ac:dyDescent="0.3">
      <c r="N4942"/>
    </row>
    <row r="4943" spans="14:14" x14ac:dyDescent="0.3">
      <c r="N4943"/>
    </row>
    <row r="4944" spans="14:14" x14ac:dyDescent="0.3">
      <c r="N4944"/>
    </row>
    <row r="4945" spans="14:14" x14ac:dyDescent="0.3">
      <c r="N4945"/>
    </row>
    <row r="4946" spans="14:14" x14ac:dyDescent="0.3">
      <c r="N4946"/>
    </row>
    <row r="4947" spans="14:14" x14ac:dyDescent="0.3">
      <c r="N4947"/>
    </row>
    <row r="4948" spans="14:14" x14ac:dyDescent="0.3">
      <c r="N4948"/>
    </row>
    <row r="4949" spans="14:14" x14ac:dyDescent="0.3">
      <c r="N4949"/>
    </row>
    <row r="4950" spans="14:14" x14ac:dyDescent="0.3">
      <c r="N4950"/>
    </row>
    <row r="4951" spans="14:14" x14ac:dyDescent="0.3">
      <c r="N4951"/>
    </row>
    <row r="4952" spans="14:14" x14ac:dyDescent="0.3">
      <c r="N4952"/>
    </row>
    <row r="4953" spans="14:14" x14ac:dyDescent="0.3">
      <c r="N4953"/>
    </row>
    <row r="4954" spans="14:14" x14ac:dyDescent="0.3">
      <c r="N4954"/>
    </row>
    <row r="4955" spans="14:14" x14ac:dyDescent="0.3">
      <c r="N4955"/>
    </row>
    <row r="4956" spans="14:14" x14ac:dyDescent="0.3">
      <c r="N4956"/>
    </row>
    <row r="4957" spans="14:14" x14ac:dyDescent="0.3">
      <c r="N4957"/>
    </row>
    <row r="4958" spans="14:14" x14ac:dyDescent="0.3">
      <c r="N4958"/>
    </row>
    <row r="4959" spans="14:14" x14ac:dyDescent="0.3">
      <c r="N4959"/>
    </row>
    <row r="4960" spans="14:14" x14ac:dyDescent="0.3">
      <c r="N4960"/>
    </row>
    <row r="4961" spans="14:14" x14ac:dyDescent="0.3">
      <c r="N4961"/>
    </row>
    <row r="4962" spans="14:14" x14ac:dyDescent="0.3">
      <c r="N4962"/>
    </row>
    <row r="4963" spans="14:14" x14ac:dyDescent="0.3">
      <c r="N4963"/>
    </row>
    <row r="4964" spans="14:14" x14ac:dyDescent="0.3">
      <c r="N4964"/>
    </row>
    <row r="4965" spans="14:14" x14ac:dyDescent="0.3">
      <c r="N4965"/>
    </row>
    <row r="4966" spans="14:14" x14ac:dyDescent="0.3">
      <c r="N4966"/>
    </row>
    <row r="4967" spans="14:14" x14ac:dyDescent="0.3">
      <c r="N4967"/>
    </row>
    <row r="4968" spans="14:14" x14ac:dyDescent="0.3">
      <c r="N4968"/>
    </row>
    <row r="4969" spans="14:14" x14ac:dyDescent="0.3">
      <c r="N4969"/>
    </row>
    <row r="4970" spans="14:14" x14ac:dyDescent="0.3">
      <c r="N4970"/>
    </row>
    <row r="4971" spans="14:14" x14ac:dyDescent="0.3">
      <c r="N4971"/>
    </row>
    <row r="4972" spans="14:14" x14ac:dyDescent="0.3">
      <c r="N4972"/>
    </row>
    <row r="4973" spans="14:14" x14ac:dyDescent="0.3">
      <c r="N4973"/>
    </row>
    <row r="4974" spans="14:14" x14ac:dyDescent="0.3">
      <c r="N4974"/>
    </row>
    <row r="4975" spans="14:14" x14ac:dyDescent="0.3">
      <c r="N4975"/>
    </row>
    <row r="4976" spans="14:14" x14ac:dyDescent="0.3">
      <c r="N4976"/>
    </row>
    <row r="4977" spans="14:14" x14ac:dyDescent="0.3">
      <c r="N4977"/>
    </row>
    <row r="4978" spans="14:14" x14ac:dyDescent="0.3">
      <c r="N4978"/>
    </row>
    <row r="4979" spans="14:14" x14ac:dyDescent="0.3">
      <c r="N4979"/>
    </row>
    <row r="4980" spans="14:14" x14ac:dyDescent="0.3">
      <c r="N4980"/>
    </row>
    <row r="4981" spans="14:14" x14ac:dyDescent="0.3">
      <c r="N4981"/>
    </row>
    <row r="4982" spans="14:14" x14ac:dyDescent="0.3">
      <c r="N4982"/>
    </row>
    <row r="4983" spans="14:14" x14ac:dyDescent="0.3">
      <c r="N4983"/>
    </row>
    <row r="4984" spans="14:14" x14ac:dyDescent="0.3">
      <c r="N4984"/>
    </row>
    <row r="4985" spans="14:14" x14ac:dyDescent="0.3">
      <c r="N4985"/>
    </row>
    <row r="4986" spans="14:14" x14ac:dyDescent="0.3">
      <c r="N4986"/>
    </row>
    <row r="4987" spans="14:14" x14ac:dyDescent="0.3">
      <c r="N4987"/>
    </row>
    <row r="4988" spans="14:14" x14ac:dyDescent="0.3">
      <c r="N4988"/>
    </row>
    <row r="4989" spans="14:14" x14ac:dyDescent="0.3">
      <c r="N4989"/>
    </row>
    <row r="4990" spans="14:14" x14ac:dyDescent="0.3">
      <c r="N4990"/>
    </row>
    <row r="4991" spans="14:14" x14ac:dyDescent="0.3">
      <c r="N4991"/>
    </row>
    <row r="4992" spans="14:14" x14ac:dyDescent="0.3">
      <c r="N4992"/>
    </row>
    <row r="4993" spans="14:14" x14ac:dyDescent="0.3">
      <c r="N4993"/>
    </row>
    <row r="4994" spans="14:14" x14ac:dyDescent="0.3">
      <c r="N4994"/>
    </row>
    <row r="4995" spans="14:14" x14ac:dyDescent="0.3">
      <c r="N4995"/>
    </row>
    <row r="4996" spans="14:14" x14ac:dyDescent="0.3">
      <c r="N4996"/>
    </row>
    <row r="4997" spans="14:14" x14ac:dyDescent="0.3">
      <c r="N4997"/>
    </row>
    <row r="4998" spans="14:14" x14ac:dyDescent="0.3">
      <c r="N4998"/>
    </row>
    <row r="4999" spans="14:14" x14ac:dyDescent="0.3">
      <c r="N4999"/>
    </row>
    <row r="5000" spans="14:14" x14ac:dyDescent="0.3">
      <c r="N5000"/>
    </row>
    <row r="5001" spans="14:14" x14ac:dyDescent="0.3">
      <c r="N5001"/>
    </row>
    <row r="5002" spans="14:14" x14ac:dyDescent="0.3">
      <c r="N5002"/>
    </row>
    <row r="5003" spans="14:14" x14ac:dyDescent="0.3">
      <c r="N5003"/>
    </row>
    <row r="5004" spans="14:14" x14ac:dyDescent="0.3">
      <c r="N5004"/>
    </row>
    <row r="5005" spans="14:14" x14ac:dyDescent="0.3">
      <c r="N5005"/>
    </row>
    <row r="5006" spans="14:14" x14ac:dyDescent="0.3">
      <c r="N5006"/>
    </row>
    <row r="5007" spans="14:14" x14ac:dyDescent="0.3">
      <c r="N5007"/>
    </row>
    <row r="5008" spans="14:14" x14ac:dyDescent="0.3">
      <c r="N5008"/>
    </row>
    <row r="5009" spans="14:14" x14ac:dyDescent="0.3">
      <c r="N5009"/>
    </row>
    <row r="5010" spans="14:14" x14ac:dyDescent="0.3">
      <c r="N5010"/>
    </row>
    <row r="5011" spans="14:14" x14ac:dyDescent="0.3">
      <c r="N5011"/>
    </row>
    <row r="5012" spans="14:14" x14ac:dyDescent="0.3">
      <c r="N5012"/>
    </row>
    <row r="5013" spans="14:14" x14ac:dyDescent="0.3">
      <c r="N5013"/>
    </row>
    <row r="5014" spans="14:14" x14ac:dyDescent="0.3">
      <c r="N5014"/>
    </row>
    <row r="5015" spans="14:14" x14ac:dyDescent="0.3">
      <c r="N5015"/>
    </row>
    <row r="5016" spans="14:14" x14ac:dyDescent="0.3">
      <c r="N5016"/>
    </row>
    <row r="5017" spans="14:14" x14ac:dyDescent="0.3">
      <c r="N5017"/>
    </row>
    <row r="5018" spans="14:14" x14ac:dyDescent="0.3">
      <c r="N5018"/>
    </row>
    <row r="5019" spans="14:14" x14ac:dyDescent="0.3">
      <c r="N5019"/>
    </row>
    <row r="5020" spans="14:14" x14ac:dyDescent="0.3">
      <c r="N5020"/>
    </row>
    <row r="5021" spans="14:14" x14ac:dyDescent="0.3">
      <c r="N5021"/>
    </row>
    <row r="5022" spans="14:14" x14ac:dyDescent="0.3">
      <c r="N5022"/>
    </row>
    <row r="5023" spans="14:14" x14ac:dyDescent="0.3">
      <c r="N5023"/>
    </row>
    <row r="5024" spans="14:14" x14ac:dyDescent="0.3">
      <c r="N5024"/>
    </row>
    <row r="5025" spans="14:14" x14ac:dyDescent="0.3">
      <c r="N5025"/>
    </row>
    <row r="5026" spans="14:14" x14ac:dyDescent="0.3">
      <c r="N5026"/>
    </row>
    <row r="5027" spans="14:14" x14ac:dyDescent="0.3">
      <c r="N5027"/>
    </row>
    <row r="5028" spans="14:14" x14ac:dyDescent="0.3">
      <c r="N5028"/>
    </row>
    <row r="5029" spans="14:14" x14ac:dyDescent="0.3">
      <c r="N5029"/>
    </row>
    <row r="5030" spans="14:14" x14ac:dyDescent="0.3">
      <c r="N5030"/>
    </row>
    <row r="5031" spans="14:14" x14ac:dyDescent="0.3">
      <c r="N5031"/>
    </row>
    <row r="5032" spans="14:14" x14ac:dyDescent="0.3">
      <c r="N5032"/>
    </row>
    <row r="5033" spans="14:14" x14ac:dyDescent="0.3">
      <c r="N5033"/>
    </row>
    <row r="5034" spans="14:14" x14ac:dyDescent="0.3">
      <c r="N5034"/>
    </row>
    <row r="5035" spans="14:14" x14ac:dyDescent="0.3">
      <c r="N5035"/>
    </row>
    <row r="5036" spans="14:14" x14ac:dyDescent="0.3">
      <c r="N5036"/>
    </row>
    <row r="5037" spans="14:14" x14ac:dyDescent="0.3">
      <c r="N5037"/>
    </row>
    <row r="5038" spans="14:14" x14ac:dyDescent="0.3">
      <c r="N5038"/>
    </row>
    <row r="5039" spans="14:14" x14ac:dyDescent="0.3">
      <c r="N5039"/>
    </row>
    <row r="5040" spans="14:14" x14ac:dyDescent="0.3">
      <c r="N5040"/>
    </row>
    <row r="5041" spans="14:14" x14ac:dyDescent="0.3">
      <c r="N5041"/>
    </row>
    <row r="5042" spans="14:14" x14ac:dyDescent="0.3">
      <c r="N5042"/>
    </row>
    <row r="5043" spans="14:14" x14ac:dyDescent="0.3">
      <c r="N5043"/>
    </row>
    <row r="5044" spans="14:14" x14ac:dyDescent="0.3">
      <c r="N5044"/>
    </row>
    <row r="5045" spans="14:14" x14ac:dyDescent="0.3">
      <c r="N5045"/>
    </row>
    <row r="5046" spans="14:14" x14ac:dyDescent="0.3">
      <c r="N5046"/>
    </row>
    <row r="5047" spans="14:14" x14ac:dyDescent="0.3">
      <c r="N5047"/>
    </row>
    <row r="5048" spans="14:14" x14ac:dyDescent="0.3">
      <c r="N5048"/>
    </row>
    <row r="5049" spans="14:14" x14ac:dyDescent="0.3">
      <c r="N5049"/>
    </row>
    <row r="5050" spans="14:14" x14ac:dyDescent="0.3">
      <c r="N5050"/>
    </row>
    <row r="5051" spans="14:14" x14ac:dyDescent="0.3">
      <c r="N5051"/>
    </row>
    <row r="5052" spans="14:14" x14ac:dyDescent="0.3">
      <c r="N5052"/>
    </row>
    <row r="5053" spans="14:14" x14ac:dyDescent="0.3">
      <c r="N5053"/>
    </row>
    <row r="5054" spans="14:14" x14ac:dyDescent="0.3">
      <c r="N5054"/>
    </row>
    <row r="5055" spans="14:14" x14ac:dyDescent="0.3">
      <c r="N5055"/>
    </row>
    <row r="5056" spans="14:14" x14ac:dyDescent="0.3">
      <c r="N5056"/>
    </row>
    <row r="5057" spans="14:14" x14ac:dyDescent="0.3">
      <c r="N5057"/>
    </row>
    <row r="5058" spans="14:14" x14ac:dyDescent="0.3">
      <c r="N5058"/>
    </row>
    <row r="5059" spans="14:14" x14ac:dyDescent="0.3">
      <c r="N5059"/>
    </row>
    <row r="5060" spans="14:14" x14ac:dyDescent="0.3">
      <c r="N5060"/>
    </row>
    <row r="5061" spans="14:14" x14ac:dyDescent="0.3">
      <c r="N5061"/>
    </row>
    <row r="5062" spans="14:14" x14ac:dyDescent="0.3">
      <c r="N5062"/>
    </row>
    <row r="5063" spans="14:14" x14ac:dyDescent="0.3">
      <c r="N5063"/>
    </row>
    <row r="5064" spans="14:14" x14ac:dyDescent="0.3">
      <c r="N5064"/>
    </row>
    <row r="5065" spans="14:14" x14ac:dyDescent="0.3">
      <c r="N5065"/>
    </row>
    <row r="5066" spans="14:14" x14ac:dyDescent="0.3">
      <c r="N5066"/>
    </row>
    <row r="5067" spans="14:14" x14ac:dyDescent="0.3">
      <c r="N5067"/>
    </row>
    <row r="5068" spans="14:14" x14ac:dyDescent="0.3">
      <c r="N5068"/>
    </row>
    <row r="5069" spans="14:14" x14ac:dyDescent="0.3">
      <c r="N5069"/>
    </row>
    <row r="5070" spans="14:14" x14ac:dyDescent="0.3">
      <c r="N5070"/>
    </row>
    <row r="5071" spans="14:14" x14ac:dyDescent="0.3">
      <c r="N5071"/>
    </row>
    <row r="5072" spans="14:14" x14ac:dyDescent="0.3">
      <c r="N5072"/>
    </row>
    <row r="5073" spans="14:14" x14ac:dyDescent="0.3">
      <c r="N5073"/>
    </row>
    <row r="5074" spans="14:14" x14ac:dyDescent="0.3">
      <c r="N5074"/>
    </row>
    <row r="5075" spans="14:14" x14ac:dyDescent="0.3">
      <c r="N5075"/>
    </row>
    <row r="5076" spans="14:14" x14ac:dyDescent="0.3">
      <c r="N5076"/>
    </row>
    <row r="5077" spans="14:14" x14ac:dyDescent="0.3">
      <c r="N5077"/>
    </row>
    <row r="5078" spans="14:14" x14ac:dyDescent="0.3">
      <c r="N5078"/>
    </row>
    <row r="5079" spans="14:14" x14ac:dyDescent="0.3">
      <c r="N5079"/>
    </row>
    <row r="5080" spans="14:14" x14ac:dyDescent="0.3">
      <c r="N5080"/>
    </row>
    <row r="5081" spans="14:14" x14ac:dyDescent="0.3">
      <c r="N5081"/>
    </row>
    <row r="5082" spans="14:14" x14ac:dyDescent="0.3">
      <c r="N5082"/>
    </row>
    <row r="5083" spans="14:14" x14ac:dyDescent="0.3">
      <c r="N5083"/>
    </row>
    <row r="5084" spans="14:14" x14ac:dyDescent="0.3">
      <c r="N5084"/>
    </row>
    <row r="5085" spans="14:14" x14ac:dyDescent="0.3">
      <c r="N5085"/>
    </row>
    <row r="5086" spans="14:14" x14ac:dyDescent="0.3">
      <c r="N5086"/>
    </row>
    <row r="5087" spans="14:14" x14ac:dyDescent="0.3">
      <c r="N5087"/>
    </row>
    <row r="5088" spans="14:14" x14ac:dyDescent="0.3">
      <c r="N5088"/>
    </row>
    <row r="5089" spans="14:14" x14ac:dyDescent="0.3">
      <c r="N5089"/>
    </row>
    <row r="5090" spans="14:14" x14ac:dyDescent="0.3">
      <c r="N5090"/>
    </row>
    <row r="5091" spans="14:14" x14ac:dyDescent="0.3">
      <c r="N5091"/>
    </row>
    <row r="5092" spans="14:14" x14ac:dyDescent="0.3">
      <c r="N5092"/>
    </row>
    <row r="5093" spans="14:14" x14ac:dyDescent="0.3">
      <c r="N5093"/>
    </row>
    <row r="5094" spans="14:14" x14ac:dyDescent="0.3">
      <c r="N5094"/>
    </row>
    <row r="5095" spans="14:14" x14ac:dyDescent="0.3">
      <c r="N5095"/>
    </row>
    <row r="5096" spans="14:14" x14ac:dyDescent="0.3">
      <c r="N5096"/>
    </row>
    <row r="5097" spans="14:14" x14ac:dyDescent="0.3">
      <c r="N5097"/>
    </row>
    <row r="5098" spans="14:14" x14ac:dyDescent="0.3">
      <c r="N5098"/>
    </row>
    <row r="5099" spans="14:14" x14ac:dyDescent="0.3">
      <c r="N5099"/>
    </row>
    <row r="5100" spans="14:14" x14ac:dyDescent="0.3">
      <c r="N5100"/>
    </row>
    <row r="5101" spans="14:14" x14ac:dyDescent="0.3">
      <c r="N5101"/>
    </row>
    <row r="5102" spans="14:14" x14ac:dyDescent="0.3">
      <c r="N5102"/>
    </row>
    <row r="5103" spans="14:14" x14ac:dyDescent="0.3">
      <c r="N5103"/>
    </row>
    <row r="5104" spans="14:14" x14ac:dyDescent="0.3">
      <c r="N5104"/>
    </row>
    <row r="5105" spans="14:14" x14ac:dyDescent="0.3">
      <c r="N5105"/>
    </row>
    <row r="5106" spans="14:14" x14ac:dyDescent="0.3">
      <c r="N5106"/>
    </row>
    <row r="5107" spans="14:14" x14ac:dyDescent="0.3">
      <c r="N5107"/>
    </row>
    <row r="5108" spans="14:14" x14ac:dyDescent="0.3">
      <c r="N5108"/>
    </row>
    <row r="5109" spans="14:14" x14ac:dyDescent="0.3">
      <c r="N5109"/>
    </row>
    <row r="5110" spans="14:14" x14ac:dyDescent="0.3">
      <c r="N5110"/>
    </row>
    <row r="5111" spans="14:14" x14ac:dyDescent="0.3">
      <c r="N5111"/>
    </row>
    <row r="5112" spans="14:14" x14ac:dyDescent="0.3">
      <c r="N5112"/>
    </row>
    <row r="5113" spans="14:14" x14ac:dyDescent="0.3">
      <c r="N5113"/>
    </row>
    <row r="5114" spans="14:14" x14ac:dyDescent="0.3">
      <c r="N5114"/>
    </row>
    <row r="5115" spans="14:14" x14ac:dyDescent="0.3">
      <c r="N5115"/>
    </row>
    <row r="5116" spans="14:14" x14ac:dyDescent="0.3">
      <c r="N5116"/>
    </row>
    <row r="5117" spans="14:14" x14ac:dyDescent="0.3">
      <c r="N5117"/>
    </row>
    <row r="5118" spans="14:14" x14ac:dyDescent="0.3">
      <c r="N5118"/>
    </row>
    <row r="5119" spans="14:14" x14ac:dyDescent="0.3">
      <c r="N5119"/>
    </row>
    <row r="5120" spans="14:14" x14ac:dyDescent="0.3">
      <c r="N5120"/>
    </row>
    <row r="5121" spans="14:14" x14ac:dyDescent="0.3">
      <c r="N5121"/>
    </row>
    <row r="5122" spans="14:14" x14ac:dyDescent="0.3">
      <c r="N5122"/>
    </row>
    <row r="5123" spans="14:14" x14ac:dyDescent="0.3">
      <c r="N5123"/>
    </row>
    <row r="5124" spans="14:14" x14ac:dyDescent="0.3">
      <c r="N5124"/>
    </row>
    <row r="5125" spans="14:14" x14ac:dyDescent="0.3">
      <c r="N5125"/>
    </row>
    <row r="5126" spans="14:14" x14ac:dyDescent="0.3">
      <c r="N5126"/>
    </row>
    <row r="5127" spans="14:14" x14ac:dyDescent="0.3">
      <c r="N5127"/>
    </row>
    <row r="5128" spans="14:14" x14ac:dyDescent="0.3">
      <c r="N5128"/>
    </row>
    <row r="5129" spans="14:14" x14ac:dyDescent="0.3">
      <c r="N5129"/>
    </row>
    <row r="5130" spans="14:14" x14ac:dyDescent="0.3">
      <c r="N5130"/>
    </row>
    <row r="5131" spans="14:14" x14ac:dyDescent="0.3">
      <c r="N5131"/>
    </row>
    <row r="5132" spans="14:14" x14ac:dyDescent="0.3">
      <c r="N5132"/>
    </row>
    <row r="5133" spans="14:14" x14ac:dyDescent="0.3">
      <c r="N5133"/>
    </row>
    <row r="5134" spans="14:14" x14ac:dyDescent="0.3">
      <c r="N5134"/>
    </row>
    <row r="5135" spans="14:14" x14ac:dyDescent="0.3">
      <c r="N5135"/>
    </row>
    <row r="5136" spans="14:14" x14ac:dyDescent="0.3">
      <c r="N5136"/>
    </row>
    <row r="5137" spans="14:14" x14ac:dyDescent="0.3">
      <c r="N5137"/>
    </row>
    <row r="5138" spans="14:14" x14ac:dyDescent="0.3">
      <c r="N5138"/>
    </row>
    <row r="5139" spans="14:14" x14ac:dyDescent="0.3">
      <c r="N5139"/>
    </row>
    <row r="5140" spans="14:14" x14ac:dyDescent="0.3">
      <c r="N5140"/>
    </row>
    <row r="5141" spans="14:14" x14ac:dyDescent="0.3">
      <c r="N5141"/>
    </row>
    <row r="5142" spans="14:14" x14ac:dyDescent="0.3">
      <c r="N5142"/>
    </row>
    <row r="5143" spans="14:14" x14ac:dyDescent="0.3">
      <c r="N5143"/>
    </row>
    <row r="5144" spans="14:14" x14ac:dyDescent="0.3">
      <c r="N5144"/>
    </row>
    <row r="5145" spans="14:14" x14ac:dyDescent="0.3">
      <c r="N5145"/>
    </row>
    <row r="5146" spans="14:14" x14ac:dyDescent="0.3">
      <c r="N5146"/>
    </row>
    <row r="5147" spans="14:14" x14ac:dyDescent="0.3">
      <c r="N5147"/>
    </row>
    <row r="5148" spans="14:14" x14ac:dyDescent="0.3">
      <c r="N5148"/>
    </row>
    <row r="5149" spans="14:14" x14ac:dyDescent="0.3">
      <c r="N5149"/>
    </row>
    <row r="5150" spans="14:14" x14ac:dyDescent="0.3">
      <c r="N5150"/>
    </row>
    <row r="5151" spans="14:14" x14ac:dyDescent="0.3">
      <c r="N5151"/>
    </row>
    <row r="5152" spans="14:14" x14ac:dyDescent="0.3">
      <c r="N5152"/>
    </row>
    <row r="5153" spans="14:14" x14ac:dyDescent="0.3">
      <c r="N5153"/>
    </row>
    <row r="5154" spans="14:14" x14ac:dyDescent="0.3">
      <c r="N5154"/>
    </row>
    <row r="5155" spans="14:14" x14ac:dyDescent="0.3">
      <c r="N5155"/>
    </row>
    <row r="5156" spans="14:14" x14ac:dyDescent="0.3">
      <c r="N5156"/>
    </row>
    <row r="5157" spans="14:14" x14ac:dyDescent="0.3">
      <c r="N5157"/>
    </row>
    <row r="5158" spans="14:14" x14ac:dyDescent="0.3">
      <c r="N5158"/>
    </row>
    <row r="5159" spans="14:14" x14ac:dyDescent="0.3">
      <c r="N5159"/>
    </row>
    <row r="5160" spans="14:14" x14ac:dyDescent="0.3">
      <c r="N5160"/>
    </row>
    <row r="5161" spans="14:14" x14ac:dyDescent="0.3">
      <c r="N5161"/>
    </row>
    <row r="5162" spans="14:14" x14ac:dyDescent="0.3">
      <c r="N5162"/>
    </row>
    <row r="5163" spans="14:14" x14ac:dyDescent="0.3">
      <c r="N5163"/>
    </row>
    <row r="5164" spans="14:14" x14ac:dyDescent="0.3">
      <c r="N5164"/>
    </row>
    <row r="5165" spans="14:14" x14ac:dyDescent="0.3">
      <c r="N5165"/>
    </row>
    <row r="5166" spans="14:14" x14ac:dyDescent="0.3">
      <c r="N5166"/>
    </row>
    <row r="5167" spans="14:14" x14ac:dyDescent="0.3">
      <c r="N5167"/>
    </row>
    <row r="5168" spans="14:14" x14ac:dyDescent="0.3">
      <c r="N5168"/>
    </row>
    <row r="5169" spans="14:14" x14ac:dyDescent="0.3">
      <c r="N5169"/>
    </row>
    <row r="5170" spans="14:14" x14ac:dyDescent="0.3">
      <c r="N5170"/>
    </row>
    <row r="5171" spans="14:14" x14ac:dyDescent="0.3">
      <c r="N5171"/>
    </row>
    <row r="5172" spans="14:14" x14ac:dyDescent="0.3">
      <c r="N5172"/>
    </row>
    <row r="5173" spans="14:14" x14ac:dyDescent="0.3">
      <c r="N5173"/>
    </row>
    <row r="5174" spans="14:14" x14ac:dyDescent="0.3">
      <c r="N5174"/>
    </row>
    <row r="5175" spans="14:14" x14ac:dyDescent="0.3">
      <c r="N5175"/>
    </row>
    <row r="5176" spans="14:14" x14ac:dyDescent="0.3">
      <c r="N5176"/>
    </row>
    <row r="5177" spans="14:14" x14ac:dyDescent="0.3">
      <c r="N5177"/>
    </row>
    <row r="5178" spans="14:14" x14ac:dyDescent="0.3">
      <c r="N5178"/>
    </row>
    <row r="5179" spans="14:14" x14ac:dyDescent="0.3">
      <c r="N5179"/>
    </row>
    <row r="5180" spans="14:14" x14ac:dyDescent="0.3">
      <c r="N5180"/>
    </row>
    <row r="5181" spans="14:14" x14ac:dyDescent="0.3">
      <c r="N5181"/>
    </row>
    <row r="5182" spans="14:14" x14ac:dyDescent="0.3">
      <c r="N5182"/>
    </row>
    <row r="5183" spans="14:14" x14ac:dyDescent="0.3">
      <c r="N5183"/>
    </row>
    <row r="5184" spans="14:14" x14ac:dyDescent="0.3">
      <c r="N5184"/>
    </row>
    <row r="5185" spans="14:14" x14ac:dyDescent="0.3">
      <c r="N5185"/>
    </row>
    <row r="5186" spans="14:14" x14ac:dyDescent="0.3">
      <c r="N5186"/>
    </row>
    <row r="5187" spans="14:14" x14ac:dyDescent="0.3">
      <c r="N5187"/>
    </row>
    <row r="5188" spans="14:14" x14ac:dyDescent="0.3">
      <c r="N5188"/>
    </row>
    <row r="5189" spans="14:14" x14ac:dyDescent="0.3">
      <c r="N5189"/>
    </row>
    <row r="5190" spans="14:14" x14ac:dyDescent="0.3">
      <c r="N5190"/>
    </row>
    <row r="5191" spans="14:14" x14ac:dyDescent="0.3">
      <c r="N5191"/>
    </row>
    <row r="5192" spans="14:14" x14ac:dyDescent="0.3">
      <c r="N5192"/>
    </row>
    <row r="5193" spans="14:14" x14ac:dyDescent="0.3">
      <c r="N5193"/>
    </row>
    <row r="5194" spans="14:14" x14ac:dyDescent="0.3">
      <c r="N5194"/>
    </row>
    <row r="5195" spans="14:14" x14ac:dyDescent="0.3">
      <c r="N5195"/>
    </row>
    <row r="5196" spans="14:14" x14ac:dyDescent="0.3">
      <c r="N5196"/>
    </row>
    <row r="5197" spans="14:14" x14ac:dyDescent="0.3">
      <c r="N5197"/>
    </row>
    <row r="5198" spans="14:14" x14ac:dyDescent="0.3">
      <c r="N5198"/>
    </row>
    <row r="5199" spans="14:14" x14ac:dyDescent="0.3">
      <c r="N5199"/>
    </row>
    <row r="5200" spans="14:14" x14ac:dyDescent="0.3">
      <c r="N5200"/>
    </row>
    <row r="5201" spans="14:14" x14ac:dyDescent="0.3">
      <c r="N5201"/>
    </row>
    <row r="5202" spans="14:14" x14ac:dyDescent="0.3">
      <c r="N5202"/>
    </row>
    <row r="5203" spans="14:14" x14ac:dyDescent="0.3">
      <c r="N5203"/>
    </row>
    <row r="5204" spans="14:14" x14ac:dyDescent="0.3">
      <c r="N5204"/>
    </row>
    <row r="5205" spans="14:14" x14ac:dyDescent="0.3">
      <c r="N5205"/>
    </row>
    <row r="5206" spans="14:14" x14ac:dyDescent="0.3">
      <c r="N5206"/>
    </row>
    <row r="5207" spans="14:14" x14ac:dyDescent="0.3">
      <c r="N5207"/>
    </row>
    <row r="5208" spans="14:14" x14ac:dyDescent="0.3">
      <c r="N5208"/>
    </row>
    <row r="5209" spans="14:14" x14ac:dyDescent="0.3">
      <c r="N5209"/>
    </row>
    <row r="5210" spans="14:14" x14ac:dyDescent="0.3">
      <c r="N5210"/>
    </row>
    <row r="5211" spans="14:14" x14ac:dyDescent="0.3">
      <c r="N5211"/>
    </row>
    <row r="5212" spans="14:14" x14ac:dyDescent="0.3">
      <c r="N5212"/>
    </row>
    <row r="5213" spans="14:14" x14ac:dyDescent="0.3">
      <c r="N5213"/>
    </row>
    <row r="5214" spans="14:14" x14ac:dyDescent="0.3">
      <c r="N5214"/>
    </row>
    <row r="5215" spans="14:14" x14ac:dyDescent="0.3">
      <c r="N5215"/>
    </row>
    <row r="5216" spans="14:14" x14ac:dyDescent="0.3">
      <c r="N5216"/>
    </row>
    <row r="5217" spans="14:14" x14ac:dyDescent="0.3">
      <c r="N5217"/>
    </row>
    <row r="5218" spans="14:14" x14ac:dyDescent="0.3">
      <c r="N5218"/>
    </row>
    <row r="5219" spans="14:14" x14ac:dyDescent="0.3">
      <c r="N5219"/>
    </row>
    <row r="5220" spans="14:14" x14ac:dyDescent="0.3">
      <c r="N5220"/>
    </row>
    <row r="5221" spans="14:14" x14ac:dyDescent="0.3">
      <c r="N5221"/>
    </row>
    <row r="5222" spans="14:14" x14ac:dyDescent="0.3">
      <c r="N5222"/>
    </row>
    <row r="5223" spans="14:14" x14ac:dyDescent="0.3">
      <c r="N5223"/>
    </row>
    <row r="5224" spans="14:14" x14ac:dyDescent="0.3">
      <c r="N5224"/>
    </row>
    <row r="5225" spans="14:14" x14ac:dyDescent="0.3">
      <c r="N5225"/>
    </row>
    <row r="5226" spans="14:14" x14ac:dyDescent="0.3">
      <c r="N5226"/>
    </row>
    <row r="5227" spans="14:14" x14ac:dyDescent="0.3">
      <c r="N5227"/>
    </row>
    <row r="5228" spans="14:14" x14ac:dyDescent="0.3">
      <c r="N5228"/>
    </row>
    <row r="5229" spans="14:14" x14ac:dyDescent="0.3">
      <c r="N5229"/>
    </row>
    <row r="5230" spans="14:14" x14ac:dyDescent="0.3">
      <c r="N5230"/>
    </row>
    <row r="5231" spans="14:14" x14ac:dyDescent="0.3">
      <c r="N5231"/>
    </row>
    <row r="5232" spans="14:14" x14ac:dyDescent="0.3">
      <c r="N5232"/>
    </row>
    <row r="5233" spans="14:14" x14ac:dyDescent="0.3">
      <c r="N5233"/>
    </row>
    <row r="5234" spans="14:14" x14ac:dyDescent="0.3">
      <c r="N5234"/>
    </row>
    <row r="5235" spans="14:14" x14ac:dyDescent="0.3">
      <c r="N5235"/>
    </row>
    <row r="5236" spans="14:14" x14ac:dyDescent="0.3">
      <c r="N5236"/>
    </row>
    <row r="5237" spans="14:14" x14ac:dyDescent="0.3">
      <c r="N5237"/>
    </row>
    <row r="5238" spans="14:14" x14ac:dyDescent="0.3">
      <c r="N5238"/>
    </row>
    <row r="5239" spans="14:14" x14ac:dyDescent="0.3">
      <c r="N5239"/>
    </row>
    <row r="5240" spans="14:14" x14ac:dyDescent="0.3">
      <c r="N5240"/>
    </row>
    <row r="5241" spans="14:14" x14ac:dyDescent="0.3">
      <c r="N5241"/>
    </row>
    <row r="5242" spans="14:14" x14ac:dyDescent="0.3">
      <c r="N5242"/>
    </row>
    <row r="5243" spans="14:14" x14ac:dyDescent="0.3">
      <c r="N5243"/>
    </row>
    <row r="5244" spans="14:14" x14ac:dyDescent="0.3">
      <c r="N5244"/>
    </row>
    <row r="5245" spans="14:14" x14ac:dyDescent="0.3">
      <c r="N5245"/>
    </row>
    <row r="5246" spans="14:14" x14ac:dyDescent="0.3">
      <c r="N5246"/>
    </row>
    <row r="5247" spans="14:14" x14ac:dyDescent="0.3">
      <c r="N5247"/>
    </row>
    <row r="5248" spans="14:14" x14ac:dyDescent="0.3">
      <c r="N5248"/>
    </row>
    <row r="5249" spans="14:14" x14ac:dyDescent="0.3">
      <c r="N5249"/>
    </row>
    <row r="5250" spans="14:14" x14ac:dyDescent="0.3">
      <c r="N5250"/>
    </row>
    <row r="5251" spans="14:14" x14ac:dyDescent="0.3">
      <c r="N5251"/>
    </row>
    <row r="5252" spans="14:14" x14ac:dyDescent="0.3">
      <c r="N5252"/>
    </row>
    <row r="5253" spans="14:14" x14ac:dyDescent="0.3">
      <c r="N5253"/>
    </row>
    <row r="5254" spans="14:14" x14ac:dyDescent="0.3">
      <c r="N5254"/>
    </row>
    <row r="5255" spans="14:14" x14ac:dyDescent="0.3">
      <c r="N5255"/>
    </row>
    <row r="5256" spans="14:14" x14ac:dyDescent="0.3">
      <c r="N5256"/>
    </row>
    <row r="5257" spans="14:14" x14ac:dyDescent="0.3">
      <c r="N5257"/>
    </row>
    <row r="5258" spans="14:14" x14ac:dyDescent="0.3">
      <c r="N5258"/>
    </row>
    <row r="5259" spans="14:14" x14ac:dyDescent="0.3">
      <c r="N5259"/>
    </row>
    <row r="5260" spans="14:14" x14ac:dyDescent="0.3">
      <c r="N5260"/>
    </row>
    <row r="5261" spans="14:14" x14ac:dyDescent="0.3">
      <c r="N5261"/>
    </row>
    <row r="5262" spans="14:14" x14ac:dyDescent="0.3">
      <c r="N5262"/>
    </row>
    <row r="5263" spans="14:14" x14ac:dyDescent="0.3">
      <c r="N5263"/>
    </row>
    <row r="5264" spans="14:14" x14ac:dyDescent="0.3">
      <c r="N5264"/>
    </row>
    <row r="5265" spans="14:14" x14ac:dyDescent="0.3">
      <c r="N5265"/>
    </row>
    <row r="5266" spans="14:14" x14ac:dyDescent="0.3">
      <c r="N5266"/>
    </row>
    <row r="5267" spans="14:14" x14ac:dyDescent="0.3">
      <c r="N5267"/>
    </row>
    <row r="5268" spans="14:14" x14ac:dyDescent="0.3">
      <c r="N5268"/>
    </row>
    <row r="5269" spans="14:14" x14ac:dyDescent="0.3">
      <c r="N5269"/>
    </row>
    <row r="5270" spans="14:14" x14ac:dyDescent="0.3">
      <c r="N5270"/>
    </row>
    <row r="5271" spans="14:14" x14ac:dyDescent="0.3">
      <c r="N5271"/>
    </row>
    <row r="5272" spans="14:14" x14ac:dyDescent="0.3">
      <c r="N5272"/>
    </row>
    <row r="5273" spans="14:14" x14ac:dyDescent="0.3">
      <c r="N5273"/>
    </row>
    <row r="5274" spans="14:14" x14ac:dyDescent="0.3">
      <c r="N5274"/>
    </row>
    <row r="5275" spans="14:14" x14ac:dyDescent="0.3">
      <c r="N5275"/>
    </row>
    <row r="5276" spans="14:14" x14ac:dyDescent="0.3">
      <c r="N5276"/>
    </row>
    <row r="5277" spans="14:14" x14ac:dyDescent="0.3">
      <c r="N5277"/>
    </row>
    <row r="5278" spans="14:14" x14ac:dyDescent="0.3">
      <c r="N5278"/>
    </row>
    <row r="5279" spans="14:14" x14ac:dyDescent="0.3">
      <c r="N5279"/>
    </row>
    <row r="5280" spans="14:14" x14ac:dyDescent="0.3">
      <c r="N5280"/>
    </row>
    <row r="5281" spans="14:14" x14ac:dyDescent="0.3">
      <c r="N5281"/>
    </row>
    <row r="5282" spans="14:14" x14ac:dyDescent="0.3">
      <c r="N5282"/>
    </row>
    <row r="5283" spans="14:14" x14ac:dyDescent="0.3">
      <c r="N5283"/>
    </row>
    <row r="5284" spans="14:14" x14ac:dyDescent="0.3">
      <c r="N5284"/>
    </row>
    <row r="5285" spans="14:14" x14ac:dyDescent="0.3">
      <c r="N5285"/>
    </row>
    <row r="5286" spans="14:14" x14ac:dyDescent="0.3">
      <c r="N5286"/>
    </row>
    <row r="5287" spans="14:14" x14ac:dyDescent="0.3">
      <c r="N5287"/>
    </row>
    <row r="5288" spans="14:14" x14ac:dyDescent="0.3">
      <c r="N5288"/>
    </row>
    <row r="5289" spans="14:14" x14ac:dyDescent="0.3">
      <c r="N5289"/>
    </row>
    <row r="5290" spans="14:14" x14ac:dyDescent="0.3">
      <c r="N5290"/>
    </row>
    <row r="5291" spans="14:14" x14ac:dyDescent="0.3">
      <c r="N5291"/>
    </row>
    <row r="5292" spans="14:14" x14ac:dyDescent="0.3">
      <c r="N5292"/>
    </row>
    <row r="5293" spans="14:14" x14ac:dyDescent="0.3">
      <c r="N5293"/>
    </row>
    <row r="5294" spans="14:14" x14ac:dyDescent="0.3">
      <c r="N5294"/>
    </row>
    <row r="5295" spans="14:14" x14ac:dyDescent="0.3">
      <c r="N5295"/>
    </row>
    <row r="5296" spans="14:14" x14ac:dyDescent="0.3">
      <c r="N5296"/>
    </row>
    <row r="5297" spans="14:14" x14ac:dyDescent="0.3">
      <c r="N5297"/>
    </row>
    <row r="5298" spans="14:14" x14ac:dyDescent="0.3">
      <c r="N5298"/>
    </row>
    <row r="5299" spans="14:14" x14ac:dyDescent="0.3">
      <c r="N5299"/>
    </row>
    <row r="5300" spans="14:14" x14ac:dyDescent="0.3">
      <c r="N5300"/>
    </row>
    <row r="5301" spans="14:14" x14ac:dyDescent="0.3">
      <c r="N5301"/>
    </row>
    <row r="5302" spans="14:14" x14ac:dyDescent="0.3">
      <c r="N5302"/>
    </row>
    <row r="5303" spans="14:14" x14ac:dyDescent="0.3">
      <c r="N5303"/>
    </row>
    <row r="5304" spans="14:14" x14ac:dyDescent="0.3">
      <c r="N5304"/>
    </row>
    <row r="5305" spans="14:14" x14ac:dyDescent="0.3">
      <c r="N5305"/>
    </row>
    <row r="5306" spans="14:14" x14ac:dyDescent="0.3">
      <c r="N5306"/>
    </row>
    <row r="5307" spans="14:14" x14ac:dyDescent="0.3">
      <c r="N5307"/>
    </row>
    <row r="5308" spans="14:14" x14ac:dyDescent="0.3">
      <c r="N5308"/>
    </row>
    <row r="5309" spans="14:14" x14ac:dyDescent="0.3">
      <c r="N5309"/>
    </row>
    <row r="5310" spans="14:14" x14ac:dyDescent="0.3">
      <c r="N5310"/>
    </row>
    <row r="5311" spans="14:14" x14ac:dyDescent="0.3">
      <c r="N5311"/>
    </row>
    <row r="5312" spans="14:14" x14ac:dyDescent="0.3">
      <c r="N5312"/>
    </row>
    <row r="5313" spans="14:14" x14ac:dyDescent="0.3">
      <c r="N5313"/>
    </row>
    <row r="5314" spans="14:14" x14ac:dyDescent="0.3">
      <c r="N5314"/>
    </row>
    <row r="5315" spans="14:14" x14ac:dyDescent="0.3">
      <c r="N5315"/>
    </row>
    <row r="5316" spans="14:14" x14ac:dyDescent="0.3">
      <c r="N5316"/>
    </row>
    <row r="5317" spans="14:14" x14ac:dyDescent="0.3">
      <c r="N5317"/>
    </row>
    <row r="5318" spans="14:14" x14ac:dyDescent="0.3">
      <c r="N5318"/>
    </row>
    <row r="5319" spans="14:14" x14ac:dyDescent="0.3">
      <c r="N5319"/>
    </row>
    <row r="5320" spans="14:14" x14ac:dyDescent="0.3">
      <c r="N5320"/>
    </row>
    <row r="5321" spans="14:14" x14ac:dyDescent="0.3">
      <c r="N5321"/>
    </row>
    <row r="5322" spans="14:14" x14ac:dyDescent="0.3">
      <c r="N5322"/>
    </row>
    <row r="5323" spans="14:14" x14ac:dyDescent="0.3">
      <c r="N5323"/>
    </row>
    <row r="5324" spans="14:14" x14ac:dyDescent="0.3">
      <c r="N5324"/>
    </row>
    <row r="5325" spans="14:14" x14ac:dyDescent="0.3">
      <c r="N5325"/>
    </row>
    <row r="5326" spans="14:14" x14ac:dyDescent="0.3">
      <c r="N5326"/>
    </row>
    <row r="5327" spans="14:14" x14ac:dyDescent="0.3">
      <c r="N5327"/>
    </row>
    <row r="5328" spans="14:14" x14ac:dyDescent="0.3">
      <c r="N5328"/>
    </row>
    <row r="5329" spans="14:14" x14ac:dyDescent="0.3">
      <c r="N5329"/>
    </row>
    <row r="5330" spans="14:14" x14ac:dyDescent="0.3">
      <c r="N5330"/>
    </row>
    <row r="5331" spans="14:14" x14ac:dyDescent="0.3">
      <c r="N5331"/>
    </row>
    <row r="5332" spans="14:14" x14ac:dyDescent="0.3">
      <c r="N5332"/>
    </row>
    <row r="5333" spans="14:14" x14ac:dyDescent="0.3">
      <c r="N5333"/>
    </row>
    <row r="5334" spans="14:14" x14ac:dyDescent="0.3">
      <c r="N5334"/>
    </row>
    <row r="5335" spans="14:14" x14ac:dyDescent="0.3">
      <c r="N5335"/>
    </row>
    <row r="5336" spans="14:14" x14ac:dyDescent="0.3">
      <c r="N5336"/>
    </row>
    <row r="5337" spans="14:14" x14ac:dyDescent="0.3">
      <c r="N5337"/>
    </row>
    <row r="5338" spans="14:14" x14ac:dyDescent="0.3">
      <c r="N5338"/>
    </row>
    <row r="5339" spans="14:14" x14ac:dyDescent="0.3">
      <c r="N5339"/>
    </row>
    <row r="5340" spans="14:14" x14ac:dyDescent="0.3">
      <c r="N5340"/>
    </row>
    <row r="5341" spans="14:14" x14ac:dyDescent="0.3">
      <c r="N5341"/>
    </row>
    <row r="5342" spans="14:14" x14ac:dyDescent="0.3">
      <c r="N5342"/>
    </row>
    <row r="5343" spans="14:14" x14ac:dyDescent="0.3">
      <c r="N5343"/>
    </row>
    <row r="5344" spans="14:14" x14ac:dyDescent="0.3">
      <c r="N5344"/>
    </row>
    <row r="5345" spans="14:14" x14ac:dyDescent="0.3">
      <c r="N5345"/>
    </row>
    <row r="5346" spans="14:14" x14ac:dyDescent="0.3">
      <c r="N5346"/>
    </row>
    <row r="5347" spans="14:14" x14ac:dyDescent="0.3">
      <c r="N5347"/>
    </row>
    <row r="5348" spans="14:14" x14ac:dyDescent="0.3">
      <c r="N5348"/>
    </row>
    <row r="5349" spans="14:14" x14ac:dyDescent="0.3">
      <c r="N5349"/>
    </row>
    <row r="5350" spans="14:14" x14ac:dyDescent="0.3">
      <c r="N5350"/>
    </row>
    <row r="5351" spans="14:14" x14ac:dyDescent="0.3">
      <c r="N5351"/>
    </row>
    <row r="5352" spans="14:14" x14ac:dyDescent="0.3">
      <c r="N5352"/>
    </row>
    <row r="5353" spans="14:14" x14ac:dyDescent="0.3">
      <c r="N5353"/>
    </row>
    <row r="5354" spans="14:14" x14ac:dyDescent="0.3">
      <c r="N5354"/>
    </row>
    <row r="5355" spans="14:14" x14ac:dyDescent="0.3">
      <c r="N5355"/>
    </row>
    <row r="5356" spans="14:14" x14ac:dyDescent="0.3">
      <c r="N5356"/>
    </row>
    <row r="5357" spans="14:14" x14ac:dyDescent="0.3">
      <c r="N5357"/>
    </row>
    <row r="5358" spans="14:14" x14ac:dyDescent="0.3">
      <c r="N5358"/>
    </row>
    <row r="5359" spans="14:14" x14ac:dyDescent="0.3">
      <c r="N5359"/>
    </row>
    <row r="5360" spans="14:14" x14ac:dyDescent="0.3">
      <c r="N5360"/>
    </row>
    <row r="5361" spans="14:14" x14ac:dyDescent="0.3">
      <c r="N5361"/>
    </row>
    <row r="5362" spans="14:14" x14ac:dyDescent="0.3">
      <c r="N5362"/>
    </row>
    <row r="5363" spans="14:14" x14ac:dyDescent="0.3">
      <c r="N5363"/>
    </row>
    <row r="5364" spans="14:14" x14ac:dyDescent="0.3">
      <c r="N5364"/>
    </row>
    <row r="5365" spans="14:14" x14ac:dyDescent="0.3">
      <c r="N5365"/>
    </row>
    <row r="5366" spans="14:14" x14ac:dyDescent="0.3">
      <c r="N5366"/>
    </row>
    <row r="5367" spans="14:14" x14ac:dyDescent="0.3">
      <c r="N5367"/>
    </row>
    <row r="5368" spans="14:14" x14ac:dyDescent="0.3">
      <c r="N5368"/>
    </row>
    <row r="5369" spans="14:14" x14ac:dyDescent="0.3">
      <c r="N5369"/>
    </row>
    <row r="5370" spans="14:14" x14ac:dyDescent="0.3">
      <c r="N5370"/>
    </row>
    <row r="5371" spans="14:14" x14ac:dyDescent="0.3">
      <c r="N5371"/>
    </row>
    <row r="5372" spans="14:14" x14ac:dyDescent="0.3">
      <c r="N5372"/>
    </row>
    <row r="5373" spans="14:14" x14ac:dyDescent="0.3">
      <c r="N5373"/>
    </row>
    <row r="5374" spans="14:14" x14ac:dyDescent="0.3">
      <c r="N5374"/>
    </row>
    <row r="5375" spans="14:14" x14ac:dyDescent="0.3">
      <c r="N5375"/>
    </row>
    <row r="5376" spans="14:14" x14ac:dyDescent="0.3">
      <c r="N5376"/>
    </row>
    <row r="5377" spans="14:14" x14ac:dyDescent="0.3">
      <c r="N5377"/>
    </row>
    <row r="5378" spans="14:14" x14ac:dyDescent="0.3">
      <c r="N5378"/>
    </row>
    <row r="5379" spans="14:14" x14ac:dyDescent="0.3">
      <c r="N5379"/>
    </row>
    <row r="5380" spans="14:14" x14ac:dyDescent="0.3">
      <c r="N5380"/>
    </row>
    <row r="5381" spans="14:14" x14ac:dyDescent="0.3">
      <c r="N5381"/>
    </row>
    <row r="5382" spans="14:14" x14ac:dyDescent="0.3">
      <c r="N5382"/>
    </row>
    <row r="5383" spans="14:14" x14ac:dyDescent="0.3">
      <c r="N5383"/>
    </row>
    <row r="5384" spans="14:14" x14ac:dyDescent="0.3">
      <c r="N5384"/>
    </row>
    <row r="5385" spans="14:14" x14ac:dyDescent="0.3">
      <c r="N5385"/>
    </row>
    <row r="5386" spans="14:14" x14ac:dyDescent="0.3">
      <c r="N5386"/>
    </row>
    <row r="5387" spans="14:14" x14ac:dyDescent="0.3">
      <c r="N5387"/>
    </row>
    <row r="5388" spans="14:14" x14ac:dyDescent="0.3">
      <c r="N5388"/>
    </row>
    <row r="5389" spans="14:14" x14ac:dyDescent="0.3">
      <c r="N5389"/>
    </row>
    <row r="5390" spans="14:14" x14ac:dyDescent="0.3">
      <c r="N5390"/>
    </row>
    <row r="5391" spans="14:14" x14ac:dyDescent="0.3">
      <c r="N5391"/>
    </row>
    <row r="5392" spans="14:14" x14ac:dyDescent="0.3">
      <c r="N5392"/>
    </row>
    <row r="5393" spans="14:14" x14ac:dyDescent="0.3">
      <c r="N5393"/>
    </row>
    <row r="5394" spans="14:14" x14ac:dyDescent="0.3">
      <c r="N5394"/>
    </row>
    <row r="5395" spans="14:14" x14ac:dyDescent="0.3">
      <c r="N5395"/>
    </row>
    <row r="5396" spans="14:14" x14ac:dyDescent="0.3">
      <c r="N5396"/>
    </row>
    <row r="5397" spans="14:14" x14ac:dyDescent="0.3">
      <c r="N5397"/>
    </row>
    <row r="5398" spans="14:14" x14ac:dyDescent="0.3">
      <c r="N5398"/>
    </row>
    <row r="5399" spans="14:14" x14ac:dyDescent="0.3">
      <c r="N5399"/>
    </row>
    <row r="5400" spans="14:14" x14ac:dyDescent="0.3">
      <c r="N5400"/>
    </row>
    <row r="5401" spans="14:14" x14ac:dyDescent="0.3">
      <c r="N5401"/>
    </row>
    <row r="5402" spans="14:14" x14ac:dyDescent="0.3">
      <c r="N5402"/>
    </row>
    <row r="5403" spans="14:14" x14ac:dyDescent="0.3">
      <c r="N5403"/>
    </row>
    <row r="5404" spans="14:14" x14ac:dyDescent="0.3">
      <c r="N5404"/>
    </row>
    <row r="5405" spans="14:14" x14ac:dyDescent="0.3">
      <c r="N5405"/>
    </row>
    <row r="5406" spans="14:14" x14ac:dyDescent="0.3">
      <c r="N5406"/>
    </row>
    <row r="5407" spans="14:14" x14ac:dyDescent="0.3">
      <c r="N5407"/>
    </row>
    <row r="5408" spans="14:14" x14ac:dyDescent="0.3">
      <c r="N5408"/>
    </row>
    <row r="5409" spans="14:14" x14ac:dyDescent="0.3">
      <c r="N5409"/>
    </row>
    <row r="5410" spans="14:14" x14ac:dyDescent="0.3">
      <c r="N5410"/>
    </row>
    <row r="5411" spans="14:14" x14ac:dyDescent="0.3">
      <c r="N5411"/>
    </row>
    <row r="5412" spans="14:14" x14ac:dyDescent="0.3">
      <c r="N5412"/>
    </row>
    <row r="5413" spans="14:14" x14ac:dyDescent="0.3">
      <c r="N5413"/>
    </row>
    <row r="5414" spans="14:14" x14ac:dyDescent="0.3">
      <c r="N5414"/>
    </row>
    <row r="5415" spans="14:14" x14ac:dyDescent="0.3">
      <c r="N5415"/>
    </row>
    <row r="5416" spans="14:14" x14ac:dyDescent="0.3">
      <c r="N5416"/>
    </row>
    <row r="5417" spans="14:14" x14ac:dyDescent="0.3">
      <c r="N5417"/>
    </row>
    <row r="5418" spans="14:14" x14ac:dyDescent="0.3">
      <c r="N5418"/>
    </row>
    <row r="5419" spans="14:14" x14ac:dyDescent="0.3">
      <c r="N5419"/>
    </row>
    <row r="5420" spans="14:14" x14ac:dyDescent="0.3">
      <c r="N5420"/>
    </row>
    <row r="5421" spans="14:14" x14ac:dyDescent="0.3">
      <c r="N5421"/>
    </row>
    <row r="5422" spans="14:14" x14ac:dyDescent="0.3">
      <c r="N5422"/>
    </row>
    <row r="5423" spans="14:14" x14ac:dyDescent="0.3">
      <c r="N5423"/>
    </row>
    <row r="5424" spans="14:14" x14ac:dyDescent="0.3">
      <c r="N5424"/>
    </row>
    <row r="5425" spans="14:14" x14ac:dyDescent="0.3">
      <c r="N5425"/>
    </row>
    <row r="5426" spans="14:14" x14ac:dyDescent="0.3">
      <c r="N5426"/>
    </row>
    <row r="5427" spans="14:14" x14ac:dyDescent="0.3">
      <c r="N5427"/>
    </row>
    <row r="5428" spans="14:14" x14ac:dyDescent="0.3">
      <c r="N5428"/>
    </row>
    <row r="5429" spans="14:14" x14ac:dyDescent="0.3">
      <c r="N5429"/>
    </row>
    <row r="5430" spans="14:14" x14ac:dyDescent="0.3">
      <c r="N5430"/>
    </row>
    <row r="5431" spans="14:14" x14ac:dyDescent="0.3">
      <c r="N5431"/>
    </row>
    <row r="5432" spans="14:14" x14ac:dyDescent="0.3">
      <c r="N5432"/>
    </row>
    <row r="5433" spans="14:14" x14ac:dyDescent="0.3">
      <c r="N5433"/>
    </row>
    <row r="5434" spans="14:14" x14ac:dyDescent="0.3">
      <c r="N5434"/>
    </row>
    <row r="5435" spans="14:14" x14ac:dyDescent="0.3">
      <c r="N5435"/>
    </row>
    <row r="5436" spans="14:14" x14ac:dyDescent="0.3">
      <c r="N5436"/>
    </row>
    <row r="5437" spans="14:14" x14ac:dyDescent="0.3">
      <c r="N5437"/>
    </row>
    <row r="5438" spans="14:14" x14ac:dyDescent="0.3">
      <c r="N5438"/>
    </row>
    <row r="5439" spans="14:14" x14ac:dyDescent="0.3">
      <c r="N5439"/>
    </row>
    <row r="5440" spans="14:14" x14ac:dyDescent="0.3">
      <c r="N5440"/>
    </row>
    <row r="5441" spans="14:14" x14ac:dyDescent="0.3">
      <c r="N5441"/>
    </row>
    <row r="5442" spans="14:14" x14ac:dyDescent="0.3">
      <c r="N5442"/>
    </row>
    <row r="5443" spans="14:14" x14ac:dyDescent="0.3">
      <c r="N5443"/>
    </row>
    <row r="5444" spans="14:14" x14ac:dyDescent="0.3">
      <c r="N5444"/>
    </row>
    <row r="5445" spans="14:14" x14ac:dyDescent="0.3">
      <c r="N5445"/>
    </row>
    <row r="5446" spans="14:14" x14ac:dyDescent="0.3">
      <c r="N5446"/>
    </row>
    <row r="5447" spans="14:14" x14ac:dyDescent="0.3">
      <c r="N5447"/>
    </row>
    <row r="5448" spans="14:14" x14ac:dyDescent="0.3">
      <c r="N5448"/>
    </row>
    <row r="5449" spans="14:14" x14ac:dyDescent="0.3">
      <c r="N5449"/>
    </row>
    <row r="5450" spans="14:14" x14ac:dyDescent="0.3">
      <c r="N5450"/>
    </row>
    <row r="5451" spans="14:14" x14ac:dyDescent="0.3">
      <c r="N5451"/>
    </row>
    <row r="5452" spans="14:14" x14ac:dyDescent="0.3">
      <c r="N5452"/>
    </row>
    <row r="5453" spans="14:14" x14ac:dyDescent="0.3">
      <c r="N5453"/>
    </row>
    <row r="5454" spans="14:14" x14ac:dyDescent="0.3">
      <c r="N5454"/>
    </row>
    <row r="5455" spans="14:14" x14ac:dyDescent="0.3">
      <c r="N5455"/>
    </row>
    <row r="5456" spans="14:14" x14ac:dyDescent="0.3">
      <c r="N5456"/>
    </row>
    <row r="5457" spans="14:14" x14ac:dyDescent="0.3">
      <c r="N5457"/>
    </row>
    <row r="5458" spans="14:14" x14ac:dyDescent="0.3">
      <c r="N5458"/>
    </row>
    <row r="5459" spans="14:14" x14ac:dyDescent="0.3">
      <c r="N5459"/>
    </row>
    <row r="5460" spans="14:14" x14ac:dyDescent="0.3">
      <c r="N5460"/>
    </row>
    <row r="5461" spans="14:14" x14ac:dyDescent="0.3">
      <c r="N5461"/>
    </row>
    <row r="5462" spans="14:14" x14ac:dyDescent="0.3">
      <c r="N5462"/>
    </row>
    <row r="5463" spans="14:14" x14ac:dyDescent="0.3">
      <c r="N5463"/>
    </row>
    <row r="5464" spans="14:14" x14ac:dyDescent="0.3">
      <c r="N5464"/>
    </row>
    <row r="5465" spans="14:14" x14ac:dyDescent="0.3">
      <c r="N5465"/>
    </row>
    <row r="5466" spans="14:14" x14ac:dyDescent="0.3">
      <c r="N5466"/>
    </row>
    <row r="5467" spans="14:14" x14ac:dyDescent="0.3">
      <c r="N5467"/>
    </row>
    <row r="5468" spans="14:14" x14ac:dyDescent="0.3">
      <c r="N5468"/>
    </row>
    <row r="5469" spans="14:14" x14ac:dyDescent="0.3">
      <c r="N5469"/>
    </row>
    <row r="5470" spans="14:14" x14ac:dyDescent="0.3">
      <c r="N5470"/>
    </row>
    <row r="5471" spans="14:14" x14ac:dyDescent="0.3">
      <c r="N5471"/>
    </row>
    <row r="5472" spans="14:14" x14ac:dyDescent="0.3">
      <c r="N5472"/>
    </row>
    <row r="5473" spans="14:14" x14ac:dyDescent="0.3">
      <c r="N5473"/>
    </row>
    <row r="5474" spans="14:14" x14ac:dyDescent="0.3">
      <c r="N5474"/>
    </row>
    <row r="5475" spans="14:14" x14ac:dyDescent="0.3">
      <c r="N5475"/>
    </row>
    <row r="5476" spans="14:14" x14ac:dyDescent="0.3">
      <c r="N5476"/>
    </row>
    <row r="5477" spans="14:14" x14ac:dyDescent="0.3">
      <c r="N5477"/>
    </row>
  </sheetData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00"/>
  <sheetViews>
    <sheetView workbookViewId="0">
      <selection activeCell="F1" sqref="F1:F1048576"/>
    </sheetView>
  </sheetViews>
  <sheetFormatPr defaultColWidth="8.88671875" defaultRowHeight="14.4" x14ac:dyDescent="0.3"/>
  <cols>
    <col min="1" max="1" width="2.77734375" style="108" bestFit="1" customWidth="1"/>
    <col min="2" max="2" width="7" style="108" bestFit="1" customWidth="1"/>
    <col min="3" max="3" width="8.88671875" style="108" bestFit="1" customWidth="1"/>
    <col min="4" max="4" width="7.21875" style="108" bestFit="1" customWidth="1"/>
    <col min="5" max="5" width="7" style="108" bestFit="1" customWidth="1"/>
    <col min="6" max="6" width="10.6640625" style="108" bestFit="1" customWidth="1"/>
    <col min="7" max="7" width="8" style="108" bestFit="1" customWidth="1"/>
    <col min="8" max="8" width="4" style="197" bestFit="1" customWidth="1"/>
    <col min="9" max="9" width="14.5546875" style="194" bestFit="1" customWidth="1"/>
    <col min="10" max="10" width="14.109375" style="194" bestFit="1" customWidth="1"/>
    <col min="11" max="11" width="12.5546875" style="91" bestFit="1" customWidth="1"/>
    <col min="12" max="16384" width="8.88671875" style="26"/>
  </cols>
  <sheetData>
    <row r="1" spans="1:13" s="9" customFormat="1" x14ac:dyDescent="0.3">
      <c r="A1" s="107" t="s">
        <v>110</v>
      </c>
      <c r="B1" s="107" t="s">
        <v>111</v>
      </c>
      <c r="C1" s="107" t="s">
        <v>115</v>
      </c>
      <c r="D1" s="107" t="s">
        <v>112</v>
      </c>
      <c r="E1" s="107" t="s">
        <v>116</v>
      </c>
      <c r="F1" s="107" t="s">
        <v>123</v>
      </c>
      <c r="G1" s="107" t="s">
        <v>67</v>
      </c>
      <c r="H1" s="196" t="s">
        <v>66</v>
      </c>
      <c r="I1" s="193" t="s">
        <v>117</v>
      </c>
      <c r="J1" s="193" t="s">
        <v>118</v>
      </c>
      <c r="K1" s="33" t="s">
        <v>119</v>
      </c>
      <c r="L1" s="9" t="s">
        <v>122</v>
      </c>
      <c r="M1" s="9" t="s">
        <v>123</v>
      </c>
    </row>
    <row r="2" spans="1:13" x14ac:dyDescent="0.3">
      <c r="M2" s="26" t="str">
        <f t="shared" ref="M2:M65" si="0">_xlfn.CONCAT(L2," ",F2)</f>
        <v xml:space="preserve"> </v>
      </c>
    </row>
    <row r="3" spans="1:13" x14ac:dyDescent="0.3">
      <c r="M3" s="26" t="str">
        <f t="shared" si="0"/>
        <v xml:space="preserve"> </v>
      </c>
    </row>
    <row r="4" spans="1:13" x14ac:dyDescent="0.3">
      <c r="M4" s="26" t="str">
        <f t="shared" si="0"/>
        <v xml:space="preserve"> </v>
      </c>
    </row>
    <row r="5" spans="1:13" x14ac:dyDescent="0.3">
      <c r="M5" s="26" t="str">
        <f t="shared" si="0"/>
        <v xml:space="preserve"> </v>
      </c>
    </row>
    <row r="6" spans="1:13" x14ac:dyDescent="0.3">
      <c r="M6" s="26" t="str">
        <f t="shared" si="0"/>
        <v xml:space="preserve"> </v>
      </c>
    </row>
    <row r="7" spans="1:13" x14ac:dyDescent="0.3">
      <c r="M7" s="26" t="str">
        <f t="shared" si="0"/>
        <v xml:space="preserve"> </v>
      </c>
    </row>
    <row r="8" spans="1:13" x14ac:dyDescent="0.3">
      <c r="M8" s="26" t="str">
        <f t="shared" si="0"/>
        <v xml:space="preserve"> </v>
      </c>
    </row>
    <row r="9" spans="1:13" x14ac:dyDescent="0.3">
      <c r="M9" s="26" t="str">
        <f t="shared" si="0"/>
        <v xml:space="preserve"> </v>
      </c>
    </row>
    <row r="10" spans="1:13" x14ac:dyDescent="0.3">
      <c r="M10" s="26" t="str">
        <f t="shared" si="0"/>
        <v xml:space="preserve"> </v>
      </c>
    </row>
    <row r="11" spans="1:13" x14ac:dyDescent="0.3">
      <c r="M11" s="26" t="str">
        <f t="shared" si="0"/>
        <v xml:space="preserve"> </v>
      </c>
    </row>
    <row r="12" spans="1:13" x14ac:dyDescent="0.3">
      <c r="M12" s="26" t="str">
        <f t="shared" si="0"/>
        <v xml:space="preserve"> </v>
      </c>
    </row>
    <row r="13" spans="1:13" x14ac:dyDescent="0.3">
      <c r="M13" s="26" t="str">
        <f t="shared" si="0"/>
        <v xml:space="preserve"> </v>
      </c>
    </row>
    <row r="14" spans="1:13" x14ac:dyDescent="0.3">
      <c r="M14" s="26" t="str">
        <f t="shared" si="0"/>
        <v xml:space="preserve"> </v>
      </c>
    </row>
    <row r="15" spans="1:13" x14ac:dyDescent="0.3">
      <c r="M15" s="26" t="str">
        <f t="shared" si="0"/>
        <v xml:space="preserve"> </v>
      </c>
    </row>
    <row r="16" spans="1:13" x14ac:dyDescent="0.3">
      <c r="M16" s="26" t="str">
        <f t="shared" si="0"/>
        <v xml:space="preserve"> </v>
      </c>
    </row>
    <row r="17" spans="13:13" x14ac:dyDescent="0.3">
      <c r="M17" s="26" t="str">
        <f t="shared" si="0"/>
        <v xml:space="preserve"> </v>
      </c>
    </row>
    <row r="18" spans="13:13" x14ac:dyDescent="0.3">
      <c r="M18" s="26" t="str">
        <f t="shared" si="0"/>
        <v xml:space="preserve"> </v>
      </c>
    </row>
    <row r="19" spans="13:13" x14ac:dyDescent="0.3">
      <c r="M19" s="26" t="str">
        <f t="shared" si="0"/>
        <v xml:space="preserve"> </v>
      </c>
    </row>
    <row r="20" spans="13:13" x14ac:dyDescent="0.3">
      <c r="M20" s="26" t="str">
        <f t="shared" si="0"/>
        <v xml:space="preserve"> </v>
      </c>
    </row>
    <row r="21" spans="13:13" x14ac:dyDescent="0.3">
      <c r="M21" s="26" t="str">
        <f t="shared" si="0"/>
        <v xml:space="preserve"> </v>
      </c>
    </row>
    <row r="22" spans="13:13" x14ac:dyDescent="0.3">
      <c r="M22" s="26" t="str">
        <f t="shared" si="0"/>
        <v xml:space="preserve"> </v>
      </c>
    </row>
    <row r="23" spans="13:13" x14ac:dyDescent="0.3">
      <c r="M23" s="26" t="str">
        <f t="shared" si="0"/>
        <v xml:space="preserve"> </v>
      </c>
    </row>
    <row r="24" spans="13:13" x14ac:dyDescent="0.3">
      <c r="M24" s="26" t="str">
        <f t="shared" si="0"/>
        <v xml:space="preserve"> </v>
      </c>
    </row>
    <row r="25" spans="13:13" x14ac:dyDescent="0.3">
      <c r="M25" s="26" t="str">
        <f t="shared" si="0"/>
        <v xml:space="preserve"> </v>
      </c>
    </row>
    <row r="26" spans="13:13" x14ac:dyDescent="0.3">
      <c r="M26" s="26" t="str">
        <f t="shared" si="0"/>
        <v xml:space="preserve"> </v>
      </c>
    </row>
    <row r="27" spans="13:13" x14ac:dyDescent="0.3">
      <c r="M27" s="26" t="str">
        <f t="shared" si="0"/>
        <v xml:space="preserve"> </v>
      </c>
    </row>
    <row r="28" spans="13:13" x14ac:dyDescent="0.3">
      <c r="M28" s="26" t="str">
        <f t="shared" si="0"/>
        <v xml:space="preserve"> </v>
      </c>
    </row>
    <row r="29" spans="13:13" x14ac:dyDescent="0.3">
      <c r="M29" s="26" t="str">
        <f t="shared" si="0"/>
        <v xml:space="preserve"> </v>
      </c>
    </row>
    <row r="30" spans="13:13" x14ac:dyDescent="0.3">
      <c r="M30" s="26" t="str">
        <f t="shared" si="0"/>
        <v xml:space="preserve"> </v>
      </c>
    </row>
    <row r="31" spans="13:13" x14ac:dyDescent="0.3">
      <c r="M31" s="26" t="str">
        <f t="shared" si="0"/>
        <v xml:space="preserve"> </v>
      </c>
    </row>
    <row r="32" spans="13:13" x14ac:dyDescent="0.3">
      <c r="M32" s="26" t="str">
        <f t="shared" si="0"/>
        <v xml:space="preserve"> </v>
      </c>
    </row>
    <row r="33" spans="13:13" x14ac:dyDescent="0.3">
      <c r="M33" s="26" t="str">
        <f t="shared" si="0"/>
        <v xml:space="preserve"> </v>
      </c>
    </row>
    <row r="34" spans="13:13" x14ac:dyDescent="0.3">
      <c r="M34" s="26" t="str">
        <f t="shared" si="0"/>
        <v xml:space="preserve"> </v>
      </c>
    </row>
    <row r="35" spans="13:13" x14ac:dyDescent="0.3">
      <c r="M35" s="26" t="str">
        <f t="shared" si="0"/>
        <v xml:space="preserve"> </v>
      </c>
    </row>
    <row r="36" spans="13:13" x14ac:dyDescent="0.3">
      <c r="M36" s="26" t="str">
        <f t="shared" si="0"/>
        <v xml:space="preserve"> </v>
      </c>
    </row>
    <row r="37" spans="13:13" x14ac:dyDescent="0.3">
      <c r="M37" s="26" t="str">
        <f t="shared" si="0"/>
        <v xml:space="preserve"> </v>
      </c>
    </row>
    <row r="38" spans="13:13" x14ac:dyDescent="0.3">
      <c r="M38" s="26" t="str">
        <f t="shared" si="0"/>
        <v xml:space="preserve"> </v>
      </c>
    </row>
    <row r="39" spans="13:13" x14ac:dyDescent="0.3">
      <c r="M39" s="26" t="str">
        <f t="shared" si="0"/>
        <v xml:space="preserve"> </v>
      </c>
    </row>
    <row r="40" spans="13:13" x14ac:dyDescent="0.3">
      <c r="M40" s="26" t="str">
        <f t="shared" si="0"/>
        <v xml:space="preserve"> </v>
      </c>
    </row>
    <row r="41" spans="13:13" x14ac:dyDescent="0.3">
      <c r="M41" s="26" t="str">
        <f t="shared" si="0"/>
        <v xml:space="preserve"> </v>
      </c>
    </row>
    <row r="42" spans="13:13" x14ac:dyDescent="0.3">
      <c r="M42" s="26" t="str">
        <f t="shared" si="0"/>
        <v xml:space="preserve"> </v>
      </c>
    </row>
    <row r="43" spans="13:13" x14ac:dyDescent="0.3">
      <c r="M43" s="26" t="str">
        <f t="shared" si="0"/>
        <v xml:space="preserve"> </v>
      </c>
    </row>
    <row r="44" spans="13:13" x14ac:dyDescent="0.3">
      <c r="M44" s="26" t="str">
        <f t="shared" si="0"/>
        <v xml:space="preserve"> </v>
      </c>
    </row>
    <row r="45" spans="13:13" x14ac:dyDescent="0.3">
      <c r="M45" s="26" t="str">
        <f t="shared" si="0"/>
        <v xml:space="preserve"> </v>
      </c>
    </row>
    <row r="46" spans="13:13" x14ac:dyDescent="0.3">
      <c r="M46" s="26" t="str">
        <f t="shared" si="0"/>
        <v xml:space="preserve"> </v>
      </c>
    </row>
    <row r="47" spans="13:13" x14ac:dyDescent="0.3">
      <c r="M47" s="26" t="str">
        <f t="shared" si="0"/>
        <v xml:space="preserve"> </v>
      </c>
    </row>
    <row r="48" spans="13:13" x14ac:dyDescent="0.3">
      <c r="M48" s="26" t="str">
        <f t="shared" si="0"/>
        <v xml:space="preserve"> </v>
      </c>
    </row>
    <row r="49" spans="13:13" x14ac:dyDescent="0.3">
      <c r="M49" s="26" t="str">
        <f t="shared" si="0"/>
        <v xml:space="preserve"> </v>
      </c>
    </row>
    <row r="50" spans="13:13" x14ac:dyDescent="0.3">
      <c r="M50" s="26" t="str">
        <f t="shared" si="0"/>
        <v xml:space="preserve"> </v>
      </c>
    </row>
    <row r="51" spans="13:13" x14ac:dyDescent="0.3">
      <c r="M51" s="26" t="str">
        <f t="shared" si="0"/>
        <v xml:space="preserve"> </v>
      </c>
    </row>
    <row r="52" spans="13:13" x14ac:dyDescent="0.3">
      <c r="M52" s="26" t="str">
        <f t="shared" si="0"/>
        <v xml:space="preserve"> </v>
      </c>
    </row>
    <row r="53" spans="13:13" x14ac:dyDescent="0.3">
      <c r="M53" s="26" t="str">
        <f t="shared" si="0"/>
        <v xml:space="preserve"> </v>
      </c>
    </row>
    <row r="54" spans="13:13" x14ac:dyDescent="0.3">
      <c r="M54" s="26" t="str">
        <f t="shared" si="0"/>
        <v xml:space="preserve"> </v>
      </c>
    </row>
    <row r="55" spans="13:13" x14ac:dyDescent="0.3">
      <c r="M55" s="26" t="str">
        <f t="shared" si="0"/>
        <v xml:space="preserve"> </v>
      </c>
    </row>
    <row r="56" spans="13:13" x14ac:dyDescent="0.3">
      <c r="M56" s="26" t="str">
        <f t="shared" si="0"/>
        <v xml:space="preserve"> </v>
      </c>
    </row>
    <row r="57" spans="13:13" x14ac:dyDescent="0.3">
      <c r="M57" s="26" t="str">
        <f t="shared" si="0"/>
        <v xml:space="preserve"> </v>
      </c>
    </row>
    <row r="58" spans="13:13" x14ac:dyDescent="0.3">
      <c r="M58" s="26" t="str">
        <f t="shared" si="0"/>
        <v xml:space="preserve"> </v>
      </c>
    </row>
    <row r="59" spans="13:13" x14ac:dyDescent="0.3">
      <c r="M59" s="26" t="str">
        <f t="shared" si="0"/>
        <v xml:space="preserve"> </v>
      </c>
    </row>
    <row r="60" spans="13:13" x14ac:dyDescent="0.3">
      <c r="M60" s="26" t="str">
        <f t="shared" si="0"/>
        <v xml:space="preserve"> </v>
      </c>
    </row>
    <row r="61" spans="13:13" x14ac:dyDescent="0.3">
      <c r="M61" s="26" t="str">
        <f t="shared" si="0"/>
        <v xml:space="preserve"> </v>
      </c>
    </row>
    <row r="62" spans="13:13" x14ac:dyDescent="0.3">
      <c r="M62" s="26" t="str">
        <f t="shared" si="0"/>
        <v xml:space="preserve"> </v>
      </c>
    </row>
    <row r="63" spans="13:13" x14ac:dyDescent="0.3">
      <c r="M63" s="26" t="str">
        <f t="shared" si="0"/>
        <v xml:space="preserve"> </v>
      </c>
    </row>
    <row r="64" spans="13:13" x14ac:dyDescent="0.3">
      <c r="M64" s="26" t="str">
        <f t="shared" si="0"/>
        <v xml:space="preserve"> </v>
      </c>
    </row>
    <row r="65" spans="13:13" x14ac:dyDescent="0.3">
      <c r="M65" s="26" t="str">
        <f t="shared" si="0"/>
        <v xml:space="preserve"> </v>
      </c>
    </row>
    <row r="66" spans="13:13" x14ac:dyDescent="0.3">
      <c r="M66" s="26" t="str">
        <f t="shared" ref="M66:M129" si="1">_xlfn.CONCAT(L66," ",F66)</f>
        <v xml:space="preserve"> </v>
      </c>
    </row>
    <row r="67" spans="13:13" x14ac:dyDescent="0.3">
      <c r="M67" s="26" t="str">
        <f t="shared" si="1"/>
        <v xml:space="preserve"> </v>
      </c>
    </row>
    <row r="68" spans="13:13" x14ac:dyDescent="0.3">
      <c r="M68" s="26" t="str">
        <f t="shared" si="1"/>
        <v xml:space="preserve"> </v>
      </c>
    </row>
    <row r="69" spans="13:13" x14ac:dyDescent="0.3">
      <c r="M69" s="26" t="str">
        <f t="shared" si="1"/>
        <v xml:space="preserve"> </v>
      </c>
    </row>
    <row r="70" spans="13:13" x14ac:dyDescent="0.3">
      <c r="M70" s="26" t="str">
        <f t="shared" si="1"/>
        <v xml:space="preserve"> </v>
      </c>
    </row>
    <row r="71" spans="13:13" x14ac:dyDescent="0.3">
      <c r="M71" s="26" t="str">
        <f t="shared" si="1"/>
        <v xml:space="preserve"> </v>
      </c>
    </row>
    <row r="72" spans="13:13" x14ac:dyDescent="0.3">
      <c r="M72" s="26" t="str">
        <f t="shared" si="1"/>
        <v xml:space="preserve"> </v>
      </c>
    </row>
    <row r="73" spans="13:13" x14ac:dyDescent="0.3">
      <c r="M73" s="26" t="str">
        <f t="shared" si="1"/>
        <v xml:space="preserve"> </v>
      </c>
    </row>
    <row r="74" spans="13:13" x14ac:dyDescent="0.3">
      <c r="M74" s="26" t="str">
        <f t="shared" si="1"/>
        <v xml:space="preserve"> </v>
      </c>
    </row>
    <row r="75" spans="13:13" x14ac:dyDescent="0.3">
      <c r="M75" s="26" t="str">
        <f t="shared" si="1"/>
        <v xml:space="preserve"> </v>
      </c>
    </row>
    <row r="76" spans="13:13" x14ac:dyDescent="0.3">
      <c r="M76" s="26" t="str">
        <f t="shared" si="1"/>
        <v xml:space="preserve"> </v>
      </c>
    </row>
    <row r="77" spans="13:13" x14ac:dyDescent="0.3">
      <c r="M77" s="26" t="str">
        <f t="shared" si="1"/>
        <v xml:space="preserve"> </v>
      </c>
    </row>
    <row r="78" spans="13:13" x14ac:dyDescent="0.3">
      <c r="M78" s="26" t="str">
        <f t="shared" si="1"/>
        <v xml:space="preserve"> </v>
      </c>
    </row>
    <row r="79" spans="13:13" x14ac:dyDescent="0.3">
      <c r="M79" s="26" t="str">
        <f t="shared" si="1"/>
        <v xml:space="preserve"> </v>
      </c>
    </row>
    <row r="80" spans="13:13" x14ac:dyDescent="0.3">
      <c r="M80" s="26" t="str">
        <f t="shared" si="1"/>
        <v xml:space="preserve"> </v>
      </c>
    </row>
    <row r="81" spans="13:13" x14ac:dyDescent="0.3">
      <c r="M81" s="26" t="str">
        <f t="shared" si="1"/>
        <v xml:space="preserve"> </v>
      </c>
    </row>
    <row r="82" spans="13:13" x14ac:dyDescent="0.3">
      <c r="M82" s="26" t="str">
        <f t="shared" si="1"/>
        <v xml:space="preserve"> </v>
      </c>
    </row>
    <row r="83" spans="13:13" x14ac:dyDescent="0.3">
      <c r="M83" s="26" t="str">
        <f t="shared" si="1"/>
        <v xml:space="preserve"> </v>
      </c>
    </row>
    <row r="84" spans="13:13" x14ac:dyDescent="0.3">
      <c r="M84" s="26" t="str">
        <f t="shared" si="1"/>
        <v xml:space="preserve"> </v>
      </c>
    </row>
    <row r="85" spans="13:13" x14ac:dyDescent="0.3">
      <c r="M85" s="26" t="str">
        <f t="shared" si="1"/>
        <v xml:space="preserve"> </v>
      </c>
    </row>
    <row r="86" spans="13:13" x14ac:dyDescent="0.3">
      <c r="M86" s="26" t="str">
        <f t="shared" si="1"/>
        <v xml:space="preserve"> </v>
      </c>
    </row>
    <row r="87" spans="13:13" x14ac:dyDescent="0.3">
      <c r="M87" s="26" t="str">
        <f t="shared" si="1"/>
        <v xml:space="preserve"> </v>
      </c>
    </row>
    <row r="88" spans="13:13" x14ac:dyDescent="0.3">
      <c r="M88" s="26" t="str">
        <f t="shared" si="1"/>
        <v xml:space="preserve"> </v>
      </c>
    </row>
    <row r="89" spans="13:13" x14ac:dyDescent="0.3">
      <c r="M89" s="26" t="str">
        <f t="shared" si="1"/>
        <v xml:space="preserve"> </v>
      </c>
    </row>
    <row r="90" spans="13:13" x14ac:dyDescent="0.3">
      <c r="M90" s="26" t="str">
        <f t="shared" si="1"/>
        <v xml:space="preserve"> </v>
      </c>
    </row>
    <row r="91" spans="13:13" x14ac:dyDescent="0.3">
      <c r="M91" s="26" t="str">
        <f t="shared" si="1"/>
        <v xml:space="preserve"> </v>
      </c>
    </row>
    <row r="92" spans="13:13" x14ac:dyDescent="0.3">
      <c r="M92" s="26" t="str">
        <f t="shared" si="1"/>
        <v xml:space="preserve"> </v>
      </c>
    </row>
    <row r="93" spans="13:13" x14ac:dyDescent="0.3">
      <c r="M93" s="26" t="str">
        <f t="shared" si="1"/>
        <v xml:space="preserve"> </v>
      </c>
    </row>
    <row r="94" spans="13:13" x14ac:dyDescent="0.3">
      <c r="M94" s="26" t="str">
        <f t="shared" si="1"/>
        <v xml:space="preserve"> </v>
      </c>
    </row>
    <row r="95" spans="13:13" x14ac:dyDescent="0.3">
      <c r="M95" s="26" t="str">
        <f t="shared" si="1"/>
        <v xml:space="preserve"> </v>
      </c>
    </row>
    <row r="96" spans="13:13" x14ac:dyDescent="0.3">
      <c r="M96" s="26" t="str">
        <f t="shared" si="1"/>
        <v xml:space="preserve"> </v>
      </c>
    </row>
    <row r="97" spans="13:13" x14ac:dyDescent="0.3">
      <c r="M97" s="26" t="str">
        <f t="shared" si="1"/>
        <v xml:space="preserve"> </v>
      </c>
    </row>
    <row r="98" spans="13:13" x14ac:dyDescent="0.3">
      <c r="M98" s="26" t="str">
        <f t="shared" si="1"/>
        <v xml:space="preserve"> </v>
      </c>
    </row>
    <row r="99" spans="13:13" x14ac:dyDescent="0.3">
      <c r="M99" s="26" t="str">
        <f t="shared" si="1"/>
        <v xml:space="preserve"> </v>
      </c>
    </row>
    <row r="100" spans="13:13" x14ac:dyDescent="0.3">
      <c r="M100" s="26" t="str">
        <f t="shared" si="1"/>
        <v xml:space="preserve"> </v>
      </c>
    </row>
    <row r="101" spans="13:13" x14ac:dyDescent="0.3">
      <c r="M101" s="26" t="str">
        <f t="shared" si="1"/>
        <v xml:space="preserve"> </v>
      </c>
    </row>
    <row r="102" spans="13:13" x14ac:dyDescent="0.3">
      <c r="M102" s="26" t="str">
        <f t="shared" si="1"/>
        <v xml:space="preserve"> </v>
      </c>
    </row>
    <row r="103" spans="13:13" x14ac:dyDescent="0.3">
      <c r="M103" s="26" t="str">
        <f t="shared" si="1"/>
        <v xml:space="preserve"> </v>
      </c>
    </row>
    <row r="104" spans="13:13" x14ac:dyDescent="0.3">
      <c r="M104" s="26" t="str">
        <f t="shared" si="1"/>
        <v xml:space="preserve"> </v>
      </c>
    </row>
    <row r="105" spans="13:13" x14ac:dyDescent="0.3">
      <c r="M105" s="26" t="str">
        <f t="shared" si="1"/>
        <v xml:space="preserve"> </v>
      </c>
    </row>
    <row r="106" spans="13:13" x14ac:dyDescent="0.3">
      <c r="M106" s="26" t="str">
        <f t="shared" si="1"/>
        <v xml:space="preserve"> </v>
      </c>
    </row>
    <row r="107" spans="13:13" x14ac:dyDescent="0.3">
      <c r="M107" s="26" t="str">
        <f t="shared" si="1"/>
        <v xml:space="preserve"> </v>
      </c>
    </row>
    <row r="108" spans="13:13" x14ac:dyDescent="0.3">
      <c r="M108" s="26" t="str">
        <f t="shared" si="1"/>
        <v xml:space="preserve"> </v>
      </c>
    </row>
    <row r="109" spans="13:13" x14ac:dyDescent="0.3">
      <c r="M109" s="26" t="str">
        <f t="shared" si="1"/>
        <v xml:space="preserve"> </v>
      </c>
    </row>
    <row r="110" spans="13:13" x14ac:dyDescent="0.3">
      <c r="M110" s="26" t="str">
        <f t="shared" si="1"/>
        <v xml:space="preserve"> </v>
      </c>
    </row>
    <row r="111" spans="13:13" x14ac:dyDescent="0.3">
      <c r="M111" s="26" t="str">
        <f t="shared" si="1"/>
        <v xml:space="preserve"> </v>
      </c>
    </row>
    <row r="112" spans="13:13" x14ac:dyDescent="0.3">
      <c r="M112" s="26" t="str">
        <f t="shared" si="1"/>
        <v xml:space="preserve"> </v>
      </c>
    </row>
    <row r="113" spans="13:13" x14ac:dyDescent="0.3">
      <c r="M113" s="26" t="str">
        <f t="shared" si="1"/>
        <v xml:space="preserve"> </v>
      </c>
    </row>
    <row r="114" spans="13:13" x14ac:dyDescent="0.3">
      <c r="M114" s="26" t="str">
        <f t="shared" si="1"/>
        <v xml:space="preserve"> </v>
      </c>
    </row>
    <row r="115" spans="13:13" x14ac:dyDescent="0.3">
      <c r="M115" s="26" t="str">
        <f t="shared" si="1"/>
        <v xml:space="preserve"> </v>
      </c>
    </row>
    <row r="116" spans="13:13" x14ac:dyDescent="0.3">
      <c r="M116" s="26" t="str">
        <f t="shared" si="1"/>
        <v xml:space="preserve"> </v>
      </c>
    </row>
    <row r="117" spans="13:13" x14ac:dyDescent="0.3">
      <c r="M117" s="26" t="str">
        <f t="shared" si="1"/>
        <v xml:space="preserve"> </v>
      </c>
    </row>
    <row r="118" spans="13:13" x14ac:dyDescent="0.3">
      <c r="M118" s="26" t="str">
        <f t="shared" si="1"/>
        <v xml:space="preserve"> </v>
      </c>
    </row>
    <row r="119" spans="13:13" x14ac:dyDescent="0.3">
      <c r="M119" s="26" t="str">
        <f t="shared" si="1"/>
        <v xml:space="preserve"> </v>
      </c>
    </row>
    <row r="120" spans="13:13" x14ac:dyDescent="0.3">
      <c r="M120" s="26" t="str">
        <f t="shared" si="1"/>
        <v xml:space="preserve"> </v>
      </c>
    </row>
    <row r="121" spans="13:13" x14ac:dyDescent="0.3">
      <c r="M121" s="26" t="str">
        <f t="shared" si="1"/>
        <v xml:space="preserve"> </v>
      </c>
    </row>
    <row r="122" spans="13:13" x14ac:dyDescent="0.3">
      <c r="M122" s="26" t="str">
        <f t="shared" si="1"/>
        <v xml:space="preserve"> </v>
      </c>
    </row>
    <row r="123" spans="13:13" x14ac:dyDescent="0.3">
      <c r="M123" s="26" t="str">
        <f t="shared" si="1"/>
        <v xml:space="preserve"> </v>
      </c>
    </row>
    <row r="124" spans="13:13" x14ac:dyDescent="0.3">
      <c r="M124" s="26" t="str">
        <f t="shared" si="1"/>
        <v xml:space="preserve"> </v>
      </c>
    </row>
    <row r="125" spans="13:13" x14ac:dyDescent="0.3">
      <c r="M125" s="26" t="str">
        <f t="shared" si="1"/>
        <v xml:space="preserve"> </v>
      </c>
    </row>
    <row r="126" spans="13:13" x14ac:dyDescent="0.3">
      <c r="M126" s="26" t="str">
        <f t="shared" si="1"/>
        <v xml:space="preserve"> </v>
      </c>
    </row>
    <row r="127" spans="13:13" x14ac:dyDescent="0.3">
      <c r="M127" s="26" t="str">
        <f t="shared" si="1"/>
        <v xml:space="preserve"> </v>
      </c>
    </row>
    <row r="128" spans="13:13" x14ac:dyDescent="0.3">
      <c r="M128" s="26" t="str">
        <f t="shared" si="1"/>
        <v xml:space="preserve"> </v>
      </c>
    </row>
    <row r="129" spans="13:13" x14ac:dyDescent="0.3">
      <c r="M129" s="26" t="str">
        <f t="shared" si="1"/>
        <v xml:space="preserve"> </v>
      </c>
    </row>
    <row r="130" spans="13:13" x14ac:dyDescent="0.3">
      <c r="M130" s="26" t="str">
        <f t="shared" ref="M130:M193" si="2">_xlfn.CONCAT(L130," ",F130)</f>
        <v xml:space="preserve"> </v>
      </c>
    </row>
    <row r="131" spans="13:13" x14ac:dyDescent="0.3">
      <c r="M131" s="26" t="str">
        <f t="shared" si="2"/>
        <v xml:space="preserve"> </v>
      </c>
    </row>
    <row r="132" spans="13:13" x14ac:dyDescent="0.3">
      <c r="M132" s="26" t="str">
        <f t="shared" si="2"/>
        <v xml:space="preserve"> </v>
      </c>
    </row>
    <row r="133" spans="13:13" x14ac:dyDescent="0.3">
      <c r="M133" s="26" t="str">
        <f t="shared" si="2"/>
        <v xml:space="preserve"> </v>
      </c>
    </row>
    <row r="134" spans="13:13" x14ac:dyDescent="0.3">
      <c r="M134" s="26" t="str">
        <f t="shared" si="2"/>
        <v xml:space="preserve"> </v>
      </c>
    </row>
    <row r="135" spans="13:13" x14ac:dyDescent="0.3">
      <c r="M135" s="26" t="str">
        <f t="shared" si="2"/>
        <v xml:space="preserve"> </v>
      </c>
    </row>
    <row r="136" spans="13:13" x14ac:dyDescent="0.3">
      <c r="M136" s="26" t="str">
        <f t="shared" si="2"/>
        <v xml:space="preserve"> </v>
      </c>
    </row>
    <row r="137" spans="13:13" x14ac:dyDescent="0.3">
      <c r="M137" s="26" t="str">
        <f t="shared" si="2"/>
        <v xml:space="preserve"> </v>
      </c>
    </row>
    <row r="138" spans="13:13" x14ac:dyDescent="0.3">
      <c r="M138" s="26" t="str">
        <f t="shared" si="2"/>
        <v xml:space="preserve"> </v>
      </c>
    </row>
    <row r="139" spans="13:13" x14ac:dyDescent="0.3">
      <c r="M139" s="26" t="str">
        <f t="shared" si="2"/>
        <v xml:space="preserve"> </v>
      </c>
    </row>
    <row r="140" spans="13:13" x14ac:dyDescent="0.3">
      <c r="M140" s="26" t="str">
        <f t="shared" si="2"/>
        <v xml:space="preserve"> </v>
      </c>
    </row>
    <row r="141" spans="13:13" x14ac:dyDescent="0.3">
      <c r="M141" s="26" t="str">
        <f t="shared" si="2"/>
        <v xml:space="preserve"> </v>
      </c>
    </row>
    <row r="142" spans="13:13" x14ac:dyDescent="0.3">
      <c r="M142" s="26" t="str">
        <f t="shared" si="2"/>
        <v xml:space="preserve"> </v>
      </c>
    </row>
    <row r="143" spans="13:13" x14ac:dyDescent="0.3">
      <c r="M143" s="26" t="str">
        <f t="shared" si="2"/>
        <v xml:space="preserve"> </v>
      </c>
    </row>
    <row r="144" spans="13:13" x14ac:dyDescent="0.3">
      <c r="M144" s="26" t="str">
        <f t="shared" si="2"/>
        <v xml:space="preserve"> </v>
      </c>
    </row>
    <row r="145" spans="13:13" x14ac:dyDescent="0.3">
      <c r="M145" s="26" t="str">
        <f t="shared" si="2"/>
        <v xml:space="preserve"> </v>
      </c>
    </row>
    <row r="146" spans="13:13" x14ac:dyDescent="0.3">
      <c r="M146" s="26" t="str">
        <f t="shared" si="2"/>
        <v xml:space="preserve"> </v>
      </c>
    </row>
    <row r="147" spans="13:13" x14ac:dyDescent="0.3">
      <c r="M147" s="26" t="str">
        <f t="shared" si="2"/>
        <v xml:space="preserve"> </v>
      </c>
    </row>
    <row r="148" spans="13:13" x14ac:dyDescent="0.3">
      <c r="M148" s="26" t="str">
        <f t="shared" si="2"/>
        <v xml:space="preserve"> </v>
      </c>
    </row>
    <row r="149" spans="13:13" x14ac:dyDescent="0.3">
      <c r="M149" s="26" t="str">
        <f t="shared" si="2"/>
        <v xml:space="preserve"> </v>
      </c>
    </row>
    <row r="150" spans="13:13" x14ac:dyDescent="0.3">
      <c r="M150" s="26" t="str">
        <f t="shared" si="2"/>
        <v xml:space="preserve"> </v>
      </c>
    </row>
    <row r="151" spans="13:13" x14ac:dyDescent="0.3">
      <c r="M151" s="26" t="str">
        <f t="shared" si="2"/>
        <v xml:space="preserve"> </v>
      </c>
    </row>
    <row r="152" spans="13:13" x14ac:dyDescent="0.3">
      <c r="M152" s="26" t="str">
        <f t="shared" si="2"/>
        <v xml:space="preserve"> </v>
      </c>
    </row>
    <row r="153" spans="13:13" x14ac:dyDescent="0.3">
      <c r="M153" s="26" t="str">
        <f t="shared" si="2"/>
        <v xml:space="preserve"> </v>
      </c>
    </row>
    <row r="154" spans="13:13" x14ac:dyDescent="0.3">
      <c r="M154" s="26" t="str">
        <f t="shared" si="2"/>
        <v xml:space="preserve"> </v>
      </c>
    </row>
    <row r="155" spans="13:13" x14ac:dyDescent="0.3">
      <c r="M155" s="26" t="str">
        <f t="shared" si="2"/>
        <v xml:space="preserve"> </v>
      </c>
    </row>
    <row r="156" spans="13:13" x14ac:dyDescent="0.3">
      <c r="M156" s="26" t="str">
        <f t="shared" si="2"/>
        <v xml:space="preserve"> </v>
      </c>
    </row>
    <row r="157" spans="13:13" x14ac:dyDescent="0.3">
      <c r="M157" s="26" t="str">
        <f t="shared" si="2"/>
        <v xml:space="preserve"> </v>
      </c>
    </row>
    <row r="158" spans="13:13" x14ac:dyDescent="0.3">
      <c r="M158" s="26" t="str">
        <f t="shared" si="2"/>
        <v xml:space="preserve"> </v>
      </c>
    </row>
    <row r="159" spans="13:13" x14ac:dyDescent="0.3">
      <c r="M159" s="26" t="str">
        <f t="shared" si="2"/>
        <v xml:space="preserve"> </v>
      </c>
    </row>
    <row r="160" spans="13:13" x14ac:dyDescent="0.3">
      <c r="M160" s="26" t="str">
        <f t="shared" si="2"/>
        <v xml:space="preserve"> </v>
      </c>
    </row>
    <row r="161" spans="13:13" x14ac:dyDescent="0.3">
      <c r="M161" s="26" t="str">
        <f t="shared" si="2"/>
        <v xml:space="preserve"> </v>
      </c>
    </row>
    <row r="162" spans="13:13" x14ac:dyDescent="0.3">
      <c r="M162" s="26" t="str">
        <f t="shared" si="2"/>
        <v xml:space="preserve"> </v>
      </c>
    </row>
    <row r="163" spans="13:13" x14ac:dyDescent="0.3">
      <c r="M163" s="26" t="str">
        <f t="shared" si="2"/>
        <v xml:space="preserve"> </v>
      </c>
    </row>
    <row r="164" spans="13:13" x14ac:dyDescent="0.3">
      <c r="M164" s="26" t="str">
        <f t="shared" si="2"/>
        <v xml:space="preserve"> </v>
      </c>
    </row>
    <row r="165" spans="13:13" x14ac:dyDescent="0.3">
      <c r="M165" s="26" t="str">
        <f t="shared" si="2"/>
        <v xml:space="preserve"> </v>
      </c>
    </row>
    <row r="166" spans="13:13" x14ac:dyDescent="0.3">
      <c r="M166" s="26" t="str">
        <f t="shared" si="2"/>
        <v xml:space="preserve"> </v>
      </c>
    </row>
    <row r="167" spans="13:13" x14ac:dyDescent="0.3">
      <c r="M167" s="26" t="str">
        <f t="shared" si="2"/>
        <v xml:space="preserve"> </v>
      </c>
    </row>
    <row r="168" spans="13:13" x14ac:dyDescent="0.3">
      <c r="M168" s="26" t="str">
        <f t="shared" si="2"/>
        <v xml:space="preserve"> </v>
      </c>
    </row>
    <row r="169" spans="13:13" x14ac:dyDescent="0.3">
      <c r="M169" s="26" t="str">
        <f t="shared" si="2"/>
        <v xml:space="preserve"> </v>
      </c>
    </row>
    <row r="170" spans="13:13" x14ac:dyDescent="0.3">
      <c r="M170" s="26" t="str">
        <f t="shared" si="2"/>
        <v xml:space="preserve"> </v>
      </c>
    </row>
    <row r="171" spans="13:13" x14ac:dyDescent="0.3">
      <c r="M171" s="26" t="str">
        <f t="shared" si="2"/>
        <v xml:space="preserve"> </v>
      </c>
    </row>
    <row r="172" spans="13:13" x14ac:dyDescent="0.3">
      <c r="M172" s="26" t="str">
        <f t="shared" si="2"/>
        <v xml:space="preserve"> </v>
      </c>
    </row>
    <row r="173" spans="13:13" x14ac:dyDescent="0.3">
      <c r="M173" s="26" t="str">
        <f t="shared" si="2"/>
        <v xml:space="preserve"> </v>
      </c>
    </row>
    <row r="174" spans="13:13" x14ac:dyDescent="0.3">
      <c r="M174" s="26" t="str">
        <f t="shared" si="2"/>
        <v xml:space="preserve"> </v>
      </c>
    </row>
    <row r="175" spans="13:13" x14ac:dyDescent="0.3">
      <c r="M175" s="26" t="str">
        <f t="shared" si="2"/>
        <v xml:space="preserve"> </v>
      </c>
    </row>
    <row r="176" spans="13:13" x14ac:dyDescent="0.3">
      <c r="M176" s="26" t="str">
        <f t="shared" si="2"/>
        <v xml:space="preserve"> </v>
      </c>
    </row>
    <row r="177" spans="13:13" x14ac:dyDescent="0.3">
      <c r="M177" s="26" t="str">
        <f t="shared" si="2"/>
        <v xml:space="preserve"> </v>
      </c>
    </row>
    <row r="178" spans="13:13" x14ac:dyDescent="0.3">
      <c r="M178" s="26" t="str">
        <f t="shared" si="2"/>
        <v xml:space="preserve"> </v>
      </c>
    </row>
    <row r="179" spans="13:13" x14ac:dyDescent="0.3">
      <c r="M179" s="26" t="str">
        <f t="shared" si="2"/>
        <v xml:space="preserve"> </v>
      </c>
    </row>
    <row r="180" spans="13:13" x14ac:dyDescent="0.3">
      <c r="M180" s="26" t="str">
        <f t="shared" si="2"/>
        <v xml:space="preserve"> </v>
      </c>
    </row>
    <row r="181" spans="13:13" x14ac:dyDescent="0.3">
      <c r="M181" s="26" t="str">
        <f t="shared" si="2"/>
        <v xml:space="preserve"> </v>
      </c>
    </row>
    <row r="182" spans="13:13" x14ac:dyDescent="0.3">
      <c r="M182" s="26" t="str">
        <f t="shared" si="2"/>
        <v xml:space="preserve"> </v>
      </c>
    </row>
    <row r="183" spans="13:13" x14ac:dyDescent="0.3">
      <c r="M183" s="26" t="str">
        <f t="shared" si="2"/>
        <v xml:space="preserve"> </v>
      </c>
    </row>
    <row r="184" spans="13:13" x14ac:dyDescent="0.3">
      <c r="M184" s="26" t="str">
        <f t="shared" si="2"/>
        <v xml:space="preserve"> </v>
      </c>
    </row>
    <row r="185" spans="13:13" x14ac:dyDescent="0.3">
      <c r="M185" s="26" t="str">
        <f t="shared" si="2"/>
        <v xml:space="preserve"> </v>
      </c>
    </row>
    <row r="186" spans="13:13" x14ac:dyDescent="0.3">
      <c r="M186" s="26" t="str">
        <f t="shared" si="2"/>
        <v xml:space="preserve"> </v>
      </c>
    </row>
    <row r="187" spans="13:13" x14ac:dyDescent="0.3">
      <c r="M187" s="26" t="str">
        <f t="shared" si="2"/>
        <v xml:space="preserve"> </v>
      </c>
    </row>
    <row r="188" spans="13:13" x14ac:dyDescent="0.3">
      <c r="M188" s="26" t="str">
        <f t="shared" si="2"/>
        <v xml:space="preserve"> </v>
      </c>
    </row>
    <row r="189" spans="13:13" x14ac:dyDescent="0.3">
      <c r="M189" s="26" t="str">
        <f t="shared" si="2"/>
        <v xml:space="preserve"> </v>
      </c>
    </row>
    <row r="190" spans="13:13" x14ac:dyDescent="0.3">
      <c r="M190" s="26" t="str">
        <f t="shared" si="2"/>
        <v xml:space="preserve"> </v>
      </c>
    </row>
    <row r="191" spans="13:13" x14ac:dyDescent="0.3">
      <c r="M191" s="26" t="str">
        <f t="shared" si="2"/>
        <v xml:space="preserve"> </v>
      </c>
    </row>
    <row r="192" spans="13:13" x14ac:dyDescent="0.3">
      <c r="M192" s="26" t="str">
        <f t="shared" si="2"/>
        <v xml:space="preserve"> </v>
      </c>
    </row>
    <row r="193" spans="13:13" x14ac:dyDescent="0.3">
      <c r="M193" s="26" t="str">
        <f t="shared" si="2"/>
        <v xml:space="preserve"> </v>
      </c>
    </row>
    <row r="194" spans="13:13" x14ac:dyDescent="0.3">
      <c r="M194" s="26" t="str">
        <f t="shared" ref="M194:M257" si="3">_xlfn.CONCAT(L194," ",F194)</f>
        <v xml:space="preserve"> </v>
      </c>
    </row>
    <row r="195" spans="13:13" x14ac:dyDescent="0.3">
      <c r="M195" s="26" t="str">
        <f t="shared" si="3"/>
        <v xml:space="preserve"> </v>
      </c>
    </row>
    <row r="196" spans="13:13" x14ac:dyDescent="0.3">
      <c r="M196" s="26" t="str">
        <f t="shared" si="3"/>
        <v xml:space="preserve"> </v>
      </c>
    </row>
    <row r="197" spans="13:13" x14ac:dyDescent="0.3">
      <c r="M197" s="26" t="str">
        <f t="shared" si="3"/>
        <v xml:space="preserve"> </v>
      </c>
    </row>
    <row r="198" spans="13:13" x14ac:dyDescent="0.3">
      <c r="M198" s="26" t="str">
        <f t="shared" si="3"/>
        <v xml:space="preserve"> </v>
      </c>
    </row>
    <row r="199" spans="13:13" x14ac:dyDescent="0.3">
      <c r="M199" s="26" t="str">
        <f t="shared" si="3"/>
        <v xml:space="preserve"> </v>
      </c>
    </row>
    <row r="200" spans="13:13" x14ac:dyDescent="0.3">
      <c r="M200" s="26" t="str">
        <f t="shared" si="3"/>
        <v xml:space="preserve"> </v>
      </c>
    </row>
    <row r="201" spans="13:13" x14ac:dyDescent="0.3">
      <c r="M201" s="26" t="str">
        <f t="shared" si="3"/>
        <v xml:space="preserve"> </v>
      </c>
    </row>
    <row r="202" spans="13:13" x14ac:dyDescent="0.3">
      <c r="M202" s="26" t="str">
        <f t="shared" si="3"/>
        <v xml:space="preserve"> </v>
      </c>
    </row>
    <row r="203" spans="13:13" x14ac:dyDescent="0.3">
      <c r="M203" s="26" t="str">
        <f t="shared" si="3"/>
        <v xml:space="preserve"> </v>
      </c>
    </row>
    <row r="204" spans="13:13" x14ac:dyDescent="0.3">
      <c r="M204" s="26" t="str">
        <f t="shared" si="3"/>
        <v xml:space="preserve"> </v>
      </c>
    </row>
    <row r="205" spans="13:13" x14ac:dyDescent="0.3">
      <c r="M205" s="26" t="str">
        <f t="shared" si="3"/>
        <v xml:space="preserve"> </v>
      </c>
    </row>
    <row r="206" spans="13:13" x14ac:dyDescent="0.3">
      <c r="M206" s="26" t="str">
        <f t="shared" si="3"/>
        <v xml:space="preserve"> </v>
      </c>
    </row>
    <row r="207" spans="13:13" x14ac:dyDescent="0.3">
      <c r="M207" s="26" t="str">
        <f t="shared" si="3"/>
        <v xml:space="preserve"> </v>
      </c>
    </row>
    <row r="208" spans="13:13" x14ac:dyDescent="0.3">
      <c r="M208" s="26" t="str">
        <f t="shared" si="3"/>
        <v xml:space="preserve"> </v>
      </c>
    </row>
    <row r="209" spans="13:13" x14ac:dyDescent="0.3">
      <c r="M209" s="26" t="str">
        <f t="shared" si="3"/>
        <v xml:space="preserve"> </v>
      </c>
    </row>
    <row r="210" spans="13:13" x14ac:dyDescent="0.3">
      <c r="M210" s="26" t="str">
        <f t="shared" si="3"/>
        <v xml:space="preserve"> </v>
      </c>
    </row>
    <row r="211" spans="13:13" x14ac:dyDescent="0.3">
      <c r="M211" s="26" t="str">
        <f t="shared" si="3"/>
        <v xml:space="preserve"> </v>
      </c>
    </row>
    <row r="212" spans="13:13" x14ac:dyDescent="0.3">
      <c r="M212" s="26" t="str">
        <f t="shared" si="3"/>
        <v xml:space="preserve"> </v>
      </c>
    </row>
    <row r="213" spans="13:13" x14ac:dyDescent="0.3">
      <c r="M213" s="26" t="str">
        <f t="shared" si="3"/>
        <v xml:space="preserve"> </v>
      </c>
    </row>
    <row r="214" spans="13:13" x14ac:dyDescent="0.3">
      <c r="M214" s="26" t="str">
        <f t="shared" si="3"/>
        <v xml:space="preserve"> </v>
      </c>
    </row>
    <row r="215" spans="13:13" x14ac:dyDescent="0.3">
      <c r="M215" s="26" t="str">
        <f t="shared" si="3"/>
        <v xml:space="preserve"> </v>
      </c>
    </row>
    <row r="216" spans="13:13" x14ac:dyDescent="0.3">
      <c r="M216" s="26" t="str">
        <f t="shared" si="3"/>
        <v xml:space="preserve"> </v>
      </c>
    </row>
    <row r="217" spans="13:13" x14ac:dyDescent="0.3">
      <c r="M217" s="26" t="str">
        <f t="shared" si="3"/>
        <v xml:space="preserve"> </v>
      </c>
    </row>
    <row r="218" spans="13:13" x14ac:dyDescent="0.3">
      <c r="M218" s="26" t="str">
        <f t="shared" si="3"/>
        <v xml:space="preserve"> </v>
      </c>
    </row>
    <row r="219" spans="13:13" x14ac:dyDescent="0.3">
      <c r="M219" s="26" t="str">
        <f t="shared" si="3"/>
        <v xml:space="preserve"> </v>
      </c>
    </row>
    <row r="220" spans="13:13" x14ac:dyDescent="0.3">
      <c r="M220" s="26" t="str">
        <f t="shared" si="3"/>
        <v xml:space="preserve"> </v>
      </c>
    </row>
    <row r="221" spans="13:13" x14ac:dyDescent="0.3">
      <c r="M221" s="26" t="str">
        <f t="shared" si="3"/>
        <v xml:space="preserve"> </v>
      </c>
    </row>
    <row r="222" spans="13:13" x14ac:dyDescent="0.3">
      <c r="M222" s="26" t="str">
        <f t="shared" si="3"/>
        <v xml:space="preserve"> </v>
      </c>
    </row>
    <row r="223" spans="13:13" x14ac:dyDescent="0.3">
      <c r="M223" s="26" t="str">
        <f t="shared" si="3"/>
        <v xml:space="preserve"> </v>
      </c>
    </row>
    <row r="224" spans="13:13" x14ac:dyDescent="0.3">
      <c r="M224" s="26" t="str">
        <f t="shared" si="3"/>
        <v xml:space="preserve"> </v>
      </c>
    </row>
    <row r="225" spans="13:13" x14ac:dyDescent="0.3">
      <c r="M225" s="26" t="str">
        <f t="shared" si="3"/>
        <v xml:space="preserve"> </v>
      </c>
    </row>
    <row r="226" spans="13:13" x14ac:dyDescent="0.3">
      <c r="M226" s="26" t="str">
        <f t="shared" si="3"/>
        <v xml:space="preserve"> </v>
      </c>
    </row>
    <row r="227" spans="13:13" x14ac:dyDescent="0.3">
      <c r="M227" s="26" t="str">
        <f t="shared" si="3"/>
        <v xml:space="preserve"> </v>
      </c>
    </row>
    <row r="228" spans="13:13" x14ac:dyDescent="0.3">
      <c r="M228" s="26" t="str">
        <f t="shared" si="3"/>
        <v xml:space="preserve"> </v>
      </c>
    </row>
    <row r="229" spans="13:13" x14ac:dyDescent="0.3">
      <c r="M229" s="26" t="str">
        <f t="shared" si="3"/>
        <v xml:space="preserve"> </v>
      </c>
    </row>
    <row r="230" spans="13:13" x14ac:dyDescent="0.3">
      <c r="M230" s="26" t="str">
        <f t="shared" si="3"/>
        <v xml:space="preserve"> </v>
      </c>
    </row>
    <row r="231" spans="13:13" x14ac:dyDescent="0.3">
      <c r="M231" s="26" t="str">
        <f t="shared" si="3"/>
        <v xml:space="preserve"> </v>
      </c>
    </row>
    <row r="232" spans="13:13" x14ac:dyDescent="0.3">
      <c r="M232" s="26" t="str">
        <f t="shared" si="3"/>
        <v xml:space="preserve"> </v>
      </c>
    </row>
    <row r="233" spans="13:13" x14ac:dyDescent="0.3">
      <c r="M233" s="26" t="str">
        <f t="shared" si="3"/>
        <v xml:space="preserve"> </v>
      </c>
    </row>
    <row r="234" spans="13:13" x14ac:dyDescent="0.3">
      <c r="M234" s="26" t="str">
        <f t="shared" si="3"/>
        <v xml:space="preserve"> </v>
      </c>
    </row>
    <row r="235" spans="13:13" x14ac:dyDescent="0.3">
      <c r="M235" s="26" t="str">
        <f t="shared" si="3"/>
        <v xml:space="preserve"> </v>
      </c>
    </row>
    <row r="236" spans="13:13" x14ac:dyDescent="0.3">
      <c r="M236" s="26" t="str">
        <f t="shared" si="3"/>
        <v xml:space="preserve"> </v>
      </c>
    </row>
    <row r="237" spans="13:13" x14ac:dyDescent="0.3">
      <c r="M237" s="26" t="str">
        <f t="shared" si="3"/>
        <v xml:space="preserve"> </v>
      </c>
    </row>
    <row r="238" spans="13:13" x14ac:dyDescent="0.3">
      <c r="M238" s="26" t="str">
        <f t="shared" si="3"/>
        <v xml:space="preserve"> </v>
      </c>
    </row>
    <row r="239" spans="13:13" x14ac:dyDescent="0.3">
      <c r="M239" s="26" t="str">
        <f t="shared" si="3"/>
        <v xml:space="preserve"> </v>
      </c>
    </row>
    <row r="240" spans="13:13" x14ac:dyDescent="0.3">
      <c r="M240" s="26" t="str">
        <f t="shared" si="3"/>
        <v xml:space="preserve"> </v>
      </c>
    </row>
    <row r="241" spans="13:13" x14ac:dyDescent="0.3">
      <c r="M241" s="26" t="str">
        <f t="shared" si="3"/>
        <v xml:space="preserve"> </v>
      </c>
    </row>
    <row r="242" spans="13:13" x14ac:dyDescent="0.3">
      <c r="M242" s="26" t="str">
        <f t="shared" si="3"/>
        <v xml:space="preserve"> </v>
      </c>
    </row>
    <row r="243" spans="13:13" x14ac:dyDescent="0.3">
      <c r="M243" s="26" t="str">
        <f t="shared" si="3"/>
        <v xml:space="preserve"> </v>
      </c>
    </row>
    <row r="244" spans="13:13" x14ac:dyDescent="0.3">
      <c r="M244" s="26" t="str">
        <f t="shared" si="3"/>
        <v xml:space="preserve"> </v>
      </c>
    </row>
    <row r="245" spans="13:13" x14ac:dyDescent="0.3">
      <c r="M245" s="26" t="str">
        <f t="shared" si="3"/>
        <v xml:space="preserve"> </v>
      </c>
    </row>
    <row r="246" spans="13:13" x14ac:dyDescent="0.3">
      <c r="M246" s="26" t="str">
        <f t="shared" si="3"/>
        <v xml:space="preserve"> </v>
      </c>
    </row>
    <row r="247" spans="13:13" x14ac:dyDescent="0.3">
      <c r="M247" s="26" t="str">
        <f t="shared" si="3"/>
        <v xml:space="preserve"> </v>
      </c>
    </row>
    <row r="248" spans="13:13" x14ac:dyDescent="0.3">
      <c r="M248" s="26" t="str">
        <f t="shared" si="3"/>
        <v xml:space="preserve"> </v>
      </c>
    </row>
    <row r="249" spans="13:13" x14ac:dyDescent="0.3">
      <c r="M249" s="26" t="str">
        <f t="shared" si="3"/>
        <v xml:space="preserve"> </v>
      </c>
    </row>
    <row r="250" spans="13:13" x14ac:dyDescent="0.3">
      <c r="M250" s="26" t="str">
        <f t="shared" si="3"/>
        <v xml:space="preserve"> </v>
      </c>
    </row>
    <row r="251" spans="13:13" x14ac:dyDescent="0.3">
      <c r="M251" s="26" t="str">
        <f t="shared" si="3"/>
        <v xml:space="preserve"> </v>
      </c>
    </row>
    <row r="252" spans="13:13" x14ac:dyDescent="0.3">
      <c r="M252" s="26" t="str">
        <f t="shared" si="3"/>
        <v xml:space="preserve"> </v>
      </c>
    </row>
    <row r="253" spans="13:13" x14ac:dyDescent="0.3">
      <c r="M253" s="26" t="str">
        <f t="shared" si="3"/>
        <v xml:space="preserve"> </v>
      </c>
    </row>
    <row r="254" spans="13:13" x14ac:dyDescent="0.3">
      <c r="M254" s="26" t="str">
        <f t="shared" si="3"/>
        <v xml:space="preserve"> </v>
      </c>
    </row>
    <row r="255" spans="13:13" x14ac:dyDescent="0.3">
      <c r="M255" s="26" t="str">
        <f t="shared" si="3"/>
        <v xml:space="preserve"> </v>
      </c>
    </row>
    <row r="256" spans="13:13" x14ac:dyDescent="0.3">
      <c r="M256" s="26" t="str">
        <f t="shared" si="3"/>
        <v xml:space="preserve"> </v>
      </c>
    </row>
    <row r="257" spans="13:13" x14ac:dyDescent="0.3">
      <c r="M257" s="26" t="str">
        <f t="shared" si="3"/>
        <v xml:space="preserve"> </v>
      </c>
    </row>
    <row r="258" spans="13:13" x14ac:dyDescent="0.3">
      <c r="M258" s="26" t="str">
        <f t="shared" ref="M258:M321" si="4">_xlfn.CONCAT(L258," ",F258)</f>
        <v xml:space="preserve"> </v>
      </c>
    </row>
    <row r="259" spans="13:13" x14ac:dyDescent="0.3">
      <c r="M259" s="26" t="str">
        <f t="shared" si="4"/>
        <v xml:space="preserve"> </v>
      </c>
    </row>
    <row r="260" spans="13:13" x14ac:dyDescent="0.3">
      <c r="M260" s="26" t="str">
        <f t="shared" si="4"/>
        <v xml:space="preserve"> </v>
      </c>
    </row>
    <row r="261" spans="13:13" x14ac:dyDescent="0.3">
      <c r="M261" s="26" t="str">
        <f t="shared" si="4"/>
        <v xml:space="preserve"> </v>
      </c>
    </row>
    <row r="262" spans="13:13" x14ac:dyDescent="0.3">
      <c r="M262" s="26" t="str">
        <f t="shared" si="4"/>
        <v xml:space="preserve"> </v>
      </c>
    </row>
    <row r="263" spans="13:13" x14ac:dyDescent="0.3">
      <c r="M263" s="26" t="str">
        <f t="shared" si="4"/>
        <v xml:space="preserve"> </v>
      </c>
    </row>
    <row r="264" spans="13:13" x14ac:dyDescent="0.3">
      <c r="M264" s="26" t="str">
        <f t="shared" si="4"/>
        <v xml:space="preserve"> </v>
      </c>
    </row>
    <row r="265" spans="13:13" x14ac:dyDescent="0.3">
      <c r="M265" s="26" t="str">
        <f t="shared" si="4"/>
        <v xml:space="preserve"> </v>
      </c>
    </row>
    <row r="266" spans="13:13" x14ac:dyDescent="0.3">
      <c r="M266" s="26" t="str">
        <f t="shared" si="4"/>
        <v xml:space="preserve"> </v>
      </c>
    </row>
    <row r="267" spans="13:13" x14ac:dyDescent="0.3">
      <c r="M267" s="26" t="str">
        <f t="shared" si="4"/>
        <v xml:space="preserve"> </v>
      </c>
    </row>
    <row r="268" spans="13:13" x14ac:dyDescent="0.3">
      <c r="M268" s="26" t="str">
        <f t="shared" si="4"/>
        <v xml:space="preserve"> </v>
      </c>
    </row>
    <row r="269" spans="13:13" x14ac:dyDescent="0.3">
      <c r="M269" s="26" t="str">
        <f t="shared" si="4"/>
        <v xml:space="preserve"> </v>
      </c>
    </row>
    <row r="270" spans="13:13" x14ac:dyDescent="0.3">
      <c r="M270" s="26" t="str">
        <f t="shared" si="4"/>
        <v xml:space="preserve"> </v>
      </c>
    </row>
    <row r="271" spans="13:13" x14ac:dyDescent="0.3">
      <c r="M271" s="26" t="str">
        <f t="shared" si="4"/>
        <v xml:space="preserve"> </v>
      </c>
    </row>
    <row r="272" spans="13:13" x14ac:dyDescent="0.3">
      <c r="M272" s="26" t="str">
        <f t="shared" si="4"/>
        <v xml:space="preserve"> </v>
      </c>
    </row>
    <row r="273" spans="13:13" x14ac:dyDescent="0.3">
      <c r="M273" s="26" t="str">
        <f t="shared" si="4"/>
        <v xml:space="preserve"> </v>
      </c>
    </row>
    <row r="274" spans="13:13" x14ac:dyDescent="0.3">
      <c r="M274" s="26" t="str">
        <f t="shared" si="4"/>
        <v xml:space="preserve"> </v>
      </c>
    </row>
    <row r="275" spans="13:13" x14ac:dyDescent="0.3">
      <c r="M275" s="26" t="str">
        <f t="shared" si="4"/>
        <v xml:space="preserve"> </v>
      </c>
    </row>
    <row r="276" spans="13:13" x14ac:dyDescent="0.3">
      <c r="M276" s="26" t="str">
        <f t="shared" si="4"/>
        <v xml:space="preserve"> </v>
      </c>
    </row>
    <row r="277" spans="13:13" x14ac:dyDescent="0.3">
      <c r="M277" s="26" t="str">
        <f t="shared" si="4"/>
        <v xml:space="preserve"> </v>
      </c>
    </row>
    <row r="278" spans="13:13" x14ac:dyDescent="0.3">
      <c r="M278" s="26" t="str">
        <f t="shared" si="4"/>
        <v xml:space="preserve"> </v>
      </c>
    </row>
    <row r="279" spans="13:13" x14ac:dyDescent="0.3">
      <c r="M279" s="26" t="str">
        <f t="shared" si="4"/>
        <v xml:space="preserve"> </v>
      </c>
    </row>
    <row r="280" spans="13:13" x14ac:dyDescent="0.3">
      <c r="M280" s="26" t="str">
        <f t="shared" si="4"/>
        <v xml:space="preserve"> </v>
      </c>
    </row>
    <row r="281" spans="13:13" x14ac:dyDescent="0.3">
      <c r="M281" s="26" t="str">
        <f t="shared" si="4"/>
        <v xml:space="preserve"> </v>
      </c>
    </row>
    <row r="282" spans="13:13" x14ac:dyDescent="0.3">
      <c r="M282" s="26" t="str">
        <f t="shared" si="4"/>
        <v xml:space="preserve"> </v>
      </c>
    </row>
    <row r="283" spans="13:13" x14ac:dyDescent="0.3">
      <c r="M283" s="26" t="str">
        <f t="shared" si="4"/>
        <v xml:space="preserve"> </v>
      </c>
    </row>
    <row r="284" spans="13:13" x14ac:dyDescent="0.3">
      <c r="M284" s="26" t="str">
        <f t="shared" si="4"/>
        <v xml:space="preserve"> </v>
      </c>
    </row>
    <row r="285" spans="13:13" x14ac:dyDescent="0.3">
      <c r="M285" s="26" t="str">
        <f t="shared" si="4"/>
        <v xml:space="preserve"> </v>
      </c>
    </row>
    <row r="286" spans="13:13" x14ac:dyDescent="0.3">
      <c r="M286" s="26" t="str">
        <f t="shared" si="4"/>
        <v xml:space="preserve"> </v>
      </c>
    </row>
    <row r="287" spans="13:13" x14ac:dyDescent="0.3">
      <c r="M287" s="26" t="str">
        <f t="shared" si="4"/>
        <v xml:space="preserve"> </v>
      </c>
    </row>
    <row r="288" spans="13:13" x14ac:dyDescent="0.3">
      <c r="M288" s="26" t="str">
        <f t="shared" si="4"/>
        <v xml:space="preserve"> </v>
      </c>
    </row>
    <row r="289" spans="13:13" x14ac:dyDescent="0.3">
      <c r="M289" s="26" t="str">
        <f t="shared" si="4"/>
        <v xml:space="preserve"> </v>
      </c>
    </row>
    <row r="290" spans="13:13" x14ac:dyDescent="0.3">
      <c r="M290" s="26" t="str">
        <f t="shared" si="4"/>
        <v xml:space="preserve"> </v>
      </c>
    </row>
    <row r="291" spans="13:13" x14ac:dyDescent="0.3">
      <c r="M291" s="26" t="str">
        <f t="shared" si="4"/>
        <v xml:space="preserve"> </v>
      </c>
    </row>
    <row r="292" spans="13:13" x14ac:dyDescent="0.3">
      <c r="M292" s="26" t="str">
        <f t="shared" si="4"/>
        <v xml:space="preserve"> </v>
      </c>
    </row>
    <row r="293" spans="13:13" x14ac:dyDescent="0.3">
      <c r="M293" s="26" t="str">
        <f t="shared" si="4"/>
        <v xml:space="preserve"> </v>
      </c>
    </row>
    <row r="294" spans="13:13" x14ac:dyDescent="0.3">
      <c r="M294" s="26" t="str">
        <f t="shared" si="4"/>
        <v xml:space="preserve"> </v>
      </c>
    </row>
    <row r="295" spans="13:13" x14ac:dyDescent="0.3">
      <c r="M295" s="26" t="str">
        <f t="shared" si="4"/>
        <v xml:space="preserve"> </v>
      </c>
    </row>
    <row r="296" spans="13:13" x14ac:dyDescent="0.3">
      <c r="M296" s="26" t="str">
        <f t="shared" si="4"/>
        <v xml:space="preserve"> </v>
      </c>
    </row>
    <row r="297" spans="13:13" x14ac:dyDescent="0.3">
      <c r="M297" s="26" t="str">
        <f t="shared" si="4"/>
        <v xml:space="preserve"> </v>
      </c>
    </row>
    <row r="298" spans="13:13" x14ac:dyDescent="0.3">
      <c r="M298" s="26" t="str">
        <f t="shared" si="4"/>
        <v xml:space="preserve"> </v>
      </c>
    </row>
    <row r="299" spans="13:13" x14ac:dyDescent="0.3">
      <c r="M299" s="26" t="str">
        <f t="shared" si="4"/>
        <v xml:space="preserve"> </v>
      </c>
    </row>
    <row r="300" spans="13:13" x14ac:dyDescent="0.3">
      <c r="M300" s="26" t="str">
        <f t="shared" si="4"/>
        <v xml:space="preserve"> </v>
      </c>
    </row>
    <row r="301" spans="13:13" x14ac:dyDescent="0.3">
      <c r="M301" s="26" t="str">
        <f t="shared" si="4"/>
        <v xml:space="preserve"> </v>
      </c>
    </row>
    <row r="302" spans="13:13" x14ac:dyDescent="0.3">
      <c r="M302" s="26" t="str">
        <f t="shared" si="4"/>
        <v xml:space="preserve"> </v>
      </c>
    </row>
    <row r="303" spans="13:13" x14ac:dyDescent="0.3">
      <c r="M303" s="26" t="str">
        <f t="shared" si="4"/>
        <v xml:space="preserve"> </v>
      </c>
    </row>
    <row r="304" spans="13:13" x14ac:dyDescent="0.3">
      <c r="M304" s="26" t="str">
        <f t="shared" si="4"/>
        <v xml:space="preserve"> </v>
      </c>
    </row>
    <row r="305" spans="13:13" x14ac:dyDescent="0.3">
      <c r="M305" s="26" t="str">
        <f t="shared" si="4"/>
        <v xml:space="preserve"> </v>
      </c>
    </row>
    <row r="306" spans="13:13" x14ac:dyDescent="0.3">
      <c r="M306" s="26" t="str">
        <f t="shared" si="4"/>
        <v xml:space="preserve"> </v>
      </c>
    </row>
    <row r="307" spans="13:13" x14ac:dyDescent="0.3">
      <c r="M307" s="26" t="str">
        <f t="shared" si="4"/>
        <v xml:space="preserve"> </v>
      </c>
    </row>
    <row r="308" spans="13:13" x14ac:dyDescent="0.3">
      <c r="M308" s="26" t="str">
        <f t="shared" si="4"/>
        <v xml:space="preserve"> </v>
      </c>
    </row>
    <row r="309" spans="13:13" x14ac:dyDescent="0.3">
      <c r="M309" s="26" t="str">
        <f t="shared" si="4"/>
        <v xml:space="preserve"> </v>
      </c>
    </row>
    <row r="310" spans="13:13" x14ac:dyDescent="0.3">
      <c r="M310" s="26" t="str">
        <f t="shared" si="4"/>
        <v xml:space="preserve"> </v>
      </c>
    </row>
    <row r="311" spans="13:13" x14ac:dyDescent="0.3">
      <c r="M311" s="26" t="str">
        <f t="shared" si="4"/>
        <v xml:space="preserve"> </v>
      </c>
    </row>
    <row r="312" spans="13:13" x14ac:dyDescent="0.3">
      <c r="M312" s="26" t="str">
        <f t="shared" si="4"/>
        <v xml:space="preserve"> </v>
      </c>
    </row>
    <row r="313" spans="13:13" x14ac:dyDescent="0.3">
      <c r="M313" s="26" t="str">
        <f t="shared" si="4"/>
        <v xml:space="preserve"> </v>
      </c>
    </row>
    <row r="314" spans="13:13" x14ac:dyDescent="0.3">
      <c r="M314" s="26" t="str">
        <f t="shared" si="4"/>
        <v xml:space="preserve"> </v>
      </c>
    </row>
    <row r="315" spans="13:13" x14ac:dyDescent="0.3">
      <c r="M315" s="26" t="str">
        <f t="shared" si="4"/>
        <v xml:space="preserve"> </v>
      </c>
    </row>
    <row r="316" spans="13:13" x14ac:dyDescent="0.3">
      <c r="M316" s="26" t="str">
        <f t="shared" si="4"/>
        <v xml:space="preserve"> </v>
      </c>
    </row>
    <row r="317" spans="13:13" x14ac:dyDescent="0.3">
      <c r="M317" s="26" t="str">
        <f t="shared" si="4"/>
        <v xml:space="preserve"> </v>
      </c>
    </row>
    <row r="318" spans="13:13" x14ac:dyDescent="0.3">
      <c r="M318" s="26" t="str">
        <f t="shared" si="4"/>
        <v xml:space="preserve"> </v>
      </c>
    </row>
    <row r="319" spans="13:13" x14ac:dyDescent="0.3">
      <c r="M319" s="26" t="str">
        <f t="shared" si="4"/>
        <v xml:space="preserve"> </v>
      </c>
    </row>
    <row r="320" spans="13:13" x14ac:dyDescent="0.3">
      <c r="M320" s="26" t="str">
        <f t="shared" si="4"/>
        <v xml:space="preserve"> </v>
      </c>
    </row>
    <row r="321" spans="13:13" x14ac:dyDescent="0.3">
      <c r="M321" s="26" t="str">
        <f t="shared" si="4"/>
        <v xml:space="preserve"> </v>
      </c>
    </row>
    <row r="322" spans="13:13" x14ac:dyDescent="0.3">
      <c r="M322" s="26" t="str">
        <f t="shared" ref="M322:M385" si="5">_xlfn.CONCAT(L322," ",F322)</f>
        <v xml:space="preserve"> </v>
      </c>
    </row>
    <row r="323" spans="13:13" x14ac:dyDescent="0.3">
      <c r="M323" s="26" t="str">
        <f t="shared" si="5"/>
        <v xml:space="preserve"> </v>
      </c>
    </row>
    <row r="324" spans="13:13" x14ac:dyDescent="0.3">
      <c r="M324" s="26" t="str">
        <f t="shared" si="5"/>
        <v xml:space="preserve"> </v>
      </c>
    </row>
    <row r="325" spans="13:13" x14ac:dyDescent="0.3">
      <c r="M325" s="26" t="str">
        <f t="shared" si="5"/>
        <v xml:space="preserve"> </v>
      </c>
    </row>
    <row r="326" spans="13:13" x14ac:dyDescent="0.3">
      <c r="M326" s="26" t="str">
        <f t="shared" si="5"/>
        <v xml:space="preserve"> </v>
      </c>
    </row>
    <row r="327" spans="13:13" x14ac:dyDescent="0.3">
      <c r="M327" s="26" t="str">
        <f t="shared" si="5"/>
        <v xml:space="preserve"> </v>
      </c>
    </row>
    <row r="328" spans="13:13" x14ac:dyDescent="0.3">
      <c r="M328" s="26" t="str">
        <f t="shared" si="5"/>
        <v xml:space="preserve"> </v>
      </c>
    </row>
    <row r="329" spans="13:13" x14ac:dyDescent="0.3">
      <c r="M329" s="26" t="str">
        <f t="shared" si="5"/>
        <v xml:space="preserve"> </v>
      </c>
    </row>
    <row r="330" spans="13:13" x14ac:dyDescent="0.3">
      <c r="M330" s="26" t="str">
        <f t="shared" si="5"/>
        <v xml:space="preserve"> </v>
      </c>
    </row>
    <row r="331" spans="13:13" x14ac:dyDescent="0.3">
      <c r="M331" s="26" t="str">
        <f t="shared" si="5"/>
        <v xml:space="preserve"> </v>
      </c>
    </row>
    <row r="332" spans="13:13" x14ac:dyDescent="0.3">
      <c r="M332" s="26" t="str">
        <f t="shared" si="5"/>
        <v xml:space="preserve"> </v>
      </c>
    </row>
    <row r="333" spans="13:13" x14ac:dyDescent="0.3">
      <c r="M333" s="26" t="str">
        <f t="shared" si="5"/>
        <v xml:space="preserve"> </v>
      </c>
    </row>
    <row r="334" spans="13:13" x14ac:dyDescent="0.3">
      <c r="M334" s="26" t="str">
        <f t="shared" si="5"/>
        <v xml:space="preserve"> </v>
      </c>
    </row>
    <row r="335" spans="13:13" x14ac:dyDescent="0.3">
      <c r="M335" s="26" t="str">
        <f t="shared" si="5"/>
        <v xml:space="preserve"> </v>
      </c>
    </row>
    <row r="336" spans="13:13" x14ac:dyDescent="0.3">
      <c r="M336" s="26" t="str">
        <f t="shared" si="5"/>
        <v xml:space="preserve"> </v>
      </c>
    </row>
    <row r="337" spans="13:13" x14ac:dyDescent="0.3">
      <c r="M337" s="26" t="str">
        <f t="shared" si="5"/>
        <v xml:space="preserve"> </v>
      </c>
    </row>
    <row r="338" spans="13:13" x14ac:dyDescent="0.3">
      <c r="M338" s="26" t="str">
        <f t="shared" si="5"/>
        <v xml:space="preserve"> </v>
      </c>
    </row>
    <row r="339" spans="13:13" x14ac:dyDescent="0.3">
      <c r="M339" s="26" t="str">
        <f t="shared" si="5"/>
        <v xml:space="preserve"> </v>
      </c>
    </row>
    <row r="340" spans="13:13" x14ac:dyDescent="0.3">
      <c r="M340" s="26" t="str">
        <f t="shared" si="5"/>
        <v xml:space="preserve"> </v>
      </c>
    </row>
    <row r="341" spans="13:13" x14ac:dyDescent="0.3">
      <c r="M341" s="26" t="str">
        <f t="shared" si="5"/>
        <v xml:space="preserve"> </v>
      </c>
    </row>
    <row r="342" spans="13:13" x14ac:dyDescent="0.3">
      <c r="M342" s="26" t="str">
        <f t="shared" si="5"/>
        <v xml:space="preserve"> </v>
      </c>
    </row>
    <row r="343" spans="13:13" x14ac:dyDescent="0.3">
      <c r="M343" s="26" t="str">
        <f t="shared" si="5"/>
        <v xml:space="preserve"> </v>
      </c>
    </row>
    <row r="344" spans="13:13" x14ac:dyDescent="0.3">
      <c r="M344" s="26" t="str">
        <f t="shared" si="5"/>
        <v xml:space="preserve"> </v>
      </c>
    </row>
    <row r="345" spans="13:13" x14ac:dyDescent="0.3">
      <c r="M345" s="26" t="str">
        <f t="shared" si="5"/>
        <v xml:space="preserve"> </v>
      </c>
    </row>
    <row r="346" spans="13:13" x14ac:dyDescent="0.3">
      <c r="M346" s="26" t="str">
        <f t="shared" si="5"/>
        <v xml:space="preserve"> </v>
      </c>
    </row>
    <row r="347" spans="13:13" x14ac:dyDescent="0.3">
      <c r="M347" s="26" t="str">
        <f t="shared" si="5"/>
        <v xml:space="preserve"> </v>
      </c>
    </row>
    <row r="348" spans="13:13" x14ac:dyDescent="0.3">
      <c r="M348" s="26" t="str">
        <f t="shared" si="5"/>
        <v xml:space="preserve"> </v>
      </c>
    </row>
    <row r="349" spans="13:13" x14ac:dyDescent="0.3">
      <c r="M349" s="26" t="str">
        <f t="shared" si="5"/>
        <v xml:space="preserve"> </v>
      </c>
    </row>
    <row r="350" spans="13:13" x14ac:dyDescent="0.3">
      <c r="M350" s="26" t="str">
        <f t="shared" si="5"/>
        <v xml:space="preserve"> </v>
      </c>
    </row>
    <row r="351" spans="13:13" x14ac:dyDescent="0.3">
      <c r="M351" s="26" t="str">
        <f t="shared" si="5"/>
        <v xml:space="preserve"> </v>
      </c>
    </row>
    <row r="352" spans="13:13" x14ac:dyDescent="0.3">
      <c r="M352" s="26" t="str">
        <f t="shared" si="5"/>
        <v xml:space="preserve"> </v>
      </c>
    </row>
    <row r="353" spans="13:13" x14ac:dyDescent="0.3">
      <c r="M353" s="26" t="str">
        <f t="shared" si="5"/>
        <v xml:space="preserve"> </v>
      </c>
    </row>
    <row r="354" spans="13:13" x14ac:dyDescent="0.3">
      <c r="M354" s="26" t="str">
        <f t="shared" si="5"/>
        <v xml:space="preserve"> </v>
      </c>
    </row>
    <row r="355" spans="13:13" x14ac:dyDescent="0.3">
      <c r="M355" s="26" t="str">
        <f t="shared" si="5"/>
        <v xml:space="preserve"> </v>
      </c>
    </row>
    <row r="356" spans="13:13" x14ac:dyDescent="0.3">
      <c r="M356" s="26" t="str">
        <f t="shared" si="5"/>
        <v xml:space="preserve"> </v>
      </c>
    </row>
    <row r="357" spans="13:13" x14ac:dyDescent="0.3">
      <c r="M357" s="26" t="str">
        <f t="shared" si="5"/>
        <v xml:space="preserve"> </v>
      </c>
    </row>
    <row r="358" spans="13:13" x14ac:dyDescent="0.3">
      <c r="M358" s="26" t="str">
        <f t="shared" si="5"/>
        <v xml:space="preserve"> </v>
      </c>
    </row>
    <row r="359" spans="13:13" x14ac:dyDescent="0.3">
      <c r="M359" s="26" t="str">
        <f t="shared" si="5"/>
        <v xml:space="preserve"> </v>
      </c>
    </row>
    <row r="360" spans="13:13" x14ac:dyDescent="0.3">
      <c r="M360" s="26" t="str">
        <f t="shared" si="5"/>
        <v xml:space="preserve"> </v>
      </c>
    </row>
    <row r="361" spans="13:13" x14ac:dyDescent="0.3">
      <c r="M361" s="26" t="str">
        <f t="shared" si="5"/>
        <v xml:space="preserve"> </v>
      </c>
    </row>
    <row r="362" spans="13:13" x14ac:dyDescent="0.3">
      <c r="M362" s="26" t="str">
        <f t="shared" si="5"/>
        <v xml:space="preserve"> </v>
      </c>
    </row>
    <row r="363" spans="13:13" x14ac:dyDescent="0.3">
      <c r="M363" s="26" t="str">
        <f t="shared" si="5"/>
        <v xml:space="preserve"> </v>
      </c>
    </row>
    <row r="364" spans="13:13" x14ac:dyDescent="0.3">
      <c r="M364" s="26" t="str">
        <f t="shared" si="5"/>
        <v xml:space="preserve"> </v>
      </c>
    </row>
    <row r="365" spans="13:13" x14ac:dyDescent="0.3">
      <c r="M365" s="26" t="str">
        <f t="shared" si="5"/>
        <v xml:space="preserve"> </v>
      </c>
    </row>
    <row r="366" spans="13:13" x14ac:dyDescent="0.3">
      <c r="M366" s="26" t="str">
        <f t="shared" si="5"/>
        <v xml:space="preserve"> </v>
      </c>
    </row>
    <row r="367" spans="13:13" x14ac:dyDescent="0.3">
      <c r="M367" s="26" t="str">
        <f t="shared" si="5"/>
        <v xml:space="preserve"> </v>
      </c>
    </row>
    <row r="368" spans="13:13" x14ac:dyDescent="0.3">
      <c r="M368" s="26" t="str">
        <f t="shared" si="5"/>
        <v xml:space="preserve"> </v>
      </c>
    </row>
    <row r="369" spans="13:13" x14ac:dyDescent="0.3">
      <c r="M369" s="26" t="str">
        <f t="shared" si="5"/>
        <v xml:space="preserve"> </v>
      </c>
    </row>
    <row r="370" spans="13:13" x14ac:dyDescent="0.3">
      <c r="M370" s="26" t="str">
        <f t="shared" si="5"/>
        <v xml:space="preserve"> </v>
      </c>
    </row>
    <row r="371" spans="13:13" x14ac:dyDescent="0.3">
      <c r="M371" s="26" t="str">
        <f t="shared" si="5"/>
        <v xml:space="preserve"> </v>
      </c>
    </row>
    <row r="372" spans="13:13" x14ac:dyDescent="0.3">
      <c r="M372" s="26" t="str">
        <f t="shared" si="5"/>
        <v xml:space="preserve"> </v>
      </c>
    </row>
    <row r="373" spans="13:13" x14ac:dyDescent="0.3">
      <c r="M373" s="26" t="str">
        <f t="shared" si="5"/>
        <v xml:space="preserve"> </v>
      </c>
    </row>
    <row r="374" spans="13:13" x14ac:dyDescent="0.3">
      <c r="M374" s="26" t="str">
        <f t="shared" si="5"/>
        <v xml:space="preserve"> </v>
      </c>
    </row>
    <row r="375" spans="13:13" x14ac:dyDescent="0.3">
      <c r="M375" s="26" t="str">
        <f t="shared" si="5"/>
        <v xml:space="preserve"> </v>
      </c>
    </row>
    <row r="376" spans="13:13" x14ac:dyDescent="0.3">
      <c r="M376" s="26" t="str">
        <f t="shared" si="5"/>
        <v xml:space="preserve"> </v>
      </c>
    </row>
    <row r="377" spans="13:13" x14ac:dyDescent="0.3">
      <c r="M377" s="26" t="str">
        <f t="shared" si="5"/>
        <v xml:space="preserve"> </v>
      </c>
    </row>
    <row r="378" spans="13:13" x14ac:dyDescent="0.3">
      <c r="M378" s="26" t="str">
        <f t="shared" si="5"/>
        <v xml:space="preserve"> </v>
      </c>
    </row>
    <row r="379" spans="13:13" x14ac:dyDescent="0.3">
      <c r="M379" s="26" t="str">
        <f t="shared" si="5"/>
        <v xml:space="preserve"> </v>
      </c>
    </row>
    <row r="380" spans="13:13" x14ac:dyDescent="0.3">
      <c r="M380" s="26" t="str">
        <f t="shared" si="5"/>
        <v xml:space="preserve"> </v>
      </c>
    </row>
    <row r="381" spans="13:13" x14ac:dyDescent="0.3">
      <c r="M381" s="26" t="str">
        <f t="shared" si="5"/>
        <v xml:space="preserve"> </v>
      </c>
    </row>
    <row r="382" spans="13:13" x14ac:dyDescent="0.3">
      <c r="M382" s="26" t="str">
        <f t="shared" si="5"/>
        <v xml:space="preserve"> </v>
      </c>
    </row>
    <row r="383" spans="13:13" x14ac:dyDescent="0.3">
      <c r="M383" s="26" t="str">
        <f t="shared" si="5"/>
        <v xml:space="preserve"> </v>
      </c>
    </row>
    <row r="384" spans="13:13" x14ac:dyDescent="0.3">
      <c r="M384" s="26" t="str">
        <f t="shared" si="5"/>
        <v xml:space="preserve"> </v>
      </c>
    </row>
    <row r="385" spans="13:13" x14ac:dyDescent="0.3">
      <c r="M385" s="26" t="str">
        <f t="shared" si="5"/>
        <v xml:space="preserve"> </v>
      </c>
    </row>
    <row r="386" spans="13:13" x14ac:dyDescent="0.3">
      <c r="M386" s="26" t="str">
        <f t="shared" ref="M386:M449" si="6">_xlfn.CONCAT(L386," ",F386)</f>
        <v xml:space="preserve"> </v>
      </c>
    </row>
    <row r="387" spans="13:13" x14ac:dyDescent="0.3">
      <c r="M387" s="26" t="str">
        <f t="shared" si="6"/>
        <v xml:space="preserve"> </v>
      </c>
    </row>
    <row r="388" spans="13:13" x14ac:dyDescent="0.3">
      <c r="M388" s="26" t="str">
        <f t="shared" si="6"/>
        <v xml:space="preserve"> </v>
      </c>
    </row>
    <row r="389" spans="13:13" x14ac:dyDescent="0.3">
      <c r="M389" s="26" t="str">
        <f t="shared" si="6"/>
        <v xml:space="preserve"> </v>
      </c>
    </row>
    <row r="390" spans="13:13" x14ac:dyDescent="0.3">
      <c r="M390" s="26" t="str">
        <f t="shared" si="6"/>
        <v xml:space="preserve"> </v>
      </c>
    </row>
    <row r="391" spans="13:13" x14ac:dyDescent="0.3">
      <c r="M391" s="26" t="str">
        <f t="shared" si="6"/>
        <v xml:space="preserve"> </v>
      </c>
    </row>
    <row r="392" spans="13:13" x14ac:dyDescent="0.3">
      <c r="M392" s="26" t="str">
        <f t="shared" si="6"/>
        <v xml:space="preserve"> </v>
      </c>
    </row>
    <row r="393" spans="13:13" x14ac:dyDescent="0.3">
      <c r="M393" s="26" t="str">
        <f t="shared" si="6"/>
        <v xml:space="preserve"> </v>
      </c>
    </row>
    <row r="394" spans="13:13" x14ac:dyDescent="0.3">
      <c r="M394" s="26" t="str">
        <f t="shared" si="6"/>
        <v xml:space="preserve"> </v>
      </c>
    </row>
    <row r="395" spans="13:13" x14ac:dyDescent="0.3">
      <c r="M395" s="26" t="str">
        <f t="shared" si="6"/>
        <v xml:space="preserve"> </v>
      </c>
    </row>
    <row r="396" spans="13:13" x14ac:dyDescent="0.3">
      <c r="M396" s="26" t="str">
        <f t="shared" si="6"/>
        <v xml:space="preserve"> </v>
      </c>
    </row>
    <row r="397" spans="13:13" x14ac:dyDescent="0.3">
      <c r="M397" s="26" t="str">
        <f t="shared" si="6"/>
        <v xml:space="preserve"> </v>
      </c>
    </row>
    <row r="398" spans="13:13" x14ac:dyDescent="0.3">
      <c r="M398" s="26" t="str">
        <f t="shared" si="6"/>
        <v xml:space="preserve"> </v>
      </c>
    </row>
    <row r="399" spans="13:13" x14ac:dyDescent="0.3">
      <c r="M399" s="26" t="str">
        <f t="shared" si="6"/>
        <v xml:space="preserve"> </v>
      </c>
    </row>
    <row r="400" spans="13:13" x14ac:dyDescent="0.3">
      <c r="M400" s="26" t="str">
        <f t="shared" si="6"/>
        <v xml:space="preserve"> </v>
      </c>
    </row>
    <row r="401" spans="13:13" x14ac:dyDescent="0.3">
      <c r="M401" s="26" t="str">
        <f t="shared" si="6"/>
        <v xml:space="preserve"> </v>
      </c>
    </row>
    <row r="402" spans="13:13" x14ac:dyDescent="0.3">
      <c r="M402" s="26" t="str">
        <f t="shared" si="6"/>
        <v xml:space="preserve"> </v>
      </c>
    </row>
    <row r="403" spans="13:13" x14ac:dyDescent="0.3">
      <c r="M403" s="26" t="str">
        <f t="shared" si="6"/>
        <v xml:space="preserve"> </v>
      </c>
    </row>
    <row r="404" spans="13:13" x14ac:dyDescent="0.3">
      <c r="M404" s="26" t="str">
        <f t="shared" si="6"/>
        <v xml:space="preserve"> </v>
      </c>
    </row>
    <row r="405" spans="13:13" x14ac:dyDescent="0.3">
      <c r="M405" s="26" t="str">
        <f t="shared" si="6"/>
        <v xml:space="preserve"> </v>
      </c>
    </row>
    <row r="406" spans="13:13" x14ac:dyDescent="0.3">
      <c r="M406" s="26" t="str">
        <f t="shared" si="6"/>
        <v xml:space="preserve"> </v>
      </c>
    </row>
    <row r="407" spans="13:13" x14ac:dyDescent="0.3">
      <c r="M407" s="26" t="str">
        <f t="shared" si="6"/>
        <v xml:space="preserve"> </v>
      </c>
    </row>
    <row r="408" spans="13:13" x14ac:dyDescent="0.3">
      <c r="M408" s="26" t="str">
        <f t="shared" si="6"/>
        <v xml:space="preserve"> </v>
      </c>
    </row>
    <row r="409" spans="13:13" x14ac:dyDescent="0.3">
      <c r="M409" s="26" t="str">
        <f t="shared" si="6"/>
        <v xml:space="preserve"> </v>
      </c>
    </row>
    <row r="410" spans="13:13" x14ac:dyDescent="0.3">
      <c r="M410" s="26" t="str">
        <f t="shared" si="6"/>
        <v xml:space="preserve"> </v>
      </c>
    </row>
    <row r="411" spans="13:13" x14ac:dyDescent="0.3">
      <c r="M411" s="26" t="str">
        <f t="shared" si="6"/>
        <v xml:space="preserve"> </v>
      </c>
    </row>
    <row r="412" spans="13:13" x14ac:dyDescent="0.3">
      <c r="M412" s="26" t="str">
        <f t="shared" si="6"/>
        <v xml:space="preserve"> </v>
      </c>
    </row>
    <row r="413" spans="13:13" x14ac:dyDescent="0.3">
      <c r="M413" s="26" t="str">
        <f t="shared" si="6"/>
        <v xml:space="preserve"> </v>
      </c>
    </row>
    <row r="414" spans="13:13" x14ac:dyDescent="0.3">
      <c r="M414" s="26" t="str">
        <f t="shared" si="6"/>
        <v xml:space="preserve"> </v>
      </c>
    </row>
    <row r="415" spans="13:13" x14ac:dyDescent="0.3">
      <c r="M415" s="26" t="str">
        <f t="shared" si="6"/>
        <v xml:space="preserve"> </v>
      </c>
    </row>
    <row r="416" spans="13:13" x14ac:dyDescent="0.3">
      <c r="M416" s="26" t="str">
        <f t="shared" si="6"/>
        <v xml:space="preserve"> </v>
      </c>
    </row>
    <row r="417" spans="13:13" x14ac:dyDescent="0.3">
      <c r="M417" s="26" t="str">
        <f t="shared" si="6"/>
        <v xml:space="preserve"> </v>
      </c>
    </row>
    <row r="418" spans="13:13" x14ac:dyDescent="0.3">
      <c r="M418" s="26" t="str">
        <f t="shared" si="6"/>
        <v xml:space="preserve"> </v>
      </c>
    </row>
    <row r="419" spans="13:13" x14ac:dyDescent="0.3">
      <c r="M419" s="26" t="str">
        <f t="shared" si="6"/>
        <v xml:space="preserve"> </v>
      </c>
    </row>
    <row r="420" spans="13:13" x14ac:dyDescent="0.3">
      <c r="M420" s="26" t="str">
        <f t="shared" si="6"/>
        <v xml:space="preserve"> </v>
      </c>
    </row>
    <row r="421" spans="13:13" x14ac:dyDescent="0.3">
      <c r="M421" s="26" t="str">
        <f t="shared" si="6"/>
        <v xml:space="preserve"> </v>
      </c>
    </row>
    <row r="422" spans="13:13" x14ac:dyDescent="0.3">
      <c r="M422" s="26" t="str">
        <f t="shared" si="6"/>
        <v xml:space="preserve"> </v>
      </c>
    </row>
    <row r="423" spans="13:13" x14ac:dyDescent="0.3">
      <c r="M423" s="26" t="str">
        <f t="shared" si="6"/>
        <v xml:space="preserve"> </v>
      </c>
    </row>
    <row r="424" spans="13:13" x14ac:dyDescent="0.3">
      <c r="M424" s="26" t="str">
        <f t="shared" si="6"/>
        <v xml:space="preserve"> </v>
      </c>
    </row>
    <row r="425" spans="13:13" x14ac:dyDescent="0.3">
      <c r="M425" s="26" t="str">
        <f t="shared" si="6"/>
        <v xml:space="preserve"> </v>
      </c>
    </row>
    <row r="426" spans="13:13" x14ac:dyDescent="0.3">
      <c r="M426" s="26" t="str">
        <f t="shared" si="6"/>
        <v xml:space="preserve"> </v>
      </c>
    </row>
    <row r="427" spans="13:13" x14ac:dyDescent="0.3">
      <c r="M427" s="26" t="str">
        <f t="shared" si="6"/>
        <v xml:space="preserve"> </v>
      </c>
    </row>
    <row r="428" spans="13:13" x14ac:dyDescent="0.3">
      <c r="M428" s="26" t="str">
        <f t="shared" si="6"/>
        <v xml:space="preserve"> </v>
      </c>
    </row>
    <row r="429" spans="13:13" x14ac:dyDescent="0.3">
      <c r="M429" s="26" t="str">
        <f t="shared" si="6"/>
        <v xml:space="preserve"> </v>
      </c>
    </row>
    <row r="430" spans="13:13" x14ac:dyDescent="0.3">
      <c r="M430" s="26" t="str">
        <f t="shared" si="6"/>
        <v xml:space="preserve"> </v>
      </c>
    </row>
    <row r="431" spans="13:13" x14ac:dyDescent="0.3">
      <c r="M431" s="26" t="str">
        <f t="shared" si="6"/>
        <v xml:space="preserve"> </v>
      </c>
    </row>
    <row r="432" spans="13:13" x14ac:dyDescent="0.3">
      <c r="M432" s="26" t="str">
        <f t="shared" si="6"/>
        <v xml:space="preserve"> </v>
      </c>
    </row>
    <row r="433" spans="13:13" x14ac:dyDescent="0.3">
      <c r="M433" s="26" t="str">
        <f t="shared" si="6"/>
        <v xml:space="preserve"> </v>
      </c>
    </row>
    <row r="434" spans="13:13" x14ac:dyDescent="0.3">
      <c r="M434" s="26" t="str">
        <f t="shared" si="6"/>
        <v xml:space="preserve"> </v>
      </c>
    </row>
    <row r="435" spans="13:13" x14ac:dyDescent="0.3">
      <c r="M435" s="26" t="str">
        <f t="shared" si="6"/>
        <v xml:space="preserve"> </v>
      </c>
    </row>
    <row r="436" spans="13:13" x14ac:dyDescent="0.3">
      <c r="M436" s="26" t="str">
        <f t="shared" si="6"/>
        <v xml:space="preserve"> </v>
      </c>
    </row>
    <row r="437" spans="13:13" x14ac:dyDescent="0.3">
      <c r="M437" s="26" t="str">
        <f t="shared" si="6"/>
        <v xml:space="preserve"> </v>
      </c>
    </row>
    <row r="438" spans="13:13" x14ac:dyDescent="0.3">
      <c r="M438" s="26" t="str">
        <f t="shared" si="6"/>
        <v xml:space="preserve"> </v>
      </c>
    </row>
    <row r="439" spans="13:13" x14ac:dyDescent="0.3">
      <c r="M439" s="26" t="str">
        <f t="shared" si="6"/>
        <v xml:space="preserve"> </v>
      </c>
    </row>
    <row r="440" spans="13:13" x14ac:dyDescent="0.3">
      <c r="M440" s="26" t="str">
        <f t="shared" si="6"/>
        <v xml:space="preserve"> </v>
      </c>
    </row>
    <row r="441" spans="13:13" x14ac:dyDescent="0.3">
      <c r="M441" s="26" t="str">
        <f t="shared" si="6"/>
        <v xml:space="preserve"> </v>
      </c>
    </row>
    <row r="442" spans="13:13" x14ac:dyDescent="0.3">
      <c r="M442" s="26" t="str">
        <f t="shared" si="6"/>
        <v xml:space="preserve"> </v>
      </c>
    </row>
    <row r="443" spans="13:13" x14ac:dyDescent="0.3">
      <c r="M443" s="26" t="str">
        <f t="shared" si="6"/>
        <v xml:space="preserve"> </v>
      </c>
    </row>
    <row r="444" spans="13:13" x14ac:dyDescent="0.3">
      <c r="M444" s="26" t="str">
        <f t="shared" si="6"/>
        <v xml:space="preserve"> </v>
      </c>
    </row>
    <row r="445" spans="13:13" x14ac:dyDescent="0.3">
      <c r="M445" s="26" t="str">
        <f t="shared" si="6"/>
        <v xml:space="preserve"> </v>
      </c>
    </row>
    <row r="446" spans="13:13" x14ac:dyDescent="0.3">
      <c r="M446" s="26" t="str">
        <f t="shared" si="6"/>
        <v xml:space="preserve"> </v>
      </c>
    </row>
    <row r="447" spans="13:13" x14ac:dyDescent="0.3">
      <c r="M447" s="26" t="str">
        <f t="shared" si="6"/>
        <v xml:space="preserve"> </v>
      </c>
    </row>
    <row r="448" spans="13:13" x14ac:dyDescent="0.3">
      <c r="M448" s="26" t="str">
        <f t="shared" si="6"/>
        <v xml:space="preserve"> </v>
      </c>
    </row>
    <row r="449" spans="13:13" x14ac:dyDescent="0.3">
      <c r="M449" s="26" t="str">
        <f t="shared" si="6"/>
        <v xml:space="preserve"> </v>
      </c>
    </row>
    <row r="450" spans="13:13" x14ac:dyDescent="0.3">
      <c r="M450" s="26" t="str">
        <f t="shared" ref="M450:M513" si="7">_xlfn.CONCAT(L450," ",F450)</f>
        <v xml:space="preserve"> </v>
      </c>
    </row>
    <row r="451" spans="13:13" x14ac:dyDescent="0.3">
      <c r="M451" s="26" t="str">
        <f t="shared" si="7"/>
        <v xml:space="preserve"> </v>
      </c>
    </row>
    <row r="452" spans="13:13" x14ac:dyDescent="0.3">
      <c r="M452" s="26" t="str">
        <f t="shared" si="7"/>
        <v xml:space="preserve"> </v>
      </c>
    </row>
    <row r="453" spans="13:13" x14ac:dyDescent="0.3">
      <c r="M453" s="26" t="str">
        <f t="shared" si="7"/>
        <v xml:space="preserve"> </v>
      </c>
    </row>
    <row r="454" spans="13:13" x14ac:dyDescent="0.3">
      <c r="M454" s="26" t="str">
        <f t="shared" si="7"/>
        <v xml:space="preserve"> </v>
      </c>
    </row>
    <row r="455" spans="13:13" x14ac:dyDescent="0.3">
      <c r="M455" s="26" t="str">
        <f t="shared" si="7"/>
        <v xml:space="preserve"> </v>
      </c>
    </row>
    <row r="456" spans="13:13" x14ac:dyDescent="0.3">
      <c r="M456" s="26" t="str">
        <f t="shared" si="7"/>
        <v xml:space="preserve"> </v>
      </c>
    </row>
    <row r="457" spans="13:13" x14ac:dyDescent="0.3">
      <c r="M457" s="26" t="str">
        <f t="shared" si="7"/>
        <v xml:space="preserve"> </v>
      </c>
    </row>
    <row r="458" spans="13:13" x14ac:dyDescent="0.3">
      <c r="M458" s="26" t="str">
        <f t="shared" si="7"/>
        <v xml:space="preserve"> </v>
      </c>
    </row>
    <row r="459" spans="13:13" x14ac:dyDescent="0.3">
      <c r="M459" s="26" t="str">
        <f t="shared" si="7"/>
        <v xml:space="preserve"> </v>
      </c>
    </row>
    <row r="460" spans="13:13" x14ac:dyDescent="0.3">
      <c r="M460" s="26" t="str">
        <f t="shared" si="7"/>
        <v xml:space="preserve"> </v>
      </c>
    </row>
    <row r="461" spans="13:13" x14ac:dyDescent="0.3">
      <c r="M461" s="26" t="str">
        <f t="shared" si="7"/>
        <v xml:space="preserve"> </v>
      </c>
    </row>
    <row r="462" spans="13:13" x14ac:dyDescent="0.3">
      <c r="M462" s="26" t="str">
        <f t="shared" si="7"/>
        <v xml:space="preserve"> </v>
      </c>
    </row>
    <row r="463" spans="13:13" x14ac:dyDescent="0.3">
      <c r="M463" s="26" t="str">
        <f t="shared" si="7"/>
        <v xml:space="preserve"> </v>
      </c>
    </row>
    <row r="464" spans="13:13" x14ac:dyDescent="0.3">
      <c r="M464" s="26" t="str">
        <f t="shared" si="7"/>
        <v xml:space="preserve"> </v>
      </c>
    </row>
    <row r="465" spans="13:13" x14ac:dyDescent="0.3">
      <c r="M465" s="26" t="str">
        <f t="shared" si="7"/>
        <v xml:space="preserve"> </v>
      </c>
    </row>
    <row r="466" spans="13:13" x14ac:dyDescent="0.3">
      <c r="M466" s="26" t="str">
        <f t="shared" si="7"/>
        <v xml:space="preserve"> </v>
      </c>
    </row>
    <row r="467" spans="13:13" x14ac:dyDescent="0.3">
      <c r="M467" s="26" t="str">
        <f t="shared" si="7"/>
        <v xml:space="preserve"> </v>
      </c>
    </row>
    <row r="468" spans="13:13" x14ac:dyDescent="0.3">
      <c r="M468" s="26" t="str">
        <f t="shared" si="7"/>
        <v xml:space="preserve"> </v>
      </c>
    </row>
    <row r="469" spans="13:13" x14ac:dyDescent="0.3">
      <c r="M469" s="26" t="str">
        <f t="shared" si="7"/>
        <v xml:space="preserve"> </v>
      </c>
    </row>
    <row r="470" spans="13:13" x14ac:dyDescent="0.3">
      <c r="M470" s="26" t="str">
        <f t="shared" si="7"/>
        <v xml:space="preserve"> </v>
      </c>
    </row>
    <row r="471" spans="13:13" x14ac:dyDescent="0.3">
      <c r="M471" s="26" t="str">
        <f t="shared" si="7"/>
        <v xml:space="preserve"> </v>
      </c>
    </row>
    <row r="472" spans="13:13" x14ac:dyDescent="0.3">
      <c r="M472" s="26" t="str">
        <f t="shared" si="7"/>
        <v xml:space="preserve"> </v>
      </c>
    </row>
    <row r="473" spans="13:13" x14ac:dyDescent="0.3">
      <c r="M473" s="26" t="str">
        <f t="shared" si="7"/>
        <v xml:space="preserve"> </v>
      </c>
    </row>
    <row r="474" spans="13:13" x14ac:dyDescent="0.3">
      <c r="M474" s="26" t="str">
        <f t="shared" si="7"/>
        <v xml:space="preserve"> </v>
      </c>
    </row>
    <row r="475" spans="13:13" x14ac:dyDescent="0.3">
      <c r="M475" s="26" t="str">
        <f t="shared" si="7"/>
        <v xml:space="preserve"> </v>
      </c>
    </row>
    <row r="476" spans="13:13" x14ac:dyDescent="0.3">
      <c r="M476" s="26" t="str">
        <f t="shared" si="7"/>
        <v xml:space="preserve"> </v>
      </c>
    </row>
    <row r="477" spans="13:13" x14ac:dyDescent="0.3">
      <c r="M477" s="26" t="str">
        <f t="shared" si="7"/>
        <v xml:space="preserve"> </v>
      </c>
    </row>
    <row r="478" spans="13:13" x14ac:dyDescent="0.3">
      <c r="M478" s="26" t="str">
        <f t="shared" si="7"/>
        <v xml:space="preserve"> </v>
      </c>
    </row>
    <row r="479" spans="13:13" x14ac:dyDescent="0.3">
      <c r="M479" s="26" t="str">
        <f t="shared" si="7"/>
        <v xml:space="preserve"> </v>
      </c>
    </row>
    <row r="480" spans="13:13" x14ac:dyDescent="0.3">
      <c r="M480" s="26" t="str">
        <f t="shared" si="7"/>
        <v xml:space="preserve"> </v>
      </c>
    </row>
    <row r="481" spans="13:13" x14ac:dyDescent="0.3">
      <c r="M481" s="26" t="str">
        <f t="shared" si="7"/>
        <v xml:space="preserve"> </v>
      </c>
    </row>
    <row r="482" spans="13:13" x14ac:dyDescent="0.3">
      <c r="M482" s="26" t="str">
        <f t="shared" si="7"/>
        <v xml:space="preserve"> </v>
      </c>
    </row>
    <row r="483" spans="13:13" x14ac:dyDescent="0.3">
      <c r="M483" s="26" t="str">
        <f t="shared" si="7"/>
        <v xml:space="preserve"> </v>
      </c>
    </row>
    <row r="484" spans="13:13" x14ac:dyDescent="0.3">
      <c r="M484" s="26" t="str">
        <f t="shared" si="7"/>
        <v xml:space="preserve"> </v>
      </c>
    </row>
    <row r="485" spans="13:13" x14ac:dyDescent="0.3">
      <c r="M485" s="26" t="str">
        <f t="shared" si="7"/>
        <v xml:space="preserve"> </v>
      </c>
    </row>
    <row r="486" spans="13:13" x14ac:dyDescent="0.3">
      <c r="M486" s="26" t="str">
        <f t="shared" si="7"/>
        <v xml:space="preserve"> </v>
      </c>
    </row>
    <row r="487" spans="13:13" x14ac:dyDescent="0.3">
      <c r="M487" s="26" t="str">
        <f t="shared" si="7"/>
        <v xml:space="preserve"> </v>
      </c>
    </row>
    <row r="488" spans="13:13" x14ac:dyDescent="0.3">
      <c r="M488" s="26" t="str">
        <f t="shared" si="7"/>
        <v xml:space="preserve"> </v>
      </c>
    </row>
    <row r="489" spans="13:13" x14ac:dyDescent="0.3">
      <c r="M489" s="26" t="str">
        <f t="shared" si="7"/>
        <v xml:space="preserve"> </v>
      </c>
    </row>
    <row r="490" spans="13:13" x14ac:dyDescent="0.3">
      <c r="M490" s="26" t="str">
        <f t="shared" si="7"/>
        <v xml:space="preserve"> </v>
      </c>
    </row>
    <row r="491" spans="13:13" x14ac:dyDescent="0.3">
      <c r="M491" s="26" t="str">
        <f t="shared" si="7"/>
        <v xml:space="preserve"> </v>
      </c>
    </row>
    <row r="492" spans="13:13" x14ac:dyDescent="0.3">
      <c r="M492" s="26" t="str">
        <f t="shared" si="7"/>
        <v xml:space="preserve"> </v>
      </c>
    </row>
    <row r="493" spans="13:13" x14ac:dyDescent="0.3">
      <c r="M493" s="26" t="str">
        <f t="shared" si="7"/>
        <v xml:space="preserve"> </v>
      </c>
    </row>
    <row r="494" spans="13:13" x14ac:dyDescent="0.3">
      <c r="M494" s="26" t="str">
        <f t="shared" si="7"/>
        <v xml:space="preserve"> </v>
      </c>
    </row>
    <row r="495" spans="13:13" x14ac:dyDescent="0.3">
      <c r="M495" s="26" t="str">
        <f t="shared" si="7"/>
        <v xml:space="preserve"> </v>
      </c>
    </row>
    <row r="496" spans="13:13" x14ac:dyDescent="0.3">
      <c r="M496" s="26" t="str">
        <f t="shared" si="7"/>
        <v xml:space="preserve"> </v>
      </c>
    </row>
    <row r="497" spans="13:13" x14ac:dyDescent="0.3">
      <c r="M497" s="26" t="str">
        <f t="shared" si="7"/>
        <v xml:space="preserve"> </v>
      </c>
    </row>
    <row r="498" spans="13:13" x14ac:dyDescent="0.3">
      <c r="M498" s="26" t="str">
        <f t="shared" si="7"/>
        <v xml:space="preserve"> </v>
      </c>
    </row>
    <row r="499" spans="13:13" x14ac:dyDescent="0.3">
      <c r="M499" s="26" t="str">
        <f t="shared" si="7"/>
        <v xml:space="preserve"> </v>
      </c>
    </row>
    <row r="500" spans="13:13" x14ac:dyDescent="0.3">
      <c r="M500" s="26" t="str">
        <f t="shared" si="7"/>
        <v xml:space="preserve"> </v>
      </c>
    </row>
    <row r="501" spans="13:13" x14ac:dyDescent="0.3">
      <c r="M501" s="26" t="str">
        <f t="shared" si="7"/>
        <v xml:space="preserve"> </v>
      </c>
    </row>
    <row r="502" spans="13:13" x14ac:dyDescent="0.3">
      <c r="M502" s="26" t="str">
        <f t="shared" si="7"/>
        <v xml:space="preserve"> </v>
      </c>
    </row>
    <row r="503" spans="13:13" x14ac:dyDescent="0.3">
      <c r="M503" s="26" t="str">
        <f t="shared" si="7"/>
        <v xml:space="preserve"> </v>
      </c>
    </row>
    <row r="504" spans="13:13" x14ac:dyDescent="0.3">
      <c r="M504" s="26" t="str">
        <f t="shared" si="7"/>
        <v xml:space="preserve"> </v>
      </c>
    </row>
    <row r="505" spans="13:13" x14ac:dyDescent="0.3">
      <c r="M505" s="26" t="str">
        <f t="shared" si="7"/>
        <v xml:space="preserve"> </v>
      </c>
    </row>
    <row r="506" spans="13:13" x14ac:dyDescent="0.3">
      <c r="M506" s="26" t="str">
        <f t="shared" si="7"/>
        <v xml:space="preserve"> </v>
      </c>
    </row>
    <row r="507" spans="13:13" x14ac:dyDescent="0.3">
      <c r="M507" s="26" t="str">
        <f t="shared" si="7"/>
        <v xml:space="preserve"> </v>
      </c>
    </row>
    <row r="508" spans="13:13" x14ac:dyDescent="0.3">
      <c r="M508" s="26" t="str">
        <f t="shared" si="7"/>
        <v xml:space="preserve"> </v>
      </c>
    </row>
    <row r="509" spans="13:13" x14ac:dyDescent="0.3">
      <c r="M509" s="26" t="str">
        <f t="shared" si="7"/>
        <v xml:space="preserve"> </v>
      </c>
    </row>
    <row r="510" spans="13:13" x14ac:dyDescent="0.3">
      <c r="M510" s="26" t="str">
        <f t="shared" si="7"/>
        <v xml:space="preserve"> </v>
      </c>
    </row>
    <row r="511" spans="13:13" x14ac:dyDescent="0.3">
      <c r="M511" s="26" t="str">
        <f t="shared" si="7"/>
        <v xml:space="preserve"> </v>
      </c>
    </row>
    <row r="512" spans="13:13" x14ac:dyDescent="0.3">
      <c r="M512" s="26" t="str">
        <f t="shared" si="7"/>
        <v xml:space="preserve"> </v>
      </c>
    </row>
    <row r="513" spans="13:13" x14ac:dyDescent="0.3">
      <c r="M513" s="26" t="str">
        <f t="shared" si="7"/>
        <v xml:space="preserve"> </v>
      </c>
    </row>
    <row r="514" spans="13:13" x14ac:dyDescent="0.3">
      <c r="M514" s="26" t="str">
        <f t="shared" ref="M514:M577" si="8">_xlfn.CONCAT(L514," ",F514)</f>
        <v xml:space="preserve"> </v>
      </c>
    </row>
    <row r="515" spans="13:13" x14ac:dyDescent="0.3">
      <c r="M515" s="26" t="str">
        <f t="shared" si="8"/>
        <v xml:space="preserve"> </v>
      </c>
    </row>
    <row r="516" spans="13:13" x14ac:dyDescent="0.3">
      <c r="M516" s="26" t="str">
        <f t="shared" si="8"/>
        <v xml:space="preserve"> </v>
      </c>
    </row>
    <row r="517" spans="13:13" x14ac:dyDescent="0.3">
      <c r="M517" s="26" t="str">
        <f t="shared" si="8"/>
        <v xml:space="preserve"> </v>
      </c>
    </row>
    <row r="518" spans="13:13" x14ac:dyDescent="0.3">
      <c r="M518" s="26" t="str">
        <f t="shared" si="8"/>
        <v xml:space="preserve"> </v>
      </c>
    </row>
    <row r="519" spans="13:13" x14ac:dyDescent="0.3">
      <c r="M519" s="26" t="str">
        <f t="shared" si="8"/>
        <v xml:space="preserve"> </v>
      </c>
    </row>
    <row r="520" spans="13:13" x14ac:dyDescent="0.3">
      <c r="M520" s="26" t="str">
        <f t="shared" si="8"/>
        <v xml:space="preserve"> </v>
      </c>
    </row>
    <row r="521" spans="13:13" x14ac:dyDescent="0.3">
      <c r="M521" s="26" t="str">
        <f t="shared" si="8"/>
        <v xml:space="preserve"> </v>
      </c>
    </row>
    <row r="522" spans="13:13" x14ac:dyDescent="0.3">
      <c r="M522" s="26" t="str">
        <f t="shared" si="8"/>
        <v xml:space="preserve"> </v>
      </c>
    </row>
    <row r="523" spans="13:13" x14ac:dyDescent="0.3">
      <c r="M523" s="26" t="str">
        <f t="shared" si="8"/>
        <v xml:space="preserve"> </v>
      </c>
    </row>
    <row r="524" spans="13:13" x14ac:dyDescent="0.3">
      <c r="M524" s="26" t="str">
        <f t="shared" si="8"/>
        <v xml:space="preserve"> </v>
      </c>
    </row>
    <row r="525" spans="13:13" x14ac:dyDescent="0.3">
      <c r="M525" s="26" t="str">
        <f t="shared" si="8"/>
        <v xml:space="preserve"> </v>
      </c>
    </row>
    <row r="526" spans="13:13" x14ac:dyDescent="0.3">
      <c r="M526" s="26" t="str">
        <f t="shared" si="8"/>
        <v xml:space="preserve"> </v>
      </c>
    </row>
    <row r="527" spans="13:13" x14ac:dyDescent="0.3">
      <c r="M527" s="26" t="str">
        <f t="shared" si="8"/>
        <v xml:space="preserve"> </v>
      </c>
    </row>
    <row r="528" spans="13:13" x14ac:dyDescent="0.3">
      <c r="M528" s="26" t="str">
        <f t="shared" si="8"/>
        <v xml:space="preserve"> </v>
      </c>
    </row>
    <row r="529" spans="13:13" x14ac:dyDescent="0.3">
      <c r="M529" s="26" t="str">
        <f t="shared" si="8"/>
        <v xml:space="preserve"> </v>
      </c>
    </row>
    <row r="530" spans="13:13" x14ac:dyDescent="0.3">
      <c r="M530" s="26" t="str">
        <f t="shared" si="8"/>
        <v xml:space="preserve"> </v>
      </c>
    </row>
    <row r="531" spans="13:13" x14ac:dyDescent="0.3">
      <c r="M531" s="26" t="str">
        <f t="shared" si="8"/>
        <v xml:space="preserve"> </v>
      </c>
    </row>
    <row r="532" spans="13:13" x14ac:dyDescent="0.3">
      <c r="M532" s="26" t="str">
        <f t="shared" si="8"/>
        <v xml:space="preserve"> </v>
      </c>
    </row>
    <row r="533" spans="13:13" x14ac:dyDescent="0.3">
      <c r="M533" s="26" t="str">
        <f t="shared" si="8"/>
        <v xml:space="preserve"> </v>
      </c>
    </row>
    <row r="534" spans="13:13" x14ac:dyDescent="0.3">
      <c r="M534" s="26" t="str">
        <f t="shared" si="8"/>
        <v xml:space="preserve"> </v>
      </c>
    </row>
    <row r="535" spans="13:13" x14ac:dyDescent="0.3">
      <c r="M535" s="26" t="str">
        <f t="shared" si="8"/>
        <v xml:space="preserve"> </v>
      </c>
    </row>
    <row r="536" spans="13:13" x14ac:dyDescent="0.3">
      <c r="M536" s="26" t="str">
        <f t="shared" si="8"/>
        <v xml:space="preserve"> </v>
      </c>
    </row>
    <row r="537" spans="13:13" x14ac:dyDescent="0.3">
      <c r="M537" s="26" t="str">
        <f t="shared" si="8"/>
        <v xml:space="preserve"> </v>
      </c>
    </row>
    <row r="538" spans="13:13" x14ac:dyDescent="0.3">
      <c r="M538" s="26" t="str">
        <f t="shared" si="8"/>
        <v xml:space="preserve"> </v>
      </c>
    </row>
    <row r="539" spans="13:13" x14ac:dyDescent="0.3">
      <c r="M539" s="26" t="str">
        <f t="shared" si="8"/>
        <v xml:space="preserve"> </v>
      </c>
    </row>
    <row r="540" spans="13:13" x14ac:dyDescent="0.3">
      <c r="M540" s="26" t="str">
        <f t="shared" si="8"/>
        <v xml:space="preserve"> </v>
      </c>
    </row>
    <row r="541" spans="13:13" x14ac:dyDescent="0.3">
      <c r="M541" s="26" t="str">
        <f t="shared" si="8"/>
        <v xml:space="preserve"> </v>
      </c>
    </row>
    <row r="542" spans="13:13" x14ac:dyDescent="0.3">
      <c r="M542" s="26" t="str">
        <f t="shared" si="8"/>
        <v xml:space="preserve"> </v>
      </c>
    </row>
    <row r="543" spans="13:13" x14ac:dyDescent="0.3">
      <c r="M543" s="26" t="str">
        <f t="shared" si="8"/>
        <v xml:space="preserve"> </v>
      </c>
    </row>
    <row r="544" spans="13:13" x14ac:dyDescent="0.3">
      <c r="M544" s="26" t="str">
        <f t="shared" si="8"/>
        <v xml:space="preserve"> </v>
      </c>
    </row>
    <row r="545" spans="13:13" x14ac:dyDescent="0.3">
      <c r="M545" s="26" t="str">
        <f t="shared" si="8"/>
        <v xml:space="preserve"> </v>
      </c>
    </row>
    <row r="546" spans="13:13" x14ac:dyDescent="0.3">
      <c r="M546" s="26" t="str">
        <f t="shared" si="8"/>
        <v xml:space="preserve"> </v>
      </c>
    </row>
    <row r="547" spans="13:13" x14ac:dyDescent="0.3">
      <c r="M547" s="26" t="str">
        <f t="shared" si="8"/>
        <v xml:space="preserve"> </v>
      </c>
    </row>
    <row r="548" spans="13:13" x14ac:dyDescent="0.3">
      <c r="M548" s="26" t="str">
        <f t="shared" si="8"/>
        <v xml:space="preserve"> </v>
      </c>
    </row>
    <row r="549" spans="13:13" x14ac:dyDescent="0.3">
      <c r="M549" s="26" t="str">
        <f t="shared" si="8"/>
        <v xml:space="preserve"> </v>
      </c>
    </row>
    <row r="550" spans="13:13" x14ac:dyDescent="0.3">
      <c r="M550" s="26" t="str">
        <f t="shared" si="8"/>
        <v xml:space="preserve"> </v>
      </c>
    </row>
    <row r="551" spans="13:13" x14ac:dyDescent="0.3">
      <c r="M551" s="26" t="str">
        <f t="shared" si="8"/>
        <v xml:space="preserve"> </v>
      </c>
    </row>
    <row r="552" spans="13:13" x14ac:dyDescent="0.3">
      <c r="M552" s="26" t="str">
        <f t="shared" si="8"/>
        <v xml:space="preserve"> </v>
      </c>
    </row>
    <row r="553" spans="13:13" x14ac:dyDescent="0.3">
      <c r="M553" s="26" t="str">
        <f t="shared" si="8"/>
        <v xml:space="preserve"> </v>
      </c>
    </row>
    <row r="554" spans="13:13" x14ac:dyDescent="0.3">
      <c r="M554" s="26" t="str">
        <f t="shared" si="8"/>
        <v xml:space="preserve"> </v>
      </c>
    </row>
    <row r="555" spans="13:13" x14ac:dyDescent="0.3">
      <c r="M555" s="26" t="str">
        <f t="shared" si="8"/>
        <v xml:space="preserve"> </v>
      </c>
    </row>
    <row r="556" spans="13:13" x14ac:dyDescent="0.3">
      <c r="M556" s="26" t="str">
        <f t="shared" si="8"/>
        <v xml:space="preserve"> </v>
      </c>
    </row>
    <row r="557" spans="13:13" x14ac:dyDescent="0.3">
      <c r="M557" s="26" t="str">
        <f t="shared" si="8"/>
        <v xml:space="preserve"> </v>
      </c>
    </row>
    <row r="558" spans="13:13" x14ac:dyDescent="0.3">
      <c r="M558" s="26" t="str">
        <f t="shared" si="8"/>
        <v xml:space="preserve"> </v>
      </c>
    </row>
    <row r="559" spans="13:13" x14ac:dyDescent="0.3">
      <c r="M559" s="26" t="str">
        <f t="shared" si="8"/>
        <v xml:space="preserve"> </v>
      </c>
    </row>
    <row r="560" spans="13:13" x14ac:dyDescent="0.3">
      <c r="M560" s="26" t="str">
        <f t="shared" si="8"/>
        <v xml:space="preserve"> </v>
      </c>
    </row>
    <row r="561" spans="13:13" x14ac:dyDescent="0.3">
      <c r="M561" s="26" t="str">
        <f t="shared" si="8"/>
        <v xml:space="preserve"> </v>
      </c>
    </row>
    <row r="562" spans="13:13" x14ac:dyDescent="0.3">
      <c r="M562" s="26" t="str">
        <f t="shared" si="8"/>
        <v xml:space="preserve"> </v>
      </c>
    </row>
    <row r="563" spans="13:13" x14ac:dyDescent="0.3">
      <c r="M563" s="26" t="str">
        <f t="shared" si="8"/>
        <v xml:space="preserve"> </v>
      </c>
    </row>
    <row r="564" spans="13:13" x14ac:dyDescent="0.3">
      <c r="M564" s="26" t="str">
        <f t="shared" si="8"/>
        <v xml:space="preserve"> </v>
      </c>
    </row>
    <row r="565" spans="13:13" x14ac:dyDescent="0.3">
      <c r="M565" s="26" t="str">
        <f t="shared" si="8"/>
        <v xml:space="preserve"> </v>
      </c>
    </row>
    <row r="566" spans="13:13" x14ac:dyDescent="0.3">
      <c r="M566" s="26" t="str">
        <f t="shared" si="8"/>
        <v xml:space="preserve"> </v>
      </c>
    </row>
    <row r="567" spans="13:13" x14ac:dyDescent="0.3">
      <c r="M567" s="26" t="str">
        <f t="shared" si="8"/>
        <v xml:space="preserve"> </v>
      </c>
    </row>
    <row r="568" spans="13:13" x14ac:dyDescent="0.3">
      <c r="M568" s="26" t="str">
        <f t="shared" si="8"/>
        <v xml:space="preserve"> </v>
      </c>
    </row>
    <row r="569" spans="13:13" x14ac:dyDescent="0.3">
      <c r="M569" s="26" t="str">
        <f t="shared" si="8"/>
        <v xml:space="preserve"> </v>
      </c>
    </row>
    <row r="570" spans="13:13" x14ac:dyDescent="0.3">
      <c r="M570" s="26" t="str">
        <f t="shared" si="8"/>
        <v xml:space="preserve"> </v>
      </c>
    </row>
    <row r="571" spans="13:13" x14ac:dyDescent="0.3">
      <c r="M571" s="26" t="str">
        <f t="shared" si="8"/>
        <v xml:space="preserve"> </v>
      </c>
    </row>
    <row r="572" spans="13:13" x14ac:dyDescent="0.3">
      <c r="M572" s="26" t="str">
        <f t="shared" si="8"/>
        <v xml:space="preserve"> </v>
      </c>
    </row>
    <row r="573" spans="13:13" x14ac:dyDescent="0.3">
      <c r="M573" s="26" t="str">
        <f t="shared" si="8"/>
        <v xml:space="preserve"> </v>
      </c>
    </row>
    <row r="574" spans="13:13" x14ac:dyDescent="0.3">
      <c r="M574" s="26" t="str">
        <f t="shared" si="8"/>
        <v xml:space="preserve"> </v>
      </c>
    </row>
    <row r="575" spans="13:13" x14ac:dyDescent="0.3">
      <c r="M575" s="26" t="str">
        <f t="shared" si="8"/>
        <v xml:space="preserve"> </v>
      </c>
    </row>
    <row r="576" spans="13:13" x14ac:dyDescent="0.3">
      <c r="M576" s="26" t="str">
        <f t="shared" si="8"/>
        <v xml:space="preserve"> </v>
      </c>
    </row>
    <row r="577" spans="13:13" x14ac:dyDescent="0.3">
      <c r="M577" s="26" t="str">
        <f t="shared" si="8"/>
        <v xml:space="preserve"> </v>
      </c>
    </row>
    <row r="578" spans="13:13" x14ac:dyDescent="0.3">
      <c r="M578" s="26" t="str">
        <f t="shared" ref="M578:M641" si="9">_xlfn.CONCAT(L578," ",F578)</f>
        <v xml:space="preserve"> </v>
      </c>
    </row>
    <row r="579" spans="13:13" x14ac:dyDescent="0.3">
      <c r="M579" s="26" t="str">
        <f t="shared" si="9"/>
        <v xml:space="preserve"> </v>
      </c>
    </row>
    <row r="580" spans="13:13" x14ac:dyDescent="0.3">
      <c r="M580" s="26" t="str">
        <f t="shared" si="9"/>
        <v xml:space="preserve"> </v>
      </c>
    </row>
    <row r="581" spans="13:13" x14ac:dyDescent="0.3">
      <c r="M581" s="26" t="str">
        <f t="shared" si="9"/>
        <v xml:space="preserve"> </v>
      </c>
    </row>
    <row r="582" spans="13:13" x14ac:dyDescent="0.3">
      <c r="M582" s="26" t="str">
        <f t="shared" si="9"/>
        <v xml:space="preserve"> </v>
      </c>
    </row>
    <row r="583" spans="13:13" x14ac:dyDescent="0.3">
      <c r="M583" s="26" t="str">
        <f t="shared" si="9"/>
        <v xml:space="preserve"> </v>
      </c>
    </row>
    <row r="584" spans="13:13" x14ac:dyDescent="0.3">
      <c r="M584" s="26" t="str">
        <f t="shared" si="9"/>
        <v xml:space="preserve"> </v>
      </c>
    </row>
    <row r="585" spans="13:13" x14ac:dyDescent="0.3">
      <c r="M585" s="26" t="str">
        <f t="shared" si="9"/>
        <v xml:space="preserve"> </v>
      </c>
    </row>
    <row r="586" spans="13:13" x14ac:dyDescent="0.3">
      <c r="M586" s="26" t="str">
        <f t="shared" si="9"/>
        <v xml:space="preserve"> </v>
      </c>
    </row>
    <row r="587" spans="13:13" x14ac:dyDescent="0.3">
      <c r="M587" s="26" t="str">
        <f t="shared" si="9"/>
        <v xml:space="preserve"> </v>
      </c>
    </row>
    <row r="588" spans="13:13" x14ac:dyDescent="0.3">
      <c r="M588" s="26" t="str">
        <f t="shared" si="9"/>
        <v xml:space="preserve"> </v>
      </c>
    </row>
    <row r="589" spans="13:13" x14ac:dyDescent="0.3">
      <c r="M589" s="26" t="str">
        <f t="shared" si="9"/>
        <v xml:space="preserve"> </v>
      </c>
    </row>
    <row r="590" spans="13:13" x14ac:dyDescent="0.3">
      <c r="M590" s="26" t="str">
        <f t="shared" si="9"/>
        <v xml:space="preserve"> </v>
      </c>
    </row>
    <row r="591" spans="13:13" x14ac:dyDescent="0.3">
      <c r="M591" s="26" t="str">
        <f t="shared" si="9"/>
        <v xml:space="preserve"> </v>
      </c>
    </row>
    <row r="592" spans="13:13" x14ac:dyDescent="0.3">
      <c r="M592" s="26" t="str">
        <f t="shared" si="9"/>
        <v xml:space="preserve"> </v>
      </c>
    </row>
    <row r="593" spans="13:13" x14ac:dyDescent="0.3">
      <c r="M593" s="26" t="str">
        <f t="shared" si="9"/>
        <v xml:space="preserve"> </v>
      </c>
    </row>
    <row r="594" spans="13:13" x14ac:dyDescent="0.3">
      <c r="M594" s="26" t="str">
        <f t="shared" si="9"/>
        <v xml:space="preserve"> </v>
      </c>
    </row>
    <row r="595" spans="13:13" x14ac:dyDescent="0.3">
      <c r="M595" s="26" t="str">
        <f t="shared" si="9"/>
        <v xml:space="preserve"> </v>
      </c>
    </row>
    <row r="596" spans="13:13" x14ac:dyDescent="0.3">
      <c r="M596" s="26" t="str">
        <f t="shared" si="9"/>
        <v xml:space="preserve"> </v>
      </c>
    </row>
    <row r="597" spans="13:13" x14ac:dyDescent="0.3">
      <c r="M597" s="26" t="str">
        <f t="shared" si="9"/>
        <v xml:space="preserve"> </v>
      </c>
    </row>
    <row r="598" spans="13:13" x14ac:dyDescent="0.3">
      <c r="M598" s="26" t="str">
        <f t="shared" si="9"/>
        <v xml:space="preserve"> </v>
      </c>
    </row>
    <row r="599" spans="13:13" x14ac:dyDescent="0.3">
      <c r="M599" s="26" t="str">
        <f t="shared" si="9"/>
        <v xml:space="preserve"> </v>
      </c>
    </row>
    <row r="600" spans="13:13" x14ac:dyDescent="0.3">
      <c r="M600" s="26" t="str">
        <f t="shared" si="9"/>
        <v xml:space="preserve"> </v>
      </c>
    </row>
    <row r="601" spans="13:13" x14ac:dyDescent="0.3">
      <c r="M601" s="26" t="str">
        <f t="shared" si="9"/>
        <v xml:space="preserve"> </v>
      </c>
    </row>
    <row r="602" spans="13:13" x14ac:dyDescent="0.3">
      <c r="M602" s="26" t="str">
        <f t="shared" si="9"/>
        <v xml:space="preserve"> </v>
      </c>
    </row>
    <row r="603" spans="13:13" x14ac:dyDescent="0.3">
      <c r="M603" s="26" t="str">
        <f t="shared" si="9"/>
        <v xml:space="preserve"> </v>
      </c>
    </row>
    <row r="604" spans="13:13" x14ac:dyDescent="0.3">
      <c r="M604" s="26" t="str">
        <f t="shared" si="9"/>
        <v xml:space="preserve"> </v>
      </c>
    </row>
    <row r="605" spans="13:13" x14ac:dyDescent="0.3">
      <c r="M605" s="26" t="str">
        <f t="shared" si="9"/>
        <v xml:space="preserve"> </v>
      </c>
    </row>
    <row r="606" spans="13:13" x14ac:dyDescent="0.3">
      <c r="M606" s="26" t="str">
        <f t="shared" si="9"/>
        <v xml:space="preserve"> </v>
      </c>
    </row>
    <row r="607" spans="13:13" x14ac:dyDescent="0.3">
      <c r="M607" s="26" t="str">
        <f t="shared" si="9"/>
        <v xml:space="preserve"> </v>
      </c>
    </row>
    <row r="608" spans="13:13" x14ac:dyDescent="0.3">
      <c r="M608" s="26" t="str">
        <f t="shared" si="9"/>
        <v xml:space="preserve"> </v>
      </c>
    </row>
    <row r="609" spans="13:13" x14ac:dyDescent="0.3">
      <c r="M609" s="26" t="str">
        <f t="shared" si="9"/>
        <v xml:space="preserve"> </v>
      </c>
    </row>
    <row r="610" spans="13:13" x14ac:dyDescent="0.3">
      <c r="M610" s="26" t="str">
        <f t="shared" si="9"/>
        <v xml:space="preserve"> </v>
      </c>
    </row>
    <row r="611" spans="13:13" x14ac:dyDescent="0.3">
      <c r="M611" s="26" t="str">
        <f t="shared" si="9"/>
        <v xml:space="preserve"> </v>
      </c>
    </row>
    <row r="612" spans="13:13" x14ac:dyDescent="0.3">
      <c r="M612" s="26" t="str">
        <f t="shared" si="9"/>
        <v xml:space="preserve"> </v>
      </c>
    </row>
    <row r="613" spans="13:13" x14ac:dyDescent="0.3">
      <c r="M613" s="26" t="str">
        <f t="shared" si="9"/>
        <v xml:space="preserve"> </v>
      </c>
    </row>
    <row r="614" spans="13:13" x14ac:dyDescent="0.3">
      <c r="M614" s="26" t="str">
        <f t="shared" si="9"/>
        <v xml:space="preserve"> </v>
      </c>
    </row>
    <row r="615" spans="13:13" x14ac:dyDescent="0.3">
      <c r="M615" s="26" t="str">
        <f t="shared" si="9"/>
        <v xml:space="preserve"> </v>
      </c>
    </row>
    <row r="616" spans="13:13" x14ac:dyDescent="0.3">
      <c r="M616" s="26" t="str">
        <f t="shared" si="9"/>
        <v xml:space="preserve"> </v>
      </c>
    </row>
    <row r="617" spans="13:13" x14ac:dyDescent="0.3">
      <c r="M617" s="26" t="str">
        <f t="shared" si="9"/>
        <v xml:space="preserve"> </v>
      </c>
    </row>
    <row r="618" spans="13:13" x14ac:dyDescent="0.3">
      <c r="M618" s="26" t="str">
        <f t="shared" si="9"/>
        <v xml:space="preserve"> </v>
      </c>
    </row>
    <row r="619" spans="13:13" x14ac:dyDescent="0.3">
      <c r="M619" s="26" t="str">
        <f t="shared" si="9"/>
        <v xml:space="preserve"> </v>
      </c>
    </row>
    <row r="620" spans="13:13" x14ac:dyDescent="0.3">
      <c r="M620" s="26" t="str">
        <f t="shared" si="9"/>
        <v xml:space="preserve"> </v>
      </c>
    </row>
    <row r="621" spans="13:13" x14ac:dyDescent="0.3">
      <c r="M621" s="26" t="str">
        <f t="shared" si="9"/>
        <v xml:space="preserve"> </v>
      </c>
    </row>
    <row r="622" spans="13:13" x14ac:dyDescent="0.3">
      <c r="M622" s="26" t="str">
        <f t="shared" si="9"/>
        <v xml:space="preserve"> </v>
      </c>
    </row>
    <row r="623" spans="13:13" x14ac:dyDescent="0.3">
      <c r="M623" s="26" t="str">
        <f t="shared" si="9"/>
        <v xml:space="preserve"> </v>
      </c>
    </row>
    <row r="624" spans="13:13" x14ac:dyDescent="0.3">
      <c r="M624" s="26" t="str">
        <f t="shared" si="9"/>
        <v xml:space="preserve"> </v>
      </c>
    </row>
    <row r="625" spans="13:13" x14ac:dyDescent="0.3">
      <c r="M625" s="26" t="str">
        <f t="shared" si="9"/>
        <v xml:space="preserve"> </v>
      </c>
    </row>
    <row r="626" spans="13:13" x14ac:dyDescent="0.3">
      <c r="M626" s="26" t="str">
        <f t="shared" si="9"/>
        <v xml:space="preserve"> </v>
      </c>
    </row>
    <row r="627" spans="13:13" x14ac:dyDescent="0.3">
      <c r="M627" s="26" t="str">
        <f t="shared" si="9"/>
        <v xml:space="preserve"> </v>
      </c>
    </row>
    <row r="628" spans="13:13" x14ac:dyDescent="0.3">
      <c r="M628" s="26" t="str">
        <f t="shared" si="9"/>
        <v xml:space="preserve"> </v>
      </c>
    </row>
    <row r="629" spans="13:13" x14ac:dyDescent="0.3">
      <c r="M629" s="26" t="str">
        <f t="shared" si="9"/>
        <v xml:space="preserve"> </v>
      </c>
    </row>
    <row r="630" spans="13:13" x14ac:dyDescent="0.3">
      <c r="M630" s="26" t="str">
        <f t="shared" si="9"/>
        <v xml:space="preserve"> </v>
      </c>
    </row>
    <row r="631" spans="13:13" x14ac:dyDescent="0.3">
      <c r="M631" s="26" t="str">
        <f t="shared" si="9"/>
        <v xml:space="preserve"> </v>
      </c>
    </row>
    <row r="632" spans="13:13" x14ac:dyDescent="0.3">
      <c r="M632" s="26" t="str">
        <f t="shared" si="9"/>
        <v xml:space="preserve"> </v>
      </c>
    </row>
    <row r="633" spans="13:13" x14ac:dyDescent="0.3">
      <c r="M633" s="26" t="str">
        <f t="shared" si="9"/>
        <v xml:space="preserve"> </v>
      </c>
    </row>
    <row r="634" spans="13:13" x14ac:dyDescent="0.3">
      <c r="M634" s="26" t="str">
        <f t="shared" si="9"/>
        <v xml:space="preserve"> </v>
      </c>
    </row>
    <row r="635" spans="13:13" x14ac:dyDescent="0.3">
      <c r="M635" s="26" t="str">
        <f t="shared" si="9"/>
        <v xml:space="preserve"> </v>
      </c>
    </row>
    <row r="636" spans="13:13" x14ac:dyDescent="0.3">
      <c r="M636" s="26" t="str">
        <f t="shared" si="9"/>
        <v xml:space="preserve"> </v>
      </c>
    </row>
    <row r="637" spans="13:13" x14ac:dyDescent="0.3">
      <c r="M637" s="26" t="str">
        <f t="shared" si="9"/>
        <v xml:space="preserve"> </v>
      </c>
    </row>
    <row r="638" spans="13:13" x14ac:dyDescent="0.3">
      <c r="M638" s="26" t="str">
        <f t="shared" si="9"/>
        <v xml:space="preserve"> </v>
      </c>
    </row>
    <row r="639" spans="13:13" x14ac:dyDescent="0.3">
      <c r="M639" s="26" t="str">
        <f t="shared" si="9"/>
        <v xml:space="preserve"> </v>
      </c>
    </row>
    <row r="640" spans="13:13" x14ac:dyDescent="0.3">
      <c r="M640" s="26" t="str">
        <f t="shared" si="9"/>
        <v xml:space="preserve"> </v>
      </c>
    </row>
    <row r="641" spans="13:13" x14ac:dyDescent="0.3">
      <c r="M641" s="26" t="str">
        <f t="shared" si="9"/>
        <v xml:space="preserve"> </v>
      </c>
    </row>
    <row r="642" spans="13:13" x14ac:dyDescent="0.3">
      <c r="M642" s="26" t="str">
        <f t="shared" ref="M642:M705" si="10">_xlfn.CONCAT(L642," ",F642)</f>
        <v xml:space="preserve"> </v>
      </c>
    </row>
    <row r="643" spans="13:13" x14ac:dyDescent="0.3">
      <c r="M643" s="26" t="str">
        <f t="shared" si="10"/>
        <v xml:space="preserve"> </v>
      </c>
    </row>
    <row r="644" spans="13:13" x14ac:dyDescent="0.3">
      <c r="M644" s="26" t="str">
        <f t="shared" si="10"/>
        <v xml:space="preserve"> </v>
      </c>
    </row>
    <row r="645" spans="13:13" x14ac:dyDescent="0.3">
      <c r="M645" s="26" t="str">
        <f t="shared" si="10"/>
        <v xml:space="preserve"> </v>
      </c>
    </row>
    <row r="646" spans="13:13" x14ac:dyDescent="0.3">
      <c r="M646" s="26" t="str">
        <f t="shared" si="10"/>
        <v xml:space="preserve"> </v>
      </c>
    </row>
    <row r="647" spans="13:13" x14ac:dyDescent="0.3">
      <c r="M647" s="26" t="str">
        <f t="shared" si="10"/>
        <v xml:space="preserve"> </v>
      </c>
    </row>
    <row r="648" spans="13:13" x14ac:dyDescent="0.3">
      <c r="M648" s="26" t="str">
        <f t="shared" si="10"/>
        <v xml:space="preserve"> </v>
      </c>
    </row>
    <row r="649" spans="13:13" x14ac:dyDescent="0.3">
      <c r="M649" s="26" t="str">
        <f t="shared" si="10"/>
        <v xml:space="preserve"> </v>
      </c>
    </row>
    <row r="650" spans="13:13" x14ac:dyDescent="0.3">
      <c r="M650" s="26" t="str">
        <f t="shared" si="10"/>
        <v xml:space="preserve"> </v>
      </c>
    </row>
    <row r="651" spans="13:13" x14ac:dyDescent="0.3">
      <c r="M651" s="26" t="str">
        <f t="shared" si="10"/>
        <v xml:space="preserve"> </v>
      </c>
    </row>
    <row r="652" spans="13:13" x14ac:dyDescent="0.3">
      <c r="M652" s="26" t="str">
        <f t="shared" si="10"/>
        <v xml:space="preserve"> </v>
      </c>
    </row>
    <row r="653" spans="13:13" x14ac:dyDescent="0.3">
      <c r="M653" s="26" t="str">
        <f t="shared" si="10"/>
        <v xml:space="preserve"> </v>
      </c>
    </row>
    <row r="654" spans="13:13" x14ac:dyDescent="0.3">
      <c r="M654" s="26" t="str">
        <f t="shared" si="10"/>
        <v xml:space="preserve"> </v>
      </c>
    </row>
    <row r="655" spans="13:13" x14ac:dyDescent="0.3">
      <c r="M655" s="26" t="str">
        <f t="shared" si="10"/>
        <v xml:space="preserve"> </v>
      </c>
    </row>
    <row r="656" spans="13:13" x14ac:dyDescent="0.3">
      <c r="M656" s="26" t="str">
        <f t="shared" si="10"/>
        <v xml:space="preserve"> </v>
      </c>
    </row>
    <row r="657" spans="13:13" x14ac:dyDescent="0.3">
      <c r="M657" s="26" t="str">
        <f t="shared" si="10"/>
        <v xml:space="preserve"> </v>
      </c>
    </row>
    <row r="658" spans="13:13" x14ac:dyDescent="0.3">
      <c r="M658" s="26" t="str">
        <f t="shared" si="10"/>
        <v xml:space="preserve"> </v>
      </c>
    </row>
    <row r="659" spans="13:13" x14ac:dyDescent="0.3">
      <c r="M659" s="26" t="str">
        <f t="shared" si="10"/>
        <v xml:space="preserve"> </v>
      </c>
    </row>
    <row r="660" spans="13:13" x14ac:dyDescent="0.3">
      <c r="M660" s="26" t="str">
        <f t="shared" si="10"/>
        <v xml:space="preserve"> </v>
      </c>
    </row>
    <row r="661" spans="13:13" x14ac:dyDescent="0.3">
      <c r="M661" s="26" t="str">
        <f t="shared" si="10"/>
        <v xml:space="preserve"> </v>
      </c>
    </row>
    <row r="662" spans="13:13" x14ac:dyDescent="0.3">
      <c r="M662" s="26" t="str">
        <f t="shared" si="10"/>
        <v xml:space="preserve"> </v>
      </c>
    </row>
    <row r="663" spans="13:13" x14ac:dyDescent="0.3">
      <c r="M663" s="26" t="str">
        <f t="shared" si="10"/>
        <v xml:space="preserve"> </v>
      </c>
    </row>
    <row r="664" spans="13:13" x14ac:dyDescent="0.3">
      <c r="M664" s="26" t="str">
        <f t="shared" si="10"/>
        <v xml:space="preserve"> </v>
      </c>
    </row>
    <row r="665" spans="13:13" x14ac:dyDescent="0.3">
      <c r="M665" s="26" t="str">
        <f t="shared" si="10"/>
        <v xml:space="preserve"> </v>
      </c>
    </row>
    <row r="666" spans="13:13" x14ac:dyDescent="0.3">
      <c r="M666" s="26" t="str">
        <f t="shared" si="10"/>
        <v xml:space="preserve"> </v>
      </c>
    </row>
    <row r="667" spans="13:13" x14ac:dyDescent="0.3">
      <c r="M667" s="26" t="str">
        <f t="shared" si="10"/>
        <v xml:space="preserve"> </v>
      </c>
    </row>
    <row r="668" spans="13:13" x14ac:dyDescent="0.3">
      <c r="M668" s="26" t="str">
        <f t="shared" si="10"/>
        <v xml:space="preserve"> </v>
      </c>
    </row>
    <row r="669" spans="13:13" x14ac:dyDescent="0.3">
      <c r="M669" s="26" t="str">
        <f t="shared" si="10"/>
        <v xml:space="preserve"> </v>
      </c>
    </row>
    <row r="670" spans="13:13" x14ac:dyDescent="0.3">
      <c r="M670" s="26" t="str">
        <f t="shared" si="10"/>
        <v xml:space="preserve"> </v>
      </c>
    </row>
    <row r="671" spans="13:13" x14ac:dyDescent="0.3">
      <c r="M671" s="26" t="str">
        <f t="shared" si="10"/>
        <v xml:space="preserve"> </v>
      </c>
    </row>
    <row r="672" spans="13:13" x14ac:dyDescent="0.3">
      <c r="M672" s="26" t="str">
        <f t="shared" si="10"/>
        <v xml:space="preserve"> </v>
      </c>
    </row>
    <row r="673" spans="13:13" x14ac:dyDescent="0.3">
      <c r="M673" s="26" t="str">
        <f t="shared" si="10"/>
        <v xml:space="preserve"> </v>
      </c>
    </row>
    <row r="674" spans="13:13" x14ac:dyDescent="0.3">
      <c r="M674" s="26" t="str">
        <f t="shared" si="10"/>
        <v xml:space="preserve"> </v>
      </c>
    </row>
    <row r="675" spans="13:13" x14ac:dyDescent="0.3">
      <c r="M675" s="26" t="str">
        <f t="shared" si="10"/>
        <v xml:space="preserve"> </v>
      </c>
    </row>
    <row r="676" spans="13:13" x14ac:dyDescent="0.3">
      <c r="M676" s="26" t="str">
        <f t="shared" si="10"/>
        <v xml:space="preserve"> </v>
      </c>
    </row>
    <row r="677" spans="13:13" x14ac:dyDescent="0.3">
      <c r="M677" s="26" t="str">
        <f t="shared" si="10"/>
        <v xml:space="preserve"> </v>
      </c>
    </row>
    <row r="678" spans="13:13" x14ac:dyDescent="0.3">
      <c r="M678" s="26" t="str">
        <f t="shared" si="10"/>
        <v xml:space="preserve"> </v>
      </c>
    </row>
    <row r="679" spans="13:13" x14ac:dyDescent="0.3">
      <c r="M679" s="26" t="str">
        <f t="shared" si="10"/>
        <v xml:space="preserve"> </v>
      </c>
    </row>
    <row r="680" spans="13:13" x14ac:dyDescent="0.3">
      <c r="M680" s="26" t="str">
        <f t="shared" si="10"/>
        <v xml:space="preserve"> </v>
      </c>
    </row>
    <row r="681" spans="13:13" x14ac:dyDescent="0.3">
      <c r="M681" s="26" t="str">
        <f t="shared" si="10"/>
        <v xml:space="preserve"> </v>
      </c>
    </row>
    <row r="682" spans="13:13" x14ac:dyDescent="0.3">
      <c r="M682" s="26" t="str">
        <f t="shared" si="10"/>
        <v xml:space="preserve"> </v>
      </c>
    </row>
    <row r="683" spans="13:13" x14ac:dyDescent="0.3">
      <c r="M683" s="26" t="str">
        <f t="shared" si="10"/>
        <v xml:space="preserve"> </v>
      </c>
    </row>
    <row r="684" spans="13:13" x14ac:dyDescent="0.3">
      <c r="M684" s="26" t="str">
        <f t="shared" si="10"/>
        <v xml:space="preserve"> </v>
      </c>
    </row>
    <row r="685" spans="13:13" x14ac:dyDescent="0.3">
      <c r="M685" s="26" t="str">
        <f t="shared" si="10"/>
        <v xml:space="preserve"> </v>
      </c>
    </row>
    <row r="686" spans="13:13" x14ac:dyDescent="0.3">
      <c r="M686" s="26" t="str">
        <f t="shared" si="10"/>
        <v xml:space="preserve"> </v>
      </c>
    </row>
    <row r="687" spans="13:13" x14ac:dyDescent="0.3">
      <c r="M687" s="26" t="str">
        <f t="shared" si="10"/>
        <v xml:space="preserve"> </v>
      </c>
    </row>
    <row r="688" spans="13:13" x14ac:dyDescent="0.3">
      <c r="M688" s="26" t="str">
        <f t="shared" si="10"/>
        <v xml:space="preserve"> </v>
      </c>
    </row>
    <row r="689" spans="13:13" x14ac:dyDescent="0.3">
      <c r="M689" s="26" t="str">
        <f t="shared" si="10"/>
        <v xml:space="preserve"> </v>
      </c>
    </row>
    <row r="690" spans="13:13" x14ac:dyDescent="0.3">
      <c r="M690" s="26" t="str">
        <f t="shared" si="10"/>
        <v xml:space="preserve"> </v>
      </c>
    </row>
    <row r="691" spans="13:13" x14ac:dyDescent="0.3">
      <c r="M691" s="26" t="str">
        <f t="shared" si="10"/>
        <v xml:space="preserve"> </v>
      </c>
    </row>
    <row r="692" spans="13:13" x14ac:dyDescent="0.3">
      <c r="M692" s="26" t="str">
        <f t="shared" si="10"/>
        <v xml:space="preserve"> </v>
      </c>
    </row>
    <row r="693" spans="13:13" x14ac:dyDescent="0.3">
      <c r="M693" s="26" t="str">
        <f t="shared" si="10"/>
        <v xml:space="preserve"> </v>
      </c>
    </row>
    <row r="694" spans="13:13" x14ac:dyDescent="0.3">
      <c r="M694" s="26" t="str">
        <f t="shared" si="10"/>
        <v xml:space="preserve"> </v>
      </c>
    </row>
    <row r="695" spans="13:13" x14ac:dyDescent="0.3">
      <c r="M695" s="26" t="str">
        <f t="shared" si="10"/>
        <v xml:space="preserve"> </v>
      </c>
    </row>
    <row r="696" spans="13:13" x14ac:dyDescent="0.3">
      <c r="M696" s="26" t="str">
        <f t="shared" si="10"/>
        <v xml:space="preserve"> </v>
      </c>
    </row>
    <row r="697" spans="13:13" x14ac:dyDescent="0.3">
      <c r="M697" s="26" t="str">
        <f t="shared" si="10"/>
        <v xml:space="preserve"> </v>
      </c>
    </row>
    <row r="698" spans="13:13" x14ac:dyDescent="0.3">
      <c r="M698" s="26" t="str">
        <f t="shared" si="10"/>
        <v xml:space="preserve"> </v>
      </c>
    </row>
    <row r="699" spans="13:13" x14ac:dyDescent="0.3">
      <c r="M699" s="26" t="str">
        <f t="shared" si="10"/>
        <v xml:space="preserve"> </v>
      </c>
    </row>
    <row r="700" spans="13:13" x14ac:dyDescent="0.3">
      <c r="M700" s="26" t="str">
        <f t="shared" si="10"/>
        <v xml:space="preserve"> </v>
      </c>
    </row>
    <row r="701" spans="13:13" x14ac:dyDescent="0.3">
      <c r="M701" s="26" t="str">
        <f t="shared" si="10"/>
        <v xml:space="preserve"> </v>
      </c>
    </row>
    <row r="702" spans="13:13" x14ac:dyDescent="0.3">
      <c r="M702" s="26" t="str">
        <f t="shared" si="10"/>
        <v xml:space="preserve"> </v>
      </c>
    </row>
    <row r="703" spans="13:13" x14ac:dyDescent="0.3">
      <c r="M703" s="26" t="str">
        <f t="shared" si="10"/>
        <v xml:space="preserve"> </v>
      </c>
    </row>
    <row r="704" spans="13:13" x14ac:dyDescent="0.3">
      <c r="M704" s="26" t="str">
        <f t="shared" si="10"/>
        <v xml:space="preserve"> </v>
      </c>
    </row>
    <row r="705" spans="13:13" x14ac:dyDescent="0.3">
      <c r="M705" s="26" t="str">
        <f t="shared" si="10"/>
        <v xml:space="preserve"> </v>
      </c>
    </row>
    <row r="706" spans="13:13" x14ac:dyDescent="0.3">
      <c r="M706" s="26" t="str">
        <f t="shared" ref="M706:M769" si="11">_xlfn.CONCAT(L706," ",F706)</f>
        <v xml:space="preserve"> </v>
      </c>
    </row>
    <row r="707" spans="13:13" x14ac:dyDescent="0.3">
      <c r="M707" s="26" t="str">
        <f t="shared" si="11"/>
        <v xml:space="preserve"> </v>
      </c>
    </row>
    <row r="708" spans="13:13" x14ac:dyDescent="0.3">
      <c r="M708" s="26" t="str">
        <f t="shared" si="11"/>
        <v xml:space="preserve"> </v>
      </c>
    </row>
    <row r="709" spans="13:13" x14ac:dyDescent="0.3">
      <c r="M709" s="26" t="str">
        <f t="shared" si="11"/>
        <v xml:space="preserve"> </v>
      </c>
    </row>
    <row r="710" spans="13:13" x14ac:dyDescent="0.3">
      <c r="M710" s="26" t="str">
        <f t="shared" si="11"/>
        <v xml:space="preserve"> </v>
      </c>
    </row>
    <row r="711" spans="13:13" x14ac:dyDescent="0.3">
      <c r="M711" s="26" t="str">
        <f t="shared" si="11"/>
        <v xml:space="preserve"> </v>
      </c>
    </row>
    <row r="712" spans="13:13" x14ac:dyDescent="0.3">
      <c r="M712" s="26" t="str">
        <f t="shared" si="11"/>
        <v xml:space="preserve"> </v>
      </c>
    </row>
    <row r="713" spans="13:13" x14ac:dyDescent="0.3">
      <c r="M713" s="26" t="str">
        <f t="shared" si="11"/>
        <v xml:space="preserve"> </v>
      </c>
    </row>
    <row r="714" spans="13:13" x14ac:dyDescent="0.3">
      <c r="M714" s="26" t="str">
        <f t="shared" si="11"/>
        <v xml:space="preserve"> </v>
      </c>
    </row>
    <row r="715" spans="13:13" x14ac:dyDescent="0.3">
      <c r="M715" s="26" t="str">
        <f t="shared" si="11"/>
        <v xml:space="preserve"> </v>
      </c>
    </row>
    <row r="716" spans="13:13" x14ac:dyDescent="0.3">
      <c r="M716" s="26" t="str">
        <f t="shared" si="11"/>
        <v xml:space="preserve"> </v>
      </c>
    </row>
    <row r="717" spans="13:13" x14ac:dyDescent="0.3">
      <c r="M717" s="26" t="str">
        <f t="shared" si="11"/>
        <v xml:space="preserve"> </v>
      </c>
    </row>
    <row r="718" spans="13:13" x14ac:dyDescent="0.3">
      <c r="M718" s="26" t="str">
        <f t="shared" si="11"/>
        <v xml:space="preserve"> </v>
      </c>
    </row>
    <row r="719" spans="13:13" x14ac:dyDescent="0.3">
      <c r="M719" s="26" t="str">
        <f t="shared" si="11"/>
        <v xml:space="preserve"> </v>
      </c>
    </row>
    <row r="720" spans="13:13" x14ac:dyDescent="0.3">
      <c r="M720" s="26" t="str">
        <f t="shared" si="11"/>
        <v xml:space="preserve"> </v>
      </c>
    </row>
    <row r="721" spans="13:13" x14ac:dyDescent="0.3">
      <c r="M721" s="26" t="str">
        <f t="shared" si="11"/>
        <v xml:space="preserve"> </v>
      </c>
    </row>
    <row r="722" spans="13:13" x14ac:dyDescent="0.3">
      <c r="M722" s="26" t="str">
        <f t="shared" si="11"/>
        <v xml:space="preserve"> </v>
      </c>
    </row>
    <row r="723" spans="13:13" x14ac:dyDescent="0.3">
      <c r="M723" s="26" t="str">
        <f t="shared" si="11"/>
        <v xml:space="preserve"> </v>
      </c>
    </row>
    <row r="724" spans="13:13" x14ac:dyDescent="0.3">
      <c r="M724" s="26" t="str">
        <f t="shared" si="11"/>
        <v xml:space="preserve"> </v>
      </c>
    </row>
    <row r="725" spans="13:13" x14ac:dyDescent="0.3">
      <c r="M725" s="26" t="str">
        <f t="shared" si="11"/>
        <v xml:space="preserve"> </v>
      </c>
    </row>
    <row r="726" spans="13:13" x14ac:dyDescent="0.3">
      <c r="M726" s="26" t="str">
        <f t="shared" si="11"/>
        <v xml:space="preserve"> </v>
      </c>
    </row>
    <row r="727" spans="13:13" x14ac:dyDescent="0.3">
      <c r="M727" s="26" t="str">
        <f t="shared" si="11"/>
        <v xml:space="preserve"> </v>
      </c>
    </row>
    <row r="728" spans="13:13" x14ac:dyDescent="0.3">
      <c r="M728" s="26" t="str">
        <f t="shared" si="11"/>
        <v xml:space="preserve"> </v>
      </c>
    </row>
    <row r="729" spans="13:13" x14ac:dyDescent="0.3">
      <c r="M729" s="26" t="str">
        <f t="shared" si="11"/>
        <v xml:space="preserve"> </v>
      </c>
    </row>
    <row r="730" spans="13:13" x14ac:dyDescent="0.3">
      <c r="M730" s="26" t="str">
        <f t="shared" si="11"/>
        <v xml:space="preserve"> </v>
      </c>
    </row>
    <row r="731" spans="13:13" x14ac:dyDescent="0.3">
      <c r="M731" s="26" t="str">
        <f t="shared" si="11"/>
        <v xml:space="preserve"> </v>
      </c>
    </row>
    <row r="732" spans="13:13" x14ac:dyDescent="0.3">
      <c r="M732" s="26" t="str">
        <f t="shared" si="11"/>
        <v xml:space="preserve"> </v>
      </c>
    </row>
    <row r="733" spans="13:13" x14ac:dyDescent="0.3">
      <c r="M733" s="26" t="str">
        <f t="shared" si="11"/>
        <v xml:space="preserve"> </v>
      </c>
    </row>
    <row r="734" spans="13:13" x14ac:dyDescent="0.3">
      <c r="M734" s="26" t="str">
        <f t="shared" si="11"/>
        <v xml:space="preserve"> </v>
      </c>
    </row>
    <row r="735" spans="13:13" x14ac:dyDescent="0.3">
      <c r="M735" s="26" t="str">
        <f t="shared" si="11"/>
        <v xml:space="preserve"> </v>
      </c>
    </row>
    <row r="736" spans="13:13" x14ac:dyDescent="0.3">
      <c r="M736" s="26" t="str">
        <f t="shared" si="11"/>
        <v xml:space="preserve"> </v>
      </c>
    </row>
    <row r="737" spans="13:13" x14ac:dyDescent="0.3">
      <c r="M737" s="26" t="str">
        <f t="shared" si="11"/>
        <v xml:space="preserve"> </v>
      </c>
    </row>
    <row r="738" spans="13:13" x14ac:dyDescent="0.3">
      <c r="M738" s="26" t="str">
        <f t="shared" si="11"/>
        <v xml:space="preserve"> </v>
      </c>
    </row>
    <row r="739" spans="13:13" x14ac:dyDescent="0.3">
      <c r="M739" s="26" t="str">
        <f t="shared" si="11"/>
        <v xml:space="preserve"> </v>
      </c>
    </row>
    <row r="740" spans="13:13" x14ac:dyDescent="0.3">
      <c r="M740" s="26" t="str">
        <f t="shared" si="11"/>
        <v xml:space="preserve"> </v>
      </c>
    </row>
    <row r="741" spans="13:13" x14ac:dyDescent="0.3">
      <c r="M741" s="26" t="str">
        <f t="shared" si="11"/>
        <v xml:space="preserve"> </v>
      </c>
    </row>
    <row r="742" spans="13:13" x14ac:dyDescent="0.3">
      <c r="M742" s="26" t="str">
        <f t="shared" si="11"/>
        <v xml:space="preserve"> </v>
      </c>
    </row>
    <row r="743" spans="13:13" x14ac:dyDescent="0.3">
      <c r="M743" s="26" t="str">
        <f t="shared" si="11"/>
        <v xml:space="preserve"> </v>
      </c>
    </row>
    <row r="744" spans="13:13" x14ac:dyDescent="0.3">
      <c r="M744" s="26" t="str">
        <f t="shared" si="11"/>
        <v xml:space="preserve"> </v>
      </c>
    </row>
    <row r="745" spans="13:13" x14ac:dyDescent="0.3">
      <c r="M745" s="26" t="str">
        <f t="shared" si="11"/>
        <v xml:space="preserve"> </v>
      </c>
    </row>
    <row r="746" spans="13:13" x14ac:dyDescent="0.3">
      <c r="M746" s="26" t="str">
        <f t="shared" si="11"/>
        <v xml:space="preserve"> </v>
      </c>
    </row>
    <row r="747" spans="13:13" x14ac:dyDescent="0.3">
      <c r="M747" s="26" t="str">
        <f t="shared" si="11"/>
        <v xml:space="preserve"> </v>
      </c>
    </row>
    <row r="748" spans="13:13" x14ac:dyDescent="0.3">
      <c r="M748" s="26" t="str">
        <f t="shared" si="11"/>
        <v xml:space="preserve"> </v>
      </c>
    </row>
    <row r="749" spans="13:13" x14ac:dyDescent="0.3">
      <c r="M749" s="26" t="str">
        <f t="shared" si="11"/>
        <v xml:space="preserve"> </v>
      </c>
    </row>
    <row r="750" spans="13:13" x14ac:dyDescent="0.3">
      <c r="M750" s="26" t="str">
        <f t="shared" si="11"/>
        <v xml:space="preserve"> </v>
      </c>
    </row>
    <row r="751" spans="13:13" x14ac:dyDescent="0.3">
      <c r="M751" s="26" t="str">
        <f t="shared" si="11"/>
        <v xml:space="preserve"> </v>
      </c>
    </row>
    <row r="752" spans="13:13" x14ac:dyDescent="0.3">
      <c r="M752" s="26" t="str">
        <f t="shared" si="11"/>
        <v xml:space="preserve"> </v>
      </c>
    </row>
    <row r="753" spans="13:13" x14ac:dyDescent="0.3">
      <c r="M753" s="26" t="str">
        <f t="shared" si="11"/>
        <v xml:space="preserve"> </v>
      </c>
    </row>
    <row r="754" spans="13:13" x14ac:dyDescent="0.3">
      <c r="M754" s="26" t="str">
        <f t="shared" si="11"/>
        <v xml:space="preserve"> </v>
      </c>
    </row>
    <row r="755" spans="13:13" x14ac:dyDescent="0.3">
      <c r="M755" s="26" t="str">
        <f t="shared" si="11"/>
        <v xml:space="preserve"> </v>
      </c>
    </row>
    <row r="756" spans="13:13" x14ac:dyDescent="0.3">
      <c r="M756" s="26" t="str">
        <f t="shared" si="11"/>
        <v xml:space="preserve"> </v>
      </c>
    </row>
    <row r="757" spans="13:13" x14ac:dyDescent="0.3">
      <c r="M757" s="26" t="str">
        <f t="shared" si="11"/>
        <v xml:space="preserve"> </v>
      </c>
    </row>
    <row r="758" spans="13:13" x14ac:dyDescent="0.3">
      <c r="M758" s="26" t="str">
        <f t="shared" si="11"/>
        <v xml:space="preserve"> </v>
      </c>
    </row>
    <row r="759" spans="13:13" x14ac:dyDescent="0.3">
      <c r="M759" s="26" t="str">
        <f t="shared" si="11"/>
        <v xml:space="preserve"> </v>
      </c>
    </row>
    <row r="760" spans="13:13" x14ac:dyDescent="0.3">
      <c r="M760" s="26" t="str">
        <f t="shared" si="11"/>
        <v xml:space="preserve"> </v>
      </c>
    </row>
    <row r="761" spans="13:13" x14ac:dyDescent="0.3">
      <c r="M761" s="26" t="str">
        <f t="shared" si="11"/>
        <v xml:space="preserve"> </v>
      </c>
    </row>
    <row r="762" spans="13:13" x14ac:dyDescent="0.3">
      <c r="M762" s="26" t="str">
        <f t="shared" si="11"/>
        <v xml:space="preserve"> </v>
      </c>
    </row>
    <row r="763" spans="13:13" x14ac:dyDescent="0.3">
      <c r="M763" s="26" t="str">
        <f t="shared" si="11"/>
        <v xml:space="preserve"> </v>
      </c>
    </row>
    <row r="764" spans="13:13" x14ac:dyDescent="0.3">
      <c r="M764" s="26" t="str">
        <f t="shared" si="11"/>
        <v xml:space="preserve"> </v>
      </c>
    </row>
    <row r="765" spans="13:13" x14ac:dyDescent="0.3">
      <c r="M765" s="26" t="str">
        <f t="shared" si="11"/>
        <v xml:space="preserve"> </v>
      </c>
    </row>
    <row r="766" spans="13:13" x14ac:dyDescent="0.3">
      <c r="M766" s="26" t="str">
        <f t="shared" si="11"/>
        <v xml:space="preserve"> </v>
      </c>
    </row>
    <row r="767" spans="13:13" x14ac:dyDescent="0.3">
      <c r="M767" s="26" t="str">
        <f t="shared" si="11"/>
        <v xml:space="preserve"> </v>
      </c>
    </row>
    <row r="768" spans="13:13" x14ac:dyDescent="0.3">
      <c r="M768" s="26" t="str">
        <f t="shared" si="11"/>
        <v xml:space="preserve"> </v>
      </c>
    </row>
    <row r="769" spans="13:13" x14ac:dyDescent="0.3">
      <c r="M769" s="26" t="str">
        <f t="shared" si="11"/>
        <v xml:space="preserve"> </v>
      </c>
    </row>
    <row r="770" spans="13:13" x14ac:dyDescent="0.3">
      <c r="M770" s="26" t="str">
        <f t="shared" ref="M770:M833" si="12">_xlfn.CONCAT(L770," ",F770)</f>
        <v xml:space="preserve"> </v>
      </c>
    </row>
    <row r="771" spans="13:13" x14ac:dyDescent="0.3">
      <c r="M771" s="26" t="str">
        <f t="shared" si="12"/>
        <v xml:space="preserve"> </v>
      </c>
    </row>
    <row r="772" spans="13:13" x14ac:dyDescent="0.3">
      <c r="M772" s="26" t="str">
        <f t="shared" si="12"/>
        <v xml:space="preserve"> </v>
      </c>
    </row>
    <row r="773" spans="13:13" x14ac:dyDescent="0.3">
      <c r="M773" s="26" t="str">
        <f t="shared" si="12"/>
        <v xml:space="preserve"> </v>
      </c>
    </row>
    <row r="774" spans="13:13" x14ac:dyDescent="0.3">
      <c r="M774" s="26" t="str">
        <f t="shared" si="12"/>
        <v xml:space="preserve"> </v>
      </c>
    </row>
    <row r="775" spans="13:13" x14ac:dyDescent="0.3">
      <c r="M775" s="26" t="str">
        <f t="shared" si="12"/>
        <v xml:space="preserve"> </v>
      </c>
    </row>
    <row r="776" spans="13:13" x14ac:dyDescent="0.3">
      <c r="M776" s="26" t="str">
        <f t="shared" si="12"/>
        <v xml:space="preserve"> </v>
      </c>
    </row>
    <row r="777" spans="13:13" x14ac:dyDescent="0.3">
      <c r="M777" s="26" t="str">
        <f t="shared" si="12"/>
        <v xml:space="preserve"> </v>
      </c>
    </row>
    <row r="778" spans="13:13" x14ac:dyDescent="0.3">
      <c r="M778" s="26" t="str">
        <f t="shared" si="12"/>
        <v xml:space="preserve"> </v>
      </c>
    </row>
    <row r="779" spans="13:13" x14ac:dyDescent="0.3">
      <c r="M779" s="26" t="str">
        <f t="shared" si="12"/>
        <v xml:space="preserve"> </v>
      </c>
    </row>
    <row r="780" spans="13:13" x14ac:dyDescent="0.3">
      <c r="M780" s="26" t="str">
        <f t="shared" si="12"/>
        <v xml:space="preserve"> </v>
      </c>
    </row>
    <row r="781" spans="13:13" x14ac:dyDescent="0.3">
      <c r="M781" s="26" t="str">
        <f t="shared" si="12"/>
        <v xml:space="preserve"> </v>
      </c>
    </row>
    <row r="782" spans="13:13" x14ac:dyDescent="0.3">
      <c r="M782" s="26" t="str">
        <f t="shared" si="12"/>
        <v xml:space="preserve"> </v>
      </c>
    </row>
    <row r="783" spans="13:13" x14ac:dyDescent="0.3">
      <c r="M783" s="26" t="str">
        <f t="shared" si="12"/>
        <v xml:space="preserve"> </v>
      </c>
    </row>
    <row r="784" spans="13:13" x14ac:dyDescent="0.3">
      <c r="M784" s="26" t="str">
        <f t="shared" si="12"/>
        <v xml:space="preserve"> </v>
      </c>
    </row>
    <row r="785" spans="13:13" x14ac:dyDescent="0.3">
      <c r="M785" s="26" t="str">
        <f t="shared" si="12"/>
        <v xml:space="preserve"> </v>
      </c>
    </row>
    <row r="786" spans="13:13" x14ac:dyDescent="0.3">
      <c r="M786" s="26" t="str">
        <f t="shared" si="12"/>
        <v xml:space="preserve"> </v>
      </c>
    </row>
    <row r="787" spans="13:13" x14ac:dyDescent="0.3">
      <c r="M787" s="26" t="str">
        <f t="shared" si="12"/>
        <v xml:space="preserve"> </v>
      </c>
    </row>
    <row r="788" spans="13:13" x14ac:dyDescent="0.3">
      <c r="M788" s="26" t="str">
        <f t="shared" si="12"/>
        <v xml:space="preserve"> </v>
      </c>
    </row>
    <row r="789" spans="13:13" x14ac:dyDescent="0.3">
      <c r="M789" s="26" t="str">
        <f t="shared" si="12"/>
        <v xml:space="preserve"> </v>
      </c>
    </row>
    <row r="790" spans="13:13" x14ac:dyDescent="0.3">
      <c r="M790" s="26" t="str">
        <f t="shared" si="12"/>
        <v xml:space="preserve"> </v>
      </c>
    </row>
    <row r="791" spans="13:13" x14ac:dyDescent="0.3">
      <c r="M791" s="26" t="str">
        <f t="shared" si="12"/>
        <v xml:space="preserve"> </v>
      </c>
    </row>
    <row r="792" spans="13:13" x14ac:dyDescent="0.3">
      <c r="M792" s="26" t="str">
        <f t="shared" si="12"/>
        <v xml:space="preserve"> </v>
      </c>
    </row>
    <row r="793" spans="13:13" x14ac:dyDescent="0.3">
      <c r="M793" s="26" t="str">
        <f t="shared" si="12"/>
        <v xml:space="preserve"> </v>
      </c>
    </row>
    <row r="794" spans="13:13" x14ac:dyDescent="0.3">
      <c r="M794" s="26" t="str">
        <f t="shared" si="12"/>
        <v xml:space="preserve"> </v>
      </c>
    </row>
    <row r="795" spans="13:13" x14ac:dyDescent="0.3">
      <c r="M795" s="26" t="str">
        <f t="shared" si="12"/>
        <v xml:space="preserve"> </v>
      </c>
    </row>
    <row r="796" spans="13:13" x14ac:dyDescent="0.3">
      <c r="M796" s="26" t="str">
        <f t="shared" si="12"/>
        <v xml:space="preserve"> </v>
      </c>
    </row>
    <row r="797" spans="13:13" x14ac:dyDescent="0.3">
      <c r="M797" s="26" t="str">
        <f t="shared" si="12"/>
        <v xml:space="preserve"> </v>
      </c>
    </row>
    <row r="798" spans="13:13" x14ac:dyDescent="0.3">
      <c r="M798" s="26" t="str">
        <f t="shared" si="12"/>
        <v xml:space="preserve"> </v>
      </c>
    </row>
    <row r="799" spans="13:13" x14ac:dyDescent="0.3">
      <c r="M799" s="26" t="str">
        <f t="shared" si="12"/>
        <v xml:space="preserve"> </v>
      </c>
    </row>
    <row r="800" spans="13:13" x14ac:dyDescent="0.3">
      <c r="M800" s="26" t="str">
        <f t="shared" si="12"/>
        <v xml:space="preserve"> </v>
      </c>
    </row>
    <row r="801" spans="13:13" x14ac:dyDescent="0.3">
      <c r="M801" s="26" t="str">
        <f t="shared" si="12"/>
        <v xml:space="preserve"> </v>
      </c>
    </row>
    <row r="802" spans="13:13" x14ac:dyDescent="0.3">
      <c r="M802" s="26" t="str">
        <f t="shared" si="12"/>
        <v xml:space="preserve"> </v>
      </c>
    </row>
    <row r="803" spans="13:13" x14ac:dyDescent="0.3">
      <c r="M803" s="26" t="str">
        <f t="shared" si="12"/>
        <v xml:space="preserve"> </v>
      </c>
    </row>
    <row r="804" spans="13:13" x14ac:dyDescent="0.3">
      <c r="M804" s="26" t="str">
        <f t="shared" si="12"/>
        <v xml:space="preserve"> </v>
      </c>
    </row>
    <row r="805" spans="13:13" x14ac:dyDescent="0.3">
      <c r="M805" s="26" t="str">
        <f t="shared" si="12"/>
        <v xml:space="preserve"> </v>
      </c>
    </row>
    <row r="806" spans="13:13" x14ac:dyDescent="0.3">
      <c r="M806" s="26" t="str">
        <f t="shared" si="12"/>
        <v xml:space="preserve"> </v>
      </c>
    </row>
    <row r="807" spans="13:13" x14ac:dyDescent="0.3">
      <c r="M807" s="26" t="str">
        <f t="shared" si="12"/>
        <v xml:space="preserve"> </v>
      </c>
    </row>
    <row r="808" spans="13:13" x14ac:dyDescent="0.3">
      <c r="M808" s="26" t="str">
        <f t="shared" si="12"/>
        <v xml:space="preserve"> </v>
      </c>
    </row>
    <row r="809" spans="13:13" x14ac:dyDescent="0.3">
      <c r="M809" s="26" t="str">
        <f t="shared" si="12"/>
        <v xml:space="preserve"> </v>
      </c>
    </row>
    <row r="810" spans="13:13" x14ac:dyDescent="0.3">
      <c r="M810" s="26" t="str">
        <f t="shared" si="12"/>
        <v xml:space="preserve"> </v>
      </c>
    </row>
    <row r="811" spans="13:13" x14ac:dyDescent="0.3">
      <c r="M811" s="26" t="str">
        <f t="shared" si="12"/>
        <v xml:space="preserve"> </v>
      </c>
    </row>
    <row r="812" spans="13:13" x14ac:dyDescent="0.3">
      <c r="M812" s="26" t="str">
        <f t="shared" si="12"/>
        <v xml:space="preserve"> </v>
      </c>
    </row>
    <row r="813" spans="13:13" x14ac:dyDescent="0.3">
      <c r="M813" s="26" t="str">
        <f t="shared" si="12"/>
        <v xml:space="preserve"> </v>
      </c>
    </row>
    <row r="814" spans="13:13" x14ac:dyDescent="0.3">
      <c r="M814" s="26" t="str">
        <f t="shared" si="12"/>
        <v xml:space="preserve"> </v>
      </c>
    </row>
    <row r="815" spans="13:13" x14ac:dyDescent="0.3">
      <c r="M815" s="26" t="str">
        <f t="shared" si="12"/>
        <v xml:space="preserve"> </v>
      </c>
    </row>
    <row r="816" spans="13:13" x14ac:dyDescent="0.3">
      <c r="M816" s="26" t="str">
        <f t="shared" si="12"/>
        <v xml:space="preserve"> </v>
      </c>
    </row>
    <row r="817" spans="13:13" x14ac:dyDescent="0.3">
      <c r="M817" s="26" t="str">
        <f t="shared" si="12"/>
        <v xml:space="preserve"> </v>
      </c>
    </row>
    <row r="818" spans="13:13" x14ac:dyDescent="0.3">
      <c r="M818" s="26" t="str">
        <f t="shared" si="12"/>
        <v xml:space="preserve"> </v>
      </c>
    </row>
    <row r="819" spans="13:13" x14ac:dyDescent="0.3">
      <c r="M819" s="26" t="str">
        <f t="shared" si="12"/>
        <v xml:space="preserve"> </v>
      </c>
    </row>
    <row r="820" spans="13:13" x14ac:dyDescent="0.3">
      <c r="M820" s="26" t="str">
        <f t="shared" si="12"/>
        <v xml:space="preserve"> </v>
      </c>
    </row>
    <row r="821" spans="13:13" x14ac:dyDescent="0.3">
      <c r="M821" s="26" t="str">
        <f t="shared" si="12"/>
        <v xml:space="preserve"> </v>
      </c>
    </row>
    <row r="822" spans="13:13" x14ac:dyDescent="0.3">
      <c r="M822" s="26" t="str">
        <f t="shared" si="12"/>
        <v xml:space="preserve"> </v>
      </c>
    </row>
    <row r="823" spans="13:13" x14ac:dyDescent="0.3">
      <c r="M823" s="26" t="str">
        <f t="shared" si="12"/>
        <v xml:space="preserve"> </v>
      </c>
    </row>
    <row r="824" spans="13:13" x14ac:dyDescent="0.3">
      <c r="M824" s="26" t="str">
        <f t="shared" si="12"/>
        <v xml:space="preserve"> </v>
      </c>
    </row>
    <row r="825" spans="13:13" x14ac:dyDescent="0.3">
      <c r="M825" s="26" t="str">
        <f t="shared" si="12"/>
        <v xml:space="preserve"> </v>
      </c>
    </row>
    <row r="826" spans="13:13" x14ac:dyDescent="0.3">
      <c r="M826" s="26" t="str">
        <f t="shared" si="12"/>
        <v xml:space="preserve"> </v>
      </c>
    </row>
    <row r="827" spans="13:13" x14ac:dyDescent="0.3">
      <c r="M827" s="26" t="str">
        <f t="shared" si="12"/>
        <v xml:space="preserve"> </v>
      </c>
    </row>
    <row r="828" spans="13:13" x14ac:dyDescent="0.3">
      <c r="M828" s="26" t="str">
        <f t="shared" si="12"/>
        <v xml:space="preserve"> </v>
      </c>
    </row>
    <row r="829" spans="13:13" x14ac:dyDescent="0.3">
      <c r="M829" s="26" t="str">
        <f t="shared" si="12"/>
        <v xml:space="preserve"> </v>
      </c>
    </row>
    <row r="830" spans="13:13" x14ac:dyDescent="0.3">
      <c r="M830" s="26" t="str">
        <f t="shared" si="12"/>
        <v xml:space="preserve"> </v>
      </c>
    </row>
    <row r="831" spans="13:13" x14ac:dyDescent="0.3">
      <c r="M831" s="26" t="str">
        <f t="shared" si="12"/>
        <v xml:space="preserve"> </v>
      </c>
    </row>
    <row r="832" spans="13:13" x14ac:dyDescent="0.3">
      <c r="M832" s="26" t="str">
        <f t="shared" si="12"/>
        <v xml:space="preserve"> </v>
      </c>
    </row>
    <row r="833" spans="13:13" x14ac:dyDescent="0.3">
      <c r="M833" s="26" t="str">
        <f t="shared" si="12"/>
        <v xml:space="preserve"> </v>
      </c>
    </row>
    <row r="834" spans="13:13" x14ac:dyDescent="0.3">
      <c r="M834" s="26" t="str">
        <f t="shared" ref="M834:M897" si="13">_xlfn.CONCAT(L834," ",F834)</f>
        <v xml:space="preserve"> </v>
      </c>
    </row>
    <row r="835" spans="13:13" x14ac:dyDescent="0.3">
      <c r="M835" s="26" t="str">
        <f t="shared" si="13"/>
        <v xml:space="preserve"> </v>
      </c>
    </row>
    <row r="836" spans="13:13" x14ac:dyDescent="0.3">
      <c r="M836" s="26" t="str">
        <f t="shared" si="13"/>
        <v xml:space="preserve"> </v>
      </c>
    </row>
    <row r="837" spans="13:13" x14ac:dyDescent="0.3">
      <c r="M837" s="26" t="str">
        <f t="shared" si="13"/>
        <v xml:space="preserve"> </v>
      </c>
    </row>
    <row r="838" spans="13:13" x14ac:dyDescent="0.3">
      <c r="M838" s="26" t="str">
        <f t="shared" si="13"/>
        <v xml:space="preserve"> </v>
      </c>
    </row>
    <row r="839" spans="13:13" x14ac:dyDescent="0.3">
      <c r="M839" s="26" t="str">
        <f t="shared" si="13"/>
        <v xml:space="preserve"> </v>
      </c>
    </row>
    <row r="840" spans="13:13" x14ac:dyDescent="0.3">
      <c r="M840" s="26" t="str">
        <f t="shared" si="13"/>
        <v xml:space="preserve"> </v>
      </c>
    </row>
    <row r="841" spans="13:13" x14ac:dyDescent="0.3">
      <c r="M841" s="26" t="str">
        <f t="shared" si="13"/>
        <v xml:space="preserve"> </v>
      </c>
    </row>
    <row r="842" spans="13:13" x14ac:dyDescent="0.3">
      <c r="M842" s="26" t="str">
        <f t="shared" si="13"/>
        <v xml:space="preserve"> </v>
      </c>
    </row>
    <row r="843" spans="13:13" x14ac:dyDescent="0.3">
      <c r="M843" s="26" t="str">
        <f t="shared" si="13"/>
        <v xml:space="preserve"> </v>
      </c>
    </row>
    <row r="844" spans="13:13" x14ac:dyDescent="0.3">
      <c r="M844" s="26" t="str">
        <f t="shared" si="13"/>
        <v xml:space="preserve"> </v>
      </c>
    </row>
    <row r="845" spans="13:13" x14ac:dyDescent="0.3">
      <c r="M845" s="26" t="str">
        <f t="shared" si="13"/>
        <v xml:space="preserve"> </v>
      </c>
    </row>
    <row r="846" spans="13:13" x14ac:dyDescent="0.3">
      <c r="M846" s="26" t="str">
        <f t="shared" si="13"/>
        <v xml:space="preserve"> </v>
      </c>
    </row>
    <row r="847" spans="13:13" x14ac:dyDescent="0.3">
      <c r="M847" s="26" t="str">
        <f t="shared" si="13"/>
        <v xml:space="preserve"> </v>
      </c>
    </row>
    <row r="848" spans="13:13" x14ac:dyDescent="0.3">
      <c r="M848" s="26" t="str">
        <f t="shared" si="13"/>
        <v xml:space="preserve"> </v>
      </c>
    </row>
    <row r="849" spans="13:13" x14ac:dyDescent="0.3">
      <c r="M849" s="26" t="str">
        <f t="shared" si="13"/>
        <v xml:space="preserve"> </v>
      </c>
    </row>
    <row r="850" spans="13:13" x14ac:dyDescent="0.3">
      <c r="M850" s="26" t="str">
        <f t="shared" si="13"/>
        <v xml:space="preserve"> </v>
      </c>
    </row>
    <row r="851" spans="13:13" x14ac:dyDescent="0.3">
      <c r="M851" s="26" t="str">
        <f t="shared" si="13"/>
        <v xml:space="preserve"> </v>
      </c>
    </row>
    <row r="852" spans="13:13" x14ac:dyDescent="0.3">
      <c r="M852" s="26" t="str">
        <f t="shared" si="13"/>
        <v xml:space="preserve"> </v>
      </c>
    </row>
    <row r="853" spans="13:13" x14ac:dyDescent="0.3">
      <c r="M853" s="26" t="str">
        <f t="shared" si="13"/>
        <v xml:space="preserve"> </v>
      </c>
    </row>
    <row r="854" spans="13:13" x14ac:dyDescent="0.3">
      <c r="M854" s="26" t="str">
        <f t="shared" si="13"/>
        <v xml:space="preserve"> </v>
      </c>
    </row>
    <row r="855" spans="13:13" x14ac:dyDescent="0.3">
      <c r="M855" s="26" t="str">
        <f t="shared" si="13"/>
        <v xml:space="preserve"> </v>
      </c>
    </row>
    <row r="856" spans="13:13" x14ac:dyDescent="0.3">
      <c r="M856" s="26" t="str">
        <f t="shared" si="13"/>
        <v xml:space="preserve"> </v>
      </c>
    </row>
    <row r="857" spans="13:13" x14ac:dyDescent="0.3">
      <c r="M857" s="26" t="str">
        <f t="shared" si="13"/>
        <v xml:space="preserve"> </v>
      </c>
    </row>
    <row r="858" spans="13:13" x14ac:dyDescent="0.3">
      <c r="M858" s="26" t="str">
        <f t="shared" si="13"/>
        <v xml:space="preserve"> </v>
      </c>
    </row>
    <row r="859" spans="13:13" x14ac:dyDescent="0.3">
      <c r="M859" s="26" t="str">
        <f t="shared" si="13"/>
        <v xml:space="preserve"> </v>
      </c>
    </row>
    <row r="860" spans="13:13" x14ac:dyDescent="0.3">
      <c r="M860" s="26" t="str">
        <f t="shared" si="13"/>
        <v xml:space="preserve"> </v>
      </c>
    </row>
    <row r="861" spans="13:13" x14ac:dyDescent="0.3">
      <c r="M861" s="26" t="str">
        <f t="shared" si="13"/>
        <v xml:space="preserve"> </v>
      </c>
    </row>
    <row r="862" spans="13:13" x14ac:dyDescent="0.3">
      <c r="M862" s="26" t="str">
        <f t="shared" si="13"/>
        <v xml:space="preserve"> </v>
      </c>
    </row>
    <row r="863" spans="13:13" x14ac:dyDescent="0.3">
      <c r="M863" s="26" t="str">
        <f t="shared" si="13"/>
        <v xml:space="preserve"> </v>
      </c>
    </row>
    <row r="864" spans="13:13" x14ac:dyDescent="0.3">
      <c r="M864" s="26" t="str">
        <f t="shared" si="13"/>
        <v xml:space="preserve"> </v>
      </c>
    </row>
    <row r="865" spans="13:13" x14ac:dyDescent="0.3">
      <c r="M865" s="26" t="str">
        <f t="shared" si="13"/>
        <v xml:space="preserve"> </v>
      </c>
    </row>
    <row r="866" spans="13:13" x14ac:dyDescent="0.3">
      <c r="M866" s="26" t="str">
        <f t="shared" si="13"/>
        <v xml:space="preserve"> </v>
      </c>
    </row>
    <row r="867" spans="13:13" x14ac:dyDescent="0.3">
      <c r="M867" s="26" t="str">
        <f t="shared" si="13"/>
        <v xml:space="preserve"> </v>
      </c>
    </row>
    <row r="868" spans="13:13" x14ac:dyDescent="0.3">
      <c r="M868" s="26" t="str">
        <f t="shared" si="13"/>
        <v xml:space="preserve"> </v>
      </c>
    </row>
    <row r="869" spans="13:13" x14ac:dyDescent="0.3">
      <c r="M869" s="26" t="str">
        <f t="shared" si="13"/>
        <v xml:space="preserve"> </v>
      </c>
    </row>
    <row r="870" spans="13:13" x14ac:dyDescent="0.3">
      <c r="M870" s="26" t="str">
        <f t="shared" si="13"/>
        <v xml:space="preserve"> </v>
      </c>
    </row>
    <row r="871" spans="13:13" x14ac:dyDescent="0.3">
      <c r="M871" s="26" t="str">
        <f t="shared" si="13"/>
        <v xml:space="preserve"> </v>
      </c>
    </row>
    <row r="872" spans="13:13" x14ac:dyDescent="0.3">
      <c r="M872" s="26" t="str">
        <f t="shared" si="13"/>
        <v xml:space="preserve"> </v>
      </c>
    </row>
    <row r="873" spans="13:13" x14ac:dyDescent="0.3">
      <c r="M873" s="26" t="str">
        <f t="shared" si="13"/>
        <v xml:space="preserve"> </v>
      </c>
    </row>
    <row r="874" spans="13:13" x14ac:dyDescent="0.3">
      <c r="M874" s="26" t="str">
        <f t="shared" si="13"/>
        <v xml:space="preserve"> </v>
      </c>
    </row>
    <row r="875" spans="13:13" x14ac:dyDescent="0.3">
      <c r="M875" s="26" t="str">
        <f t="shared" si="13"/>
        <v xml:space="preserve"> </v>
      </c>
    </row>
    <row r="876" spans="13:13" x14ac:dyDescent="0.3">
      <c r="M876" s="26" t="str">
        <f t="shared" si="13"/>
        <v xml:space="preserve"> </v>
      </c>
    </row>
    <row r="877" spans="13:13" x14ac:dyDescent="0.3">
      <c r="M877" s="26" t="str">
        <f t="shared" si="13"/>
        <v xml:space="preserve"> </v>
      </c>
    </row>
    <row r="878" spans="13:13" x14ac:dyDescent="0.3">
      <c r="M878" s="26" t="str">
        <f t="shared" si="13"/>
        <v xml:space="preserve"> </v>
      </c>
    </row>
    <row r="879" spans="13:13" x14ac:dyDescent="0.3">
      <c r="M879" s="26" t="str">
        <f t="shared" si="13"/>
        <v xml:space="preserve"> </v>
      </c>
    </row>
    <row r="880" spans="13:13" x14ac:dyDescent="0.3">
      <c r="M880" s="26" t="str">
        <f t="shared" si="13"/>
        <v xml:space="preserve"> </v>
      </c>
    </row>
    <row r="881" spans="13:13" x14ac:dyDescent="0.3">
      <c r="M881" s="26" t="str">
        <f t="shared" si="13"/>
        <v xml:space="preserve"> </v>
      </c>
    </row>
    <row r="882" spans="13:13" x14ac:dyDescent="0.3">
      <c r="M882" s="26" t="str">
        <f t="shared" si="13"/>
        <v xml:space="preserve"> </v>
      </c>
    </row>
    <row r="883" spans="13:13" x14ac:dyDescent="0.3">
      <c r="M883" s="26" t="str">
        <f t="shared" si="13"/>
        <v xml:space="preserve"> </v>
      </c>
    </row>
    <row r="884" spans="13:13" x14ac:dyDescent="0.3">
      <c r="M884" s="26" t="str">
        <f t="shared" si="13"/>
        <v xml:space="preserve"> </v>
      </c>
    </row>
    <row r="885" spans="13:13" x14ac:dyDescent="0.3">
      <c r="M885" s="26" t="str">
        <f t="shared" si="13"/>
        <v xml:space="preserve"> </v>
      </c>
    </row>
    <row r="886" spans="13:13" x14ac:dyDescent="0.3">
      <c r="M886" s="26" t="str">
        <f t="shared" si="13"/>
        <v xml:space="preserve"> </v>
      </c>
    </row>
    <row r="887" spans="13:13" x14ac:dyDescent="0.3">
      <c r="M887" s="26" t="str">
        <f t="shared" si="13"/>
        <v xml:space="preserve"> </v>
      </c>
    </row>
    <row r="888" spans="13:13" x14ac:dyDescent="0.3">
      <c r="M888" s="26" t="str">
        <f t="shared" si="13"/>
        <v xml:space="preserve"> </v>
      </c>
    </row>
    <row r="889" spans="13:13" x14ac:dyDescent="0.3">
      <c r="M889" s="26" t="str">
        <f t="shared" si="13"/>
        <v xml:space="preserve"> </v>
      </c>
    </row>
    <row r="890" spans="13:13" x14ac:dyDescent="0.3">
      <c r="M890" s="26" t="str">
        <f t="shared" si="13"/>
        <v xml:space="preserve"> </v>
      </c>
    </row>
    <row r="891" spans="13:13" x14ac:dyDescent="0.3">
      <c r="M891" s="26" t="str">
        <f t="shared" si="13"/>
        <v xml:space="preserve"> </v>
      </c>
    </row>
    <row r="892" spans="13:13" x14ac:dyDescent="0.3">
      <c r="M892" s="26" t="str">
        <f t="shared" si="13"/>
        <v xml:space="preserve"> </v>
      </c>
    </row>
    <row r="893" spans="13:13" x14ac:dyDescent="0.3">
      <c r="M893" s="26" t="str">
        <f t="shared" si="13"/>
        <v xml:space="preserve"> </v>
      </c>
    </row>
    <row r="894" spans="13:13" x14ac:dyDescent="0.3">
      <c r="M894" s="26" t="str">
        <f t="shared" si="13"/>
        <v xml:space="preserve"> </v>
      </c>
    </row>
    <row r="895" spans="13:13" x14ac:dyDescent="0.3">
      <c r="M895" s="26" t="str">
        <f t="shared" si="13"/>
        <v xml:space="preserve"> </v>
      </c>
    </row>
    <row r="896" spans="13:13" x14ac:dyDescent="0.3">
      <c r="M896" s="26" t="str">
        <f t="shared" si="13"/>
        <v xml:space="preserve"> </v>
      </c>
    </row>
    <row r="897" spans="13:13" x14ac:dyDescent="0.3">
      <c r="M897" s="26" t="str">
        <f t="shared" si="13"/>
        <v xml:space="preserve"> </v>
      </c>
    </row>
    <row r="898" spans="13:13" x14ac:dyDescent="0.3">
      <c r="M898" s="26" t="str">
        <f t="shared" ref="M898:M961" si="14">_xlfn.CONCAT(L898," ",F898)</f>
        <v xml:space="preserve"> </v>
      </c>
    </row>
    <row r="899" spans="13:13" x14ac:dyDescent="0.3">
      <c r="M899" s="26" t="str">
        <f t="shared" si="14"/>
        <v xml:space="preserve"> </v>
      </c>
    </row>
    <row r="900" spans="13:13" x14ac:dyDescent="0.3">
      <c r="M900" s="26" t="str">
        <f t="shared" si="14"/>
        <v xml:space="preserve"> </v>
      </c>
    </row>
    <row r="901" spans="13:13" x14ac:dyDescent="0.3">
      <c r="M901" s="26" t="str">
        <f t="shared" si="14"/>
        <v xml:space="preserve"> </v>
      </c>
    </row>
    <row r="902" spans="13:13" x14ac:dyDescent="0.3">
      <c r="M902" s="26" t="str">
        <f t="shared" si="14"/>
        <v xml:space="preserve"> </v>
      </c>
    </row>
    <row r="903" spans="13:13" x14ac:dyDescent="0.3">
      <c r="M903" s="26" t="str">
        <f t="shared" si="14"/>
        <v xml:space="preserve"> </v>
      </c>
    </row>
    <row r="904" spans="13:13" x14ac:dyDescent="0.3">
      <c r="M904" s="26" t="str">
        <f t="shared" si="14"/>
        <v xml:space="preserve"> </v>
      </c>
    </row>
    <row r="905" spans="13:13" x14ac:dyDescent="0.3">
      <c r="M905" s="26" t="str">
        <f t="shared" si="14"/>
        <v xml:space="preserve"> </v>
      </c>
    </row>
    <row r="906" spans="13:13" x14ac:dyDescent="0.3">
      <c r="M906" s="26" t="str">
        <f t="shared" si="14"/>
        <v xml:space="preserve"> </v>
      </c>
    </row>
    <row r="907" spans="13:13" x14ac:dyDescent="0.3">
      <c r="M907" s="26" t="str">
        <f t="shared" si="14"/>
        <v xml:space="preserve"> </v>
      </c>
    </row>
    <row r="908" spans="13:13" x14ac:dyDescent="0.3">
      <c r="M908" s="26" t="str">
        <f t="shared" si="14"/>
        <v xml:space="preserve"> </v>
      </c>
    </row>
    <row r="909" spans="13:13" x14ac:dyDescent="0.3">
      <c r="M909" s="26" t="str">
        <f t="shared" si="14"/>
        <v xml:space="preserve"> </v>
      </c>
    </row>
    <row r="910" spans="13:13" x14ac:dyDescent="0.3">
      <c r="M910" s="26" t="str">
        <f t="shared" si="14"/>
        <v xml:space="preserve"> </v>
      </c>
    </row>
    <row r="911" spans="13:13" x14ac:dyDescent="0.3">
      <c r="M911" s="26" t="str">
        <f t="shared" si="14"/>
        <v xml:space="preserve"> </v>
      </c>
    </row>
    <row r="912" spans="13:13" x14ac:dyDescent="0.3">
      <c r="M912" s="26" t="str">
        <f t="shared" si="14"/>
        <v xml:space="preserve"> </v>
      </c>
    </row>
    <row r="913" spans="13:13" x14ac:dyDescent="0.3">
      <c r="M913" s="26" t="str">
        <f t="shared" si="14"/>
        <v xml:space="preserve"> </v>
      </c>
    </row>
    <row r="914" spans="13:13" x14ac:dyDescent="0.3">
      <c r="M914" s="26" t="str">
        <f t="shared" si="14"/>
        <v xml:space="preserve"> </v>
      </c>
    </row>
    <row r="915" spans="13:13" x14ac:dyDescent="0.3">
      <c r="M915" s="26" t="str">
        <f t="shared" si="14"/>
        <v xml:space="preserve"> </v>
      </c>
    </row>
    <row r="916" spans="13:13" x14ac:dyDescent="0.3">
      <c r="M916" s="26" t="str">
        <f t="shared" si="14"/>
        <v xml:space="preserve"> </v>
      </c>
    </row>
    <row r="917" spans="13:13" x14ac:dyDescent="0.3">
      <c r="M917" s="26" t="str">
        <f t="shared" si="14"/>
        <v xml:space="preserve"> </v>
      </c>
    </row>
    <row r="918" spans="13:13" x14ac:dyDescent="0.3">
      <c r="M918" s="26" t="str">
        <f t="shared" si="14"/>
        <v xml:space="preserve"> </v>
      </c>
    </row>
    <row r="919" spans="13:13" x14ac:dyDescent="0.3">
      <c r="M919" s="26" t="str">
        <f t="shared" si="14"/>
        <v xml:space="preserve"> </v>
      </c>
    </row>
    <row r="920" spans="13:13" x14ac:dyDescent="0.3">
      <c r="M920" s="26" t="str">
        <f t="shared" si="14"/>
        <v xml:space="preserve"> </v>
      </c>
    </row>
    <row r="921" spans="13:13" x14ac:dyDescent="0.3">
      <c r="M921" s="26" t="str">
        <f t="shared" si="14"/>
        <v xml:space="preserve"> </v>
      </c>
    </row>
    <row r="922" spans="13:13" x14ac:dyDescent="0.3">
      <c r="M922" s="26" t="str">
        <f t="shared" si="14"/>
        <v xml:space="preserve"> </v>
      </c>
    </row>
    <row r="923" spans="13:13" x14ac:dyDescent="0.3">
      <c r="M923" s="26" t="str">
        <f t="shared" si="14"/>
        <v xml:space="preserve"> </v>
      </c>
    </row>
    <row r="924" spans="13:13" x14ac:dyDescent="0.3">
      <c r="M924" s="26" t="str">
        <f t="shared" si="14"/>
        <v xml:space="preserve"> </v>
      </c>
    </row>
    <row r="925" spans="13:13" x14ac:dyDescent="0.3">
      <c r="M925" s="26" t="str">
        <f t="shared" si="14"/>
        <v xml:space="preserve"> </v>
      </c>
    </row>
    <row r="926" spans="13:13" x14ac:dyDescent="0.3">
      <c r="M926" s="26" t="str">
        <f t="shared" si="14"/>
        <v xml:space="preserve"> </v>
      </c>
    </row>
    <row r="927" spans="13:13" x14ac:dyDescent="0.3">
      <c r="M927" s="26" t="str">
        <f t="shared" si="14"/>
        <v xml:space="preserve"> </v>
      </c>
    </row>
    <row r="928" spans="13:13" x14ac:dyDescent="0.3">
      <c r="M928" s="26" t="str">
        <f t="shared" si="14"/>
        <v xml:space="preserve"> </v>
      </c>
    </row>
    <row r="929" spans="13:13" x14ac:dyDescent="0.3">
      <c r="M929" s="26" t="str">
        <f t="shared" si="14"/>
        <v xml:space="preserve"> </v>
      </c>
    </row>
    <row r="930" spans="13:13" x14ac:dyDescent="0.3">
      <c r="M930" s="26" t="str">
        <f t="shared" si="14"/>
        <v xml:space="preserve"> </v>
      </c>
    </row>
    <row r="931" spans="13:13" x14ac:dyDescent="0.3">
      <c r="M931" s="26" t="str">
        <f t="shared" si="14"/>
        <v xml:space="preserve"> </v>
      </c>
    </row>
    <row r="932" spans="13:13" x14ac:dyDescent="0.3">
      <c r="M932" s="26" t="str">
        <f t="shared" si="14"/>
        <v xml:space="preserve"> </v>
      </c>
    </row>
    <row r="933" spans="13:13" x14ac:dyDescent="0.3">
      <c r="M933" s="26" t="str">
        <f t="shared" si="14"/>
        <v xml:space="preserve"> </v>
      </c>
    </row>
    <row r="934" spans="13:13" x14ac:dyDescent="0.3">
      <c r="M934" s="26" t="str">
        <f t="shared" si="14"/>
        <v xml:space="preserve"> </v>
      </c>
    </row>
    <row r="935" spans="13:13" x14ac:dyDescent="0.3">
      <c r="M935" s="26" t="str">
        <f t="shared" si="14"/>
        <v xml:space="preserve"> </v>
      </c>
    </row>
    <row r="936" spans="13:13" x14ac:dyDescent="0.3">
      <c r="M936" s="26" t="str">
        <f t="shared" si="14"/>
        <v xml:space="preserve"> </v>
      </c>
    </row>
    <row r="937" spans="13:13" x14ac:dyDescent="0.3">
      <c r="M937" s="26" t="str">
        <f t="shared" si="14"/>
        <v xml:space="preserve"> </v>
      </c>
    </row>
    <row r="938" spans="13:13" x14ac:dyDescent="0.3">
      <c r="M938" s="26" t="str">
        <f t="shared" si="14"/>
        <v xml:space="preserve"> </v>
      </c>
    </row>
    <row r="939" spans="13:13" x14ac:dyDescent="0.3">
      <c r="M939" s="26" t="str">
        <f t="shared" si="14"/>
        <v xml:space="preserve"> </v>
      </c>
    </row>
    <row r="940" spans="13:13" x14ac:dyDescent="0.3">
      <c r="M940" s="26" t="str">
        <f t="shared" si="14"/>
        <v xml:space="preserve"> </v>
      </c>
    </row>
    <row r="941" spans="13:13" x14ac:dyDescent="0.3">
      <c r="M941" s="26" t="str">
        <f t="shared" si="14"/>
        <v xml:space="preserve"> </v>
      </c>
    </row>
    <row r="942" spans="13:13" x14ac:dyDescent="0.3">
      <c r="M942" s="26" t="str">
        <f t="shared" si="14"/>
        <v xml:space="preserve"> </v>
      </c>
    </row>
    <row r="943" spans="13:13" x14ac:dyDescent="0.3">
      <c r="M943" s="26" t="str">
        <f t="shared" si="14"/>
        <v xml:space="preserve"> </v>
      </c>
    </row>
    <row r="944" spans="13:13" x14ac:dyDescent="0.3">
      <c r="M944" s="26" t="str">
        <f t="shared" si="14"/>
        <v xml:space="preserve"> </v>
      </c>
    </row>
    <row r="945" spans="13:13" x14ac:dyDescent="0.3">
      <c r="M945" s="26" t="str">
        <f t="shared" si="14"/>
        <v xml:space="preserve"> </v>
      </c>
    </row>
    <row r="946" spans="13:13" x14ac:dyDescent="0.3">
      <c r="M946" s="26" t="str">
        <f t="shared" si="14"/>
        <v xml:space="preserve"> </v>
      </c>
    </row>
    <row r="947" spans="13:13" x14ac:dyDescent="0.3">
      <c r="M947" s="26" t="str">
        <f t="shared" si="14"/>
        <v xml:space="preserve"> </v>
      </c>
    </row>
    <row r="948" spans="13:13" x14ac:dyDescent="0.3">
      <c r="M948" s="26" t="str">
        <f t="shared" si="14"/>
        <v xml:space="preserve"> </v>
      </c>
    </row>
    <row r="949" spans="13:13" x14ac:dyDescent="0.3">
      <c r="M949" s="26" t="str">
        <f t="shared" si="14"/>
        <v xml:space="preserve"> </v>
      </c>
    </row>
    <row r="950" spans="13:13" x14ac:dyDescent="0.3">
      <c r="M950" s="26" t="str">
        <f t="shared" si="14"/>
        <v xml:space="preserve"> </v>
      </c>
    </row>
    <row r="951" spans="13:13" x14ac:dyDescent="0.3">
      <c r="M951" s="26" t="str">
        <f t="shared" si="14"/>
        <v xml:space="preserve"> </v>
      </c>
    </row>
    <row r="952" spans="13:13" x14ac:dyDescent="0.3">
      <c r="M952" s="26" t="str">
        <f t="shared" si="14"/>
        <v xml:space="preserve"> </v>
      </c>
    </row>
    <row r="953" spans="13:13" x14ac:dyDescent="0.3">
      <c r="M953" s="26" t="str">
        <f t="shared" si="14"/>
        <v xml:space="preserve"> </v>
      </c>
    </row>
    <row r="954" spans="13:13" x14ac:dyDescent="0.3">
      <c r="M954" s="26" t="str">
        <f t="shared" si="14"/>
        <v xml:space="preserve"> </v>
      </c>
    </row>
    <row r="955" spans="13:13" x14ac:dyDescent="0.3">
      <c r="M955" s="26" t="str">
        <f t="shared" si="14"/>
        <v xml:space="preserve"> </v>
      </c>
    </row>
    <row r="956" spans="13:13" x14ac:dyDescent="0.3">
      <c r="M956" s="26" t="str">
        <f t="shared" si="14"/>
        <v xml:space="preserve"> </v>
      </c>
    </row>
    <row r="957" spans="13:13" x14ac:dyDescent="0.3">
      <c r="M957" s="26" t="str">
        <f t="shared" si="14"/>
        <v xml:space="preserve"> </v>
      </c>
    </row>
    <row r="958" spans="13:13" x14ac:dyDescent="0.3">
      <c r="M958" s="26" t="str">
        <f t="shared" si="14"/>
        <v xml:space="preserve"> </v>
      </c>
    </row>
    <row r="959" spans="13:13" x14ac:dyDescent="0.3">
      <c r="M959" s="26" t="str">
        <f t="shared" si="14"/>
        <v xml:space="preserve"> </v>
      </c>
    </row>
    <row r="960" spans="13:13" x14ac:dyDescent="0.3">
      <c r="M960" s="26" t="str">
        <f t="shared" si="14"/>
        <v xml:space="preserve"> </v>
      </c>
    </row>
    <row r="961" spans="13:13" x14ac:dyDescent="0.3">
      <c r="M961" s="26" t="str">
        <f t="shared" si="14"/>
        <v xml:space="preserve"> </v>
      </c>
    </row>
    <row r="962" spans="13:13" x14ac:dyDescent="0.3">
      <c r="M962" s="26" t="str">
        <f t="shared" ref="M962:M1025" si="15">_xlfn.CONCAT(L962," ",F962)</f>
        <v xml:space="preserve"> </v>
      </c>
    </row>
    <row r="963" spans="13:13" x14ac:dyDescent="0.3">
      <c r="M963" s="26" t="str">
        <f t="shared" si="15"/>
        <v xml:space="preserve"> </v>
      </c>
    </row>
    <row r="964" spans="13:13" x14ac:dyDescent="0.3">
      <c r="M964" s="26" t="str">
        <f t="shared" si="15"/>
        <v xml:space="preserve"> </v>
      </c>
    </row>
    <row r="965" spans="13:13" x14ac:dyDescent="0.3">
      <c r="M965" s="26" t="str">
        <f t="shared" si="15"/>
        <v xml:space="preserve"> </v>
      </c>
    </row>
    <row r="966" spans="13:13" x14ac:dyDescent="0.3">
      <c r="M966" s="26" t="str">
        <f t="shared" si="15"/>
        <v xml:space="preserve"> </v>
      </c>
    </row>
    <row r="967" spans="13:13" x14ac:dyDescent="0.3">
      <c r="M967" s="26" t="str">
        <f t="shared" si="15"/>
        <v xml:space="preserve"> </v>
      </c>
    </row>
    <row r="968" spans="13:13" x14ac:dyDescent="0.3">
      <c r="M968" s="26" t="str">
        <f t="shared" si="15"/>
        <v xml:space="preserve"> </v>
      </c>
    </row>
    <row r="969" spans="13:13" x14ac:dyDescent="0.3">
      <c r="M969" s="26" t="str">
        <f t="shared" si="15"/>
        <v xml:space="preserve"> </v>
      </c>
    </row>
    <row r="970" spans="13:13" x14ac:dyDescent="0.3">
      <c r="M970" s="26" t="str">
        <f t="shared" si="15"/>
        <v xml:space="preserve"> </v>
      </c>
    </row>
    <row r="971" spans="13:13" x14ac:dyDescent="0.3">
      <c r="M971" s="26" t="str">
        <f t="shared" si="15"/>
        <v xml:space="preserve"> </v>
      </c>
    </row>
    <row r="972" spans="13:13" x14ac:dyDescent="0.3">
      <c r="M972" s="26" t="str">
        <f t="shared" si="15"/>
        <v xml:space="preserve"> </v>
      </c>
    </row>
    <row r="973" spans="13:13" x14ac:dyDescent="0.3">
      <c r="M973" s="26" t="str">
        <f t="shared" si="15"/>
        <v xml:space="preserve"> </v>
      </c>
    </row>
    <row r="974" spans="13:13" x14ac:dyDescent="0.3">
      <c r="M974" s="26" t="str">
        <f t="shared" si="15"/>
        <v xml:space="preserve"> </v>
      </c>
    </row>
    <row r="975" spans="13:13" x14ac:dyDescent="0.3">
      <c r="M975" s="26" t="str">
        <f t="shared" si="15"/>
        <v xml:space="preserve"> </v>
      </c>
    </row>
    <row r="976" spans="13:13" x14ac:dyDescent="0.3">
      <c r="M976" s="26" t="str">
        <f t="shared" si="15"/>
        <v xml:space="preserve"> </v>
      </c>
    </row>
    <row r="977" spans="13:13" x14ac:dyDescent="0.3">
      <c r="M977" s="26" t="str">
        <f t="shared" si="15"/>
        <v xml:space="preserve"> </v>
      </c>
    </row>
    <row r="978" spans="13:13" x14ac:dyDescent="0.3">
      <c r="M978" s="26" t="str">
        <f t="shared" si="15"/>
        <v xml:space="preserve"> </v>
      </c>
    </row>
    <row r="979" spans="13:13" x14ac:dyDescent="0.3">
      <c r="M979" s="26" t="str">
        <f t="shared" si="15"/>
        <v xml:space="preserve"> </v>
      </c>
    </row>
    <row r="980" spans="13:13" x14ac:dyDescent="0.3">
      <c r="M980" s="26" t="str">
        <f t="shared" si="15"/>
        <v xml:space="preserve"> </v>
      </c>
    </row>
    <row r="981" spans="13:13" x14ac:dyDescent="0.3">
      <c r="M981" s="26" t="str">
        <f t="shared" si="15"/>
        <v xml:space="preserve"> </v>
      </c>
    </row>
    <row r="982" spans="13:13" x14ac:dyDescent="0.3">
      <c r="M982" s="26" t="str">
        <f t="shared" si="15"/>
        <v xml:space="preserve"> </v>
      </c>
    </row>
    <row r="983" spans="13:13" x14ac:dyDescent="0.3">
      <c r="M983" s="26" t="str">
        <f t="shared" si="15"/>
        <v xml:space="preserve"> </v>
      </c>
    </row>
    <row r="984" spans="13:13" x14ac:dyDescent="0.3">
      <c r="M984" s="26" t="str">
        <f t="shared" si="15"/>
        <v xml:space="preserve"> </v>
      </c>
    </row>
    <row r="985" spans="13:13" x14ac:dyDescent="0.3">
      <c r="M985" s="26" t="str">
        <f t="shared" si="15"/>
        <v xml:space="preserve"> </v>
      </c>
    </row>
    <row r="986" spans="13:13" x14ac:dyDescent="0.3">
      <c r="M986" s="26" t="str">
        <f t="shared" si="15"/>
        <v xml:space="preserve"> </v>
      </c>
    </row>
    <row r="987" spans="13:13" x14ac:dyDescent="0.3">
      <c r="M987" s="26" t="str">
        <f t="shared" si="15"/>
        <v xml:space="preserve"> </v>
      </c>
    </row>
    <row r="988" spans="13:13" x14ac:dyDescent="0.3">
      <c r="M988" s="26" t="str">
        <f t="shared" si="15"/>
        <v xml:space="preserve"> </v>
      </c>
    </row>
    <row r="989" spans="13:13" x14ac:dyDescent="0.3">
      <c r="M989" s="26" t="str">
        <f t="shared" si="15"/>
        <v xml:space="preserve"> </v>
      </c>
    </row>
    <row r="990" spans="13:13" x14ac:dyDescent="0.3">
      <c r="M990" s="26" t="str">
        <f t="shared" si="15"/>
        <v xml:space="preserve"> </v>
      </c>
    </row>
    <row r="991" spans="13:13" x14ac:dyDescent="0.3">
      <c r="M991" s="26" t="str">
        <f t="shared" si="15"/>
        <v xml:space="preserve"> </v>
      </c>
    </row>
    <row r="992" spans="13:13" x14ac:dyDescent="0.3">
      <c r="M992" s="26" t="str">
        <f t="shared" si="15"/>
        <v xml:space="preserve"> </v>
      </c>
    </row>
    <row r="993" spans="13:13" x14ac:dyDescent="0.3">
      <c r="M993" s="26" t="str">
        <f t="shared" si="15"/>
        <v xml:space="preserve"> </v>
      </c>
    </row>
    <row r="994" spans="13:13" x14ac:dyDescent="0.3">
      <c r="M994" s="26" t="str">
        <f t="shared" si="15"/>
        <v xml:space="preserve"> </v>
      </c>
    </row>
    <row r="995" spans="13:13" x14ac:dyDescent="0.3">
      <c r="M995" s="26" t="str">
        <f t="shared" si="15"/>
        <v xml:space="preserve"> </v>
      </c>
    </row>
    <row r="996" spans="13:13" x14ac:dyDescent="0.3">
      <c r="M996" s="26" t="str">
        <f t="shared" si="15"/>
        <v xml:space="preserve"> </v>
      </c>
    </row>
    <row r="997" spans="13:13" x14ac:dyDescent="0.3">
      <c r="M997" s="26" t="str">
        <f t="shared" si="15"/>
        <v xml:space="preserve"> </v>
      </c>
    </row>
    <row r="998" spans="13:13" x14ac:dyDescent="0.3">
      <c r="M998" s="26" t="str">
        <f t="shared" si="15"/>
        <v xml:space="preserve"> </v>
      </c>
    </row>
    <row r="999" spans="13:13" x14ac:dyDescent="0.3">
      <c r="M999" s="26" t="str">
        <f t="shared" si="15"/>
        <v xml:space="preserve"> </v>
      </c>
    </row>
    <row r="1000" spans="13:13" x14ac:dyDescent="0.3">
      <c r="M1000" s="26" t="str">
        <f t="shared" si="15"/>
        <v xml:space="preserve"> </v>
      </c>
    </row>
  </sheetData>
  <pageMargins left="0.7" right="0.7" top="0.75" bottom="0.75" header="0.3" footer="0.3"/>
  <pageSetup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000"/>
  <sheetViews>
    <sheetView workbookViewId="0">
      <selection activeCell="F1" sqref="F1:F1048576"/>
    </sheetView>
  </sheetViews>
  <sheetFormatPr defaultColWidth="8.88671875" defaultRowHeight="14.4" x14ac:dyDescent="0.3"/>
  <cols>
    <col min="1" max="1" width="14.6640625" style="108" bestFit="1" customWidth="1"/>
    <col min="2" max="2" width="7" style="108" bestFit="1" customWidth="1"/>
    <col min="3" max="3" width="8.88671875" style="108" bestFit="1" customWidth="1"/>
    <col min="4" max="4" width="7.21875" style="108" bestFit="1" customWidth="1"/>
    <col min="5" max="5" width="19.33203125" style="108" bestFit="1" customWidth="1"/>
    <col min="6" max="6" width="19.44140625" style="108" bestFit="1" customWidth="1"/>
    <col min="7" max="7" width="8.44140625" style="108" bestFit="1" customWidth="1"/>
    <col min="8" max="8" width="4" style="197" bestFit="1" customWidth="1"/>
    <col min="9" max="9" width="14.5546875" style="194" bestFit="1" customWidth="1"/>
    <col min="10" max="10" width="14.109375" style="194" bestFit="1" customWidth="1"/>
    <col min="11" max="11" width="12.5546875" style="91" bestFit="1" customWidth="1"/>
    <col min="12" max="16384" width="8.88671875" style="26"/>
  </cols>
  <sheetData>
    <row r="1" spans="1:13" s="9" customFormat="1" x14ac:dyDescent="0.3">
      <c r="A1" s="107" t="s">
        <v>110</v>
      </c>
      <c r="B1" s="107" t="s">
        <v>111</v>
      </c>
      <c r="C1" s="107" t="s">
        <v>115</v>
      </c>
      <c r="D1" s="107" t="s">
        <v>112</v>
      </c>
      <c r="E1" s="107" t="s">
        <v>116</v>
      </c>
      <c r="F1" s="107" t="s">
        <v>121</v>
      </c>
      <c r="G1" s="107" t="s">
        <v>67</v>
      </c>
      <c r="H1" s="196" t="s">
        <v>66</v>
      </c>
      <c r="I1" s="193" t="s">
        <v>117</v>
      </c>
      <c r="J1" s="193" t="s">
        <v>118</v>
      </c>
      <c r="K1" s="33" t="s">
        <v>119</v>
      </c>
      <c r="L1" s="9" t="s">
        <v>122</v>
      </c>
      <c r="M1" s="9" t="s">
        <v>121</v>
      </c>
    </row>
    <row r="2" spans="1:13" x14ac:dyDescent="0.3">
      <c r="A2" s="107"/>
      <c r="B2" s="107"/>
      <c r="C2" s="107"/>
      <c r="D2" s="107"/>
      <c r="E2" s="107"/>
      <c r="F2" s="107"/>
      <c r="G2" s="107"/>
      <c r="H2" s="196"/>
      <c r="I2" s="193"/>
      <c r="J2" s="193"/>
      <c r="K2" s="33"/>
      <c r="M2" s="26" t="str">
        <f t="shared" ref="M2:M65" si="0">_xlfn.CONCAT(L2," ",F2)</f>
        <v xml:space="preserve"> </v>
      </c>
    </row>
    <row r="3" spans="1:13" x14ac:dyDescent="0.3">
      <c r="A3" s="107"/>
      <c r="B3" s="107"/>
      <c r="C3" s="107"/>
      <c r="D3" s="107"/>
      <c r="E3" s="107"/>
      <c r="F3" s="107"/>
      <c r="G3" s="107"/>
      <c r="H3" s="196"/>
      <c r="I3" s="193"/>
      <c r="J3" s="193"/>
      <c r="K3" s="33"/>
      <c r="M3" s="26" t="str">
        <f t="shared" si="0"/>
        <v xml:space="preserve"> </v>
      </c>
    </row>
    <row r="4" spans="1:13" x14ac:dyDescent="0.3">
      <c r="M4" s="26" t="str">
        <f t="shared" si="0"/>
        <v xml:space="preserve"> </v>
      </c>
    </row>
    <row r="5" spans="1:13" x14ac:dyDescent="0.3">
      <c r="M5" s="26" t="str">
        <f t="shared" si="0"/>
        <v xml:space="preserve"> </v>
      </c>
    </row>
    <row r="6" spans="1:13" x14ac:dyDescent="0.3">
      <c r="M6" s="26" t="str">
        <f t="shared" si="0"/>
        <v xml:space="preserve"> </v>
      </c>
    </row>
    <row r="7" spans="1:13" x14ac:dyDescent="0.3">
      <c r="M7" s="26" t="str">
        <f t="shared" si="0"/>
        <v xml:space="preserve"> </v>
      </c>
    </row>
    <row r="8" spans="1:13" x14ac:dyDescent="0.3">
      <c r="M8" s="26" t="str">
        <f t="shared" si="0"/>
        <v xml:space="preserve"> </v>
      </c>
    </row>
    <row r="9" spans="1:13" x14ac:dyDescent="0.3">
      <c r="M9" s="26" t="str">
        <f t="shared" si="0"/>
        <v xml:space="preserve"> </v>
      </c>
    </row>
    <row r="10" spans="1:13" x14ac:dyDescent="0.3">
      <c r="M10" s="26" t="str">
        <f t="shared" si="0"/>
        <v xml:space="preserve"> </v>
      </c>
    </row>
    <row r="11" spans="1:13" x14ac:dyDescent="0.3">
      <c r="M11" s="26" t="str">
        <f t="shared" si="0"/>
        <v xml:space="preserve"> </v>
      </c>
    </row>
    <row r="12" spans="1:13" x14ac:dyDescent="0.3">
      <c r="M12" s="26" t="str">
        <f t="shared" si="0"/>
        <v xml:space="preserve"> </v>
      </c>
    </row>
    <row r="13" spans="1:13" x14ac:dyDescent="0.3">
      <c r="M13" s="26" t="str">
        <f t="shared" si="0"/>
        <v xml:space="preserve"> </v>
      </c>
    </row>
    <row r="14" spans="1:13" x14ac:dyDescent="0.3">
      <c r="M14" s="26" t="str">
        <f t="shared" si="0"/>
        <v xml:space="preserve"> </v>
      </c>
    </row>
    <row r="15" spans="1:13" x14ac:dyDescent="0.3">
      <c r="M15" s="26" t="str">
        <f t="shared" si="0"/>
        <v xml:space="preserve"> </v>
      </c>
    </row>
    <row r="16" spans="1:13" x14ac:dyDescent="0.3">
      <c r="M16" s="26" t="str">
        <f t="shared" si="0"/>
        <v xml:space="preserve"> </v>
      </c>
    </row>
    <row r="17" spans="13:13" x14ac:dyDescent="0.3">
      <c r="M17" s="26" t="str">
        <f t="shared" si="0"/>
        <v xml:space="preserve"> </v>
      </c>
    </row>
    <row r="18" spans="13:13" x14ac:dyDescent="0.3">
      <c r="M18" s="26" t="str">
        <f t="shared" si="0"/>
        <v xml:space="preserve"> </v>
      </c>
    </row>
    <row r="19" spans="13:13" x14ac:dyDescent="0.3">
      <c r="M19" s="26" t="str">
        <f t="shared" si="0"/>
        <v xml:space="preserve"> </v>
      </c>
    </row>
    <row r="20" spans="13:13" x14ac:dyDescent="0.3">
      <c r="M20" s="26" t="str">
        <f t="shared" si="0"/>
        <v xml:space="preserve"> </v>
      </c>
    </row>
    <row r="21" spans="13:13" x14ac:dyDescent="0.3">
      <c r="M21" s="26" t="str">
        <f t="shared" si="0"/>
        <v xml:space="preserve"> </v>
      </c>
    </row>
    <row r="22" spans="13:13" x14ac:dyDescent="0.3">
      <c r="M22" s="26" t="str">
        <f t="shared" si="0"/>
        <v xml:space="preserve"> </v>
      </c>
    </row>
    <row r="23" spans="13:13" x14ac:dyDescent="0.3">
      <c r="M23" s="26" t="str">
        <f t="shared" si="0"/>
        <v xml:space="preserve"> </v>
      </c>
    </row>
    <row r="24" spans="13:13" x14ac:dyDescent="0.3">
      <c r="M24" s="26" t="str">
        <f t="shared" si="0"/>
        <v xml:space="preserve"> </v>
      </c>
    </row>
    <row r="25" spans="13:13" x14ac:dyDescent="0.3">
      <c r="M25" s="26" t="str">
        <f t="shared" si="0"/>
        <v xml:space="preserve"> </v>
      </c>
    </row>
    <row r="26" spans="13:13" x14ac:dyDescent="0.3">
      <c r="M26" s="26" t="str">
        <f t="shared" si="0"/>
        <v xml:space="preserve"> </v>
      </c>
    </row>
    <row r="27" spans="13:13" x14ac:dyDescent="0.3">
      <c r="M27" s="26" t="str">
        <f t="shared" si="0"/>
        <v xml:space="preserve"> </v>
      </c>
    </row>
    <row r="28" spans="13:13" x14ac:dyDescent="0.3">
      <c r="M28" s="26" t="str">
        <f t="shared" si="0"/>
        <v xml:space="preserve"> </v>
      </c>
    </row>
    <row r="29" spans="13:13" x14ac:dyDescent="0.3">
      <c r="M29" s="26" t="str">
        <f t="shared" si="0"/>
        <v xml:space="preserve"> </v>
      </c>
    </row>
    <row r="30" spans="13:13" x14ac:dyDescent="0.3">
      <c r="M30" s="26" t="str">
        <f t="shared" si="0"/>
        <v xml:space="preserve"> </v>
      </c>
    </row>
    <row r="31" spans="13:13" x14ac:dyDescent="0.3">
      <c r="M31" s="26" t="str">
        <f t="shared" si="0"/>
        <v xml:space="preserve"> </v>
      </c>
    </row>
    <row r="32" spans="13:13" x14ac:dyDescent="0.3">
      <c r="M32" s="26" t="str">
        <f t="shared" si="0"/>
        <v xml:space="preserve"> </v>
      </c>
    </row>
    <row r="33" spans="13:13" x14ac:dyDescent="0.3">
      <c r="M33" s="26" t="str">
        <f t="shared" si="0"/>
        <v xml:space="preserve"> </v>
      </c>
    </row>
    <row r="34" spans="13:13" x14ac:dyDescent="0.3">
      <c r="M34" s="26" t="str">
        <f t="shared" si="0"/>
        <v xml:space="preserve"> </v>
      </c>
    </row>
    <row r="35" spans="13:13" x14ac:dyDescent="0.3">
      <c r="M35" s="26" t="str">
        <f t="shared" si="0"/>
        <v xml:space="preserve"> </v>
      </c>
    </row>
    <row r="36" spans="13:13" x14ac:dyDescent="0.3">
      <c r="M36" s="26" t="str">
        <f t="shared" si="0"/>
        <v xml:space="preserve"> </v>
      </c>
    </row>
    <row r="37" spans="13:13" x14ac:dyDescent="0.3">
      <c r="M37" s="26" t="str">
        <f t="shared" si="0"/>
        <v xml:space="preserve"> </v>
      </c>
    </row>
    <row r="38" spans="13:13" x14ac:dyDescent="0.3">
      <c r="M38" s="26" t="str">
        <f t="shared" si="0"/>
        <v xml:space="preserve"> </v>
      </c>
    </row>
    <row r="39" spans="13:13" x14ac:dyDescent="0.3">
      <c r="M39" s="26" t="str">
        <f t="shared" si="0"/>
        <v xml:space="preserve"> </v>
      </c>
    </row>
    <row r="40" spans="13:13" x14ac:dyDescent="0.3">
      <c r="M40" s="26" t="str">
        <f t="shared" si="0"/>
        <v xml:space="preserve"> </v>
      </c>
    </row>
    <row r="41" spans="13:13" x14ac:dyDescent="0.3">
      <c r="M41" s="26" t="str">
        <f t="shared" si="0"/>
        <v xml:space="preserve"> </v>
      </c>
    </row>
    <row r="42" spans="13:13" x14ac:dyDescent="0.3">
      <c r="M42" s="26" t="str">
        <f t="shared" si="0"/>
        <v xml:space="preserve"> </v>
      </c>
    </row>
    <row r="43" spans="13:13" x14ac:dyDescent="0.3">
      <c r="M43" s="26" t="str">
        <f t="shared" si="0"/>
        <v xml:space="preserve"> </v>
      </c>
    </row>
    <row r="44" spans="13:13" x14ac:dyDescent="0.3">
      <c r="M44" s="26" t="str">
        <f t="shared" si="0"/>
        <v xml:space="preserve"> </v>
      </c>
    </row>
    <row r="45" spans="13:13" x14ac:dyDescent="0.3">
      <c r="M45" s="26" t="str">
        <f t="shared" si="0"/>
        <v xml:space="preserve"> </v>
      </c>
    </row>
    <row r="46" spans="13:13" x14ac:dyDescent="0.3">
      <c r="M46" s="26" t="str">
        <f t="shared" si="0"/>
        <v xml:space="preserve"> </v>
      </c>
    </row>
    <row r="47" spans="13:13" x14ac:dyDescent="0.3">
      <c r="M47" s="26" t="str">
        <f t="shared" si="0"/>
        <v xml:space="preserve"> </v>
      </c>
    </row>
    <row r="48" spans="13:13" x14ac:dyDescent="0.3">
      <c r="M48" s="26" t="str">
        <f t="shared" si="0"/>
        <v xml:space="preserve"> </v>
      </c>
    </row>
    <row r="49" spans="13:13" x14ac:dyDescent="0.3">
      <c r="M49" s="26" t="str">
        <f t="shared" si="0"/>
        <v xml:space="preserve"> </v>
      </c>
    </row>
    <row r="50" spans="13:13" x14ac:dyDescent="0.3">
      <c r="M50" s="26" t="str">
        <f t="shared" si="0"/>
        <v xml:space="preserve"> </v>
      </c>
    </row>
    <row r="51" spans="13:13" x14ac:dyDescent="0.3">
      <c r="M51" s="26" t="str">
        <f t="shared" si="0"/>
        <v xml:space="preserve"> </v>
      </c>
    </row>
    <row r="52" spans="13:13" x14ac:dyDescent="0.3">
      <c r="M52" s="26" t="str">
        <f t="shared" si="0"/>
        <v xml:space="preserve"> </v>
      </c>
    </row>
    <row r="53" spans="13:13" x14ac:dyDescent="0.3">
      <c r="M53" s="26" t="str">
        <f t="shared" si="0"/>
        <v xml:space="preserve"> </v>
      </c>
    </row>
    <row r="54" spans="13:13" x14ac:dyDescent="0.3">
      <c r="M54" s="26" t="str">
        <f t="shared" si="0"/>
        <v xml:space="preserve"> </v>
      </c>
    </row>
    <row r="55" spans="13:13" x14ac:dyDescent="0.3">
      <c r="M55" s="26" t="str">
        <f t="shared" si="0"/>
        <v xml:space="preserve"> </v>
      </c>
    </row>
    <row r="56" spans="13:13" x14ac:dyDescent="0.3">
      <c r="M56" s="26" t="str">
        <f t="shared" si="0"/>
        <v xml:space="preserve"> </v>
      </c>
    </row>
    <row r="57" spans="13:13" x14ac:dyDescent="0.3">
      <c r="M57" s="26" t="str">
        <f t="shared" si="0"/>
        <v xml:space="preserve"> </v>
      </c>
    </row>
    <row r="58" spans="13:13" x14ac:dyDescent="0.3">
      <c r="M58" s="26" t="str">
        <f t="shared" si="0"/>
        <v xml:space="preserve"> </v>
      </c>
    </row>
    <row r="59" spans="13:13" x14ac:dyDescent="0.3">
      <c r="M59" s="26" t="str">
        <f t="shared" si="0"/>
        <v xml:space="preserve"> </v>
      </c>
    </row>
    <row r="60" spans="13:13" x14ac:dyDescent="0.3">
      <c r="M60" s="26" t="str">
        <f t="shared" si="0"/>
        <v xml:space="preserve"> </v>
      </c>
    </row>
    <row r="61" spans="13:13" x14ac:dyDescent="0.3">
      <c r="M61" s="26" t="str">
        <f t="shared" si="0"/>
        <v xml:space="preserve"> </v>
      </c>
    </row>
    <row r="62" spans="13:13" x14ac:dyDescent="0.3">
      <c r="M62" s="26" t="str">
        <f t="shared" si="0"/>
        <v xml:space="preserve"> </v>
      </c>
    </row>
    <row r="63" spans="13:13" x14ac:dyDescent="0.3">
      <c r="M63" s="26" t="str">
        <f t="shared" si="0"/>
        <v xml:space="preserve"> </v>
      </c>
    </row>
    <row r="64" spans="13:13" x14ac:dyDescent="0.3">
      <c r="M64" s="26" t="str">
        <f t="shared" si="0"/>
        <v xml:space="preserve"> </v>
      </c>
    </row>
    <row r="65" spans="13:13" x14ac:dyDescent="0.3">
      <c r="M65" s="26" t="str">
        <f t="shared" si="0"/>
        <v xml:space="preserve"> </v>
      </c>
    </row>
    <row r="66" spans="13:13" x14ac:dyDescent="0.3">
      <c r="M66" s="26" t="str">
        <f t="shared" ref="M66:M129" si="1">_xlfn.CONCAT(L66," ",F66)</f>
        <v xml:space="preserve"> </v>
      </c>
    </row>
    <row r="67" spans="13:13" x14ac:dyDescent="0.3">
      <c r="M67" s="26" t="str">
        <f t="shared" si="1"/>
        <v xml:space="preserve"> </v>
      </c>
    </row>
    <row r="68" spans="13:13" x14ac:dyDescent="0.3">
      <c r="M68" s="26" t="str">
        <f t="shared" si="1"/>
        <v xml:space="preserve"> </v>
      </c>
    </row>
    <row r="69" spans="13:13" x14ac:dyDescent="0.3">
      <c r="M69" s="26" t="str">
        <f t="shared" si="1"/>
        <v xml:space="preserve"> </v>
      </c>
    </row>
    <row r="70" spans="13:13" x14ac:dyDescent="0.3">
      <c r="M70" s="26" t="str">
        <f t="shared" si="1"/>
        <v xml:space="preserve"> </v>
      </c>
    </row>
    <row r="71" spans="13:13" x14ac:dyDescent="0.3">
      <c r="M71" s="26" t="str">
        <f t="shared" si="1"/>
        <v xml:space="preserve"> </v>
      </c>
    </row>
    <row r="72" spans="13:13" x14ac:dyDescent="0.3">
      <c r="M72" s="26" t="str">
        <f t="shared" si="1"/>
        <v xml:space="preserve"> </v>
      </c>
    </row>
    <row r="73" spans="13:13" x14ac:dyDescent="0.3">
      <c r="M73" s="26" t="str">
        <f t="shared" si="1"/>
        <v xml:space="preserve"> </v>
      </c>
    </row>
    <row r="74" spans="13:13" x14ac:dyDescent="0.3">
      <c r="M74" s="26" t="str">
        <f t="shared" si="1"/>
        <v xml:space="preserve"> </v>
      </c>
    </row>
    <row r="75" spans="13:13" x14ac:dyDescent="0.3">
      <c r="M75" s="26" t="str">
        <f t="shared" si="1"/>
        <v xml:space="preserve"> </v>
      </c>
    </row>
    <row r="76" spans="13:13" x14ac:dyDescent="0.3">
      <c r="M76" s="26" t="str">
        <f t="shared" si="1"/>
        <v xml:space="preserve"> </v>
      </c>
    </row>
    <row r="77" spans="13:13" x14ac:dyDescent="0.3">
      <c r="M77" s="26" t="str">
        <f t="shared" si="1"/>
        <v xml:space="preserve"> </v>
      </c>
    </row>
    <row r="78" spans="13:13" x14ac:dyDescent="0.3">
      <c r="M78" s="26" t="str">
        <f t="shared" si="1"/>
        <v xml:space="preserve"> </v>
      </c>
    </row>
    <row r="79" spans="13:13" x14ac:dyDescent="0.3">
      <c r="M79" s="26" t="str">
        <f t="shared" si="1"/>
        <v xml:space="preserve"> </v>
      </c>
    </row>
    <row r="80" spans="13:13" x14ac:dyDescent="0.3">
      <c r="M80" s="26" t="str">
        <f t="shared" si="1"/>
        <v xml:space="preserve"> </v>
      </c>
    </row>
    <row r="81" spans="13:13" x14ac:dyDescent="0.3">
      <c r="M81" s="26" t="str">
        <f t="shared" si="1"/>
        <v xml:space="preserve"> </v>
      </c>
    </row>
    <row r="82" spans="13:13" x14ac:dyDescent="0.3">
      <c r="M82" s="26" t="str">
        <f t="shared" si="1"/>
        <v xml:space="preserve"> </v>
      </c>
    </row>
    <row r="83" spans="13:13" x14ac:dyDescent="0.3">
      <c r="M83" s="26" t="str">
        <f t="shared" si="1"/>
        <v xml:space="preserve"> </v>
      </c>
    </row>
    <row r="84" spans="13:13" x14ac:dyDescent="0.3">
      <c r="M84" s="26" t="str">
        <f t="shared" si="1"/>
        <v xml:space="preserve"> </v>
      </c>
    </row>
    <row r="85" spans="13:13" x14ac:dyDescent="0.3">
      <c r="M85" s="26" t="str">
        <f t="shared" si="1"/>
        <v xml:space="preserve"> </v>
      </c>
    </row>
    <row r="86" spans="13:13" x14ac:dyDescent="0.3">
      <c r="M86" s="26" t="str">
        <f t="shared" si="1"/>
        <v xml:space="preserve"> </v>
      </c>
    </row>
    <row r="87" spans="13:13" x14ac:dyDescent="0.3">
      <c r="M87" s="26" t="str">
        <f t="shared" si="1"/>
        <v xml:space="preserve"> </v>
      </c>
    </row>
    <row r="88" spans="13:13" x14ac:dyDescent="0.3">
      <c r="M88" s="26" t="str">
        <f t="shared" si="1"/>
        <v xml:space="preserve"> </v>
      </c>
    </row>
    <row r="89" spans="13:13" x14ac:dyDescent="0.3">
      <c r="M89" s="26" t="str">
        <f t="shared" si="1"/>
        <v xml:space="preserve"> </v>
      </c>
    </row>
    <row r="90" spans="13:13" x14ac:dyDescent="0.3">
      <c r="M90" s="26" t="str">
        <f t="shared" si="1"/>
        <v xml:space="preserve"> </v>
      </c>
    </row>
    <row r="91" spans="13:13" x14ac:dyDescent="0.3">
      <c r="M91" s="26" t="str">
        <f t="shared" si="1"/>
        <v xml:space="preserve"> </v>
      </c>
    </row>
    <row r="92" spans="13:13" x14ac:dyDescent="0.3">
      <c r="M92" s="26" t="str">
        <f t="shared" si="1"/>
        <v xml:space="preserve"> </v>
      </c>
    </row>
    <row r="93" spans="13:13" x14ac:dyDescent="0.3">
      <c r="M93" s="26" t="str">
        <f t="shared" si="1"/>
        <v xml:space="preserve"> </v>
      </c>
    </row>
    <row r="94" spans="13:13" x14ac:dyDescent="0.3">
      <c r="M94" s="26" t="str">
        <f t="shared" si="1"/>
        <v xml:space="preserve"> </v>
      </c>
    </row>
    <row r="95" spans="13:13" x14ac:dyDescent="0.3">
      <c r="M95" s="26" t="str">
        <f t="shared" si="1"/>
        <v xml:space="preserve"> </v>
      </c>
    </row>
    <row r="96" spans="13:13" x14ac:dyDescent="0.3">
      <c r="M96" s="26" t="str">
        <f t="shared" si="1"/>
        <v xml:space="preserve"> </v>
      </c>
    </row>
    <row r="97" spans="13:13" x14ac:dyDescent="0.3">
      <c r="M97" s="26" t="str">
        <f t="shared" si="1"/>
        <v xml:space="preserve"> </v>
      </c>
    </row>
    <row r="98" spans="13:13" x14ac:dyDescent="0.3">
      <c r="M98" s="26" t="str">
        <f t="shared" si="1"/>
        <v xml:space="preserve"> </v>
      </c>
    </row>
    <row r="99" spans="13:13" x14ac:dyDescent="0.3">
      <c r="M99" s="26" t="str">
        <f t="shared" si="1"/>
        <v xml:space="preserve"> </v>
      </c>
    </row>
    <row r="100" spans="13:13" x14ac:dyDescent="0.3">
      <c r="M100" s="26" t="str">
        <f t="shared" si="1"/>
        <v xml:space="preserve"> </v>
      </c>
    </row>
    <row r="101" spans="13:13" x14ac:dyDescent="0.3">
      <c r="M101" s="26" t="str">
        <f t="shared" si="1"/>
        <v xml:space="preserve"> </v>
      </c>
    </row>
    <row r="102" spans="13:13" x14ac:dyDescent="0.3">
      <c r="M102" s="26" t="str">
        <f t="shared" si="1"/>
        <v xml:space="preserve"> </v>
      </c>
    </row>
    <row r="103" spans="13:13" x14ac:dyDescent="0.3">
      <c r="M103" s="26" t="str">
        <f t="shared" si="1"/>
        <v xml:space="preserve"> </v>
      </c>
    </row>
    <row r="104" spans="13:13" x14ac:dyDescent="0.3">
      <c r="M104" s="26" t="str">
        <f t="shared" si="1"/>
        <v xml:space="preserve"> </v>
      </c>
    </row>
    <row r="105" spans="13:13" x14ac:dyDescent="0.3">
      <c r="M105" s="26" t="str">
        <f t="shared" si="1"/>
        <v xml:space="preserve"> </v>
      </c>
    </row>
    <row r="106" spans="13:13" x14ac:dyDescent="0.3">
      <c r="M106" s="26" t="str">
        <f t="shared" si="1"/>
        <v xml:space="preserve"> </v>
      </c>
    </row>
    <row r="107" spans="13:13" x14ac:dyDescent="0.3">
      <c r="M107" s="26" t="str">
        <f t="shared" si="1"/>
        <v xml:space="preserve"> </v>
      </c>
    </row>
    <row r="108" spans="13:13" x14ac:dyDescent="0.3">
      <c r="M108" s="26" t="str">
        <f t="shared" si="1"/>
        <v xml:space="preserve"> </v>
      </c>
    </row>
    <row r="109" spans="13:13" x14ac:dyDescent="0.3">
      <c r="M109" s="26" t="str">
        <f t="shared" si="1"/>
        <v xml:space="preserve"> </v>
      </c>
    </row>
    <row r="110" spans="13:13" x14ac:dyDescent="0.3">
      <c r="M110" s="26" t="str">
        <f t="shared" si="1"/>
        <v xml:space="preserve"> </v>
      </c>
    </row>
    <row r="111" spans="13:13" x14ac:dyDescent="0.3">
      <c r="M111" s="26" t="str">
        <f t="shared" si="1"/>
        <v xml:space="preserve"> </v>
      </c>
    </row>
    <row r="112" spans="13:13" x14ac:dyDescent="0.3">
      <c r="M112" s="26" t="str">
        <f t="shared" si="1"/>
        <v xml:space="preserve"> </v>
      </c>
    </row>
    <row r="113" spans="13:13" x14ac:dyDescent="0.3">
      <c r="M113" s="26" t="str">
        <f t="shared" si="1"/>
        <v xml:space="preserve"> </v>
      </c>
    </row>
    <row r="114" spans="13:13" x14ac:dyDescent="0.3">
      <c r="M114" s="26" t="str">
        <f t="shared" si="1"/>
        <v xml:space="preserve"> </v>
      </c>
    </row>
    <row r="115" spans="13:13" x14ac:dyDescent="0.3">
      <c r="M115" s="26" t="str">
        <f t="shared" si="1"/>
        <v xml:space="preserve"> </v>
      </c>
    </row>
    <row r="116" spans="13:13" x14ac:dyDescent="0.3">
      <c r="M116" s="26" t="str">
        <f t="shared" si="1"/>
        <v xml:space="preserve"> </v>
      </c>
    </row>
    <row r="117" spans="13:13" x14ac:dyDescent="0.3">
      <c r="M117" s="26" t="str">
        <f t="shared" si="1"/>
        <v xml:space="preserve"> </v>
      </c>
    </row>
    <row r="118" spans="13:13" x14ac:dyDescent="0.3">
      <c r="M118" s="26" t="str">
        <f t="shared" si="1"/>
        <v xml:space="preserve"> </v>
      </c>
    </row>
    <row r="119" spans="13:13" x14ac:dyDescent="0.3">
      <c r="M119" s="26" t="str">
        <f t="shared" si="1"/>
        <v xml:space="preserve"> </v>
      </c>
    </row>
    <row r="120" spans="13:13" x14ac:dyDescent="0.3">
      <c r="M120" s="26" t="str">
        <f t="shared" si="1"/>
        <v xml:space="preserve"> </v>
      </c>
    </row>
    <row r="121" spans="13:13" x14ac:dyDescent="0.3">
      <c r="M121" s="26" t="str">
        <f t="shared" si="1"/>
        <v xml:space="preserve"> </v>
      </c>
    </row>
    <row r="122" spans="13:13" x14ac:dyDescent="0.3">
      <c r="M122" s="26" t="str">
        <f t="shared" si="1"/>
        <v xml:space="preserve"> </v>
      </c>
    </row>
    <row r="123" spans="13:13" x14ac:dyDescent="0.3">
      <c r="M123" s="26" t="str">
        <f t="shared" si="1"/>
        <v xml:space="preserve"> </v>
      </c>
    </row>
    <row r="124" spans="13:13" x14ac:dyDescent="0.3">
      <c r="M124" s="26" t="str">
        <f t="shared" si="1"/>
        <v xml:space="preserve"> </v>
      </c>
    </row>
    <row r="125" spans="13:13" x14ac:dyDescent="0.3">
      <c r="M125" s="26" t="str">
        <f t="shared" si="1"/>
        <v xml:space="preserve"> </v>
      </c>
    </row>
    <row r="126" spans="13:13" x14ac:dyDescent="0.3">
      <c r="M126" s="26" t="str">
        <f t="shared" si="1"/>
        <v xml:space="preserve"> </v>
      </c>
    </row>
    <row r="127" spans="13:13" x14ac:dyDescent="0.3">
      <c r="M127" s="26" t="str">
        <f t="shared" si="1"/>
        <v xml:space="preserve"> </v>
      </c>
    </row>
    <row r="128" spans="13:13" x14ac:dyDescent="0.3">
      <c r="M128" s="26" t="str">
        <f t="shared" si="1"/>
        <v xml:space="preserve"> </v>
      </c>
    </row>
    <row r="129" spans="13:13" x14ac:dyDescent="0.3">
      <c r="M129" s="26" t="str">
        <f t="shared" si="1"/>
        <v xml:space="preserve"> </v>
      </c>
    </row>
    <row r="130" spans="13:13" x14ac:dyDescent="0.3">
      <c r="M130" s="26" t="str">
        <f t="shared" ref="M130:M193" si="2">_xlfn.CONCAT(L130," ",F130)</f>
        <v xml:space="preserve"> </v>
      </c>
    </row>
    <row r="131" spans="13:13" x14ac:dyDescent="0.3">
      <c r="M131" s="26" t="str">
        <f t="shared" si="2"/>
        <v xml:space="preserve"> </v>
      </c>
    </row>
    <row r="132" spans="13:13" x14ac:dyDescent="0.3">
      <c r="M132" s="26" t="str">
        <f t="shared" si="2"/>
        <v xml:space="preserve"> </v>
      </c>
    </row>
    <row r="133" spans="13:13" x14ac:dyDescent="0.3">
      <c r="M133" s="26" t="str">
        <f t="shared" si="2"/>
        <v xml:space="preserve"> </v>
      </c>
    </row>
    <row r="134" spans="13:13" x14ac:dyDescent="0.3">
      <c r="M134" s="26" t="str">
        <f t="shared" si="2"/>
        <v xml:space="preserve"> </v>
      </c>
    </row>
    <row r="135" spans="13:13" x14ac:dyDescent="0.3">
      <c r="M135" s="26" t="str">
        <f t="shared" si="2"/>
        <v xml:space="preserve"> </v>
      </c>
    </row>
    <row r="136" spans="13:13" x14ac:dyDescent="0.3">
      <c r="M136" s="26" t="str">
        <f t="shared" si="2"/>
        <v xml:space="preserve"> </v>
      </c>
    </row>
    <row r="137" spans="13:13" x14ac:dyDescent="0.3">
      <c r="M137" s="26" t="str">
        <f t="shared" si="2"/>
        <v xml:space="preserve"> </v>
      </c>
    </row>
    <row r="138" spans="13:13" x14ac:dyDescent="0.3">
      <c r="M138" s="26" t="str">
        <f t="shared" si="2"/>
        <v xml:space="preserve"> </v>
      </c>
    </row>
    <row r="139" spans="13:13" x14ac:dyDescent="0.3">
      <c r="M139" s="26" t="str">
        <f t="shared" si="2"/>
        <v xml:space="preserve"> </v>
      </c>
    </row>
    <row r="140" spans="13:13" x14ac:dyDescent="0.3">
      <c r="M140" s="26" t="str">
        <f t="shared" si="2"/>
        <v xml:space="preserve"> </v>
      </c>
    </row>
    <row r="141" spans="13:13" x14ac:dyDescent="0.3">
      <c r="M141" s="26" t="str">
        <f t="shared" si="2"/>
        <v xml:space="preserve"> </v>
      </c>
    </row>
    <row r="142" spans="13:13" x14ac:dyDescent="0.3">
      <c r="M142" s="26" t="str">
        <f t="shared" si="2"/>
        <v xml:space="preserve"> </v>
      </c>
    </row>
    <row r="143" spans="13:13" x14ac:dyDescent="0.3">
      <c r="M143" s="26" t="str">
        <f t="shared" si="2"/>
        <v xml:space="preserve"> </v>
      </c>
    </row>
    <row r="144" spans="13:13" x14ac:dyDescent="0.3">
      <c r="M144" s="26" t="str">
        <f t="shared" si="2"/>
        <v xml:space="preserve"> </v>
      </c>
    </row>
    <row r="145" spans="13:13" x14ac:dyDescent="0.3">
      <c r="M145" s="26" t="str">
        <f t="shared" si="2"/>
        <v xml:space="preserve"> </v>
      </c>
    </row>
    <row r="146" spans="13:13" x14ac:dyDescent="0.3">
      <c r="M146" s="26" t="str">
        <f t="shared" si="2"/>
        <v xml:space="preserve"> </v>
      </c>
    </row>
    <row r="147" spans="13:13" x14ac:dyDescent="0.3">
      <c r="M147" s="26" t="str">
        <f t="shared" si="2"/>
        <v xml:space="preserve"> </v>
      </c>
    </row>
    <row r="148" spans="13:13" x14ac:dyDescent="0.3">
      <c r="M148" s="26" t="str">
        <f t="shared" si="2"/>
        <v xml:space="preserve"> </v>
      </c>
    </row>
    <row r="149" spans="13:13" x14ac:dyDescent="0.3">
      <c r="M149" s="26" t="str">
        <f t="shared" si="2"/>
        <v xml:space="preserve"> </v>
      </c>
    </row>
    <row r="150" spans="13:13" x14ac:dyDescent="0.3">
      <c r="M150" s="26" t="str">
        <f t="shared" si="2"/>
        <v xml:space="preserve"> </v>
      </c>
    </row>
    <row r="151" spans="13:13" x14ac:dyDescent="0.3">
      <c r="M151" s="26" t="str">
        <f t="shared" si="2"/>
        <v xml:space="preserve"> </v>
      </c>
    </row>
    <row r="152" spans="13:13" x14ac:dyDescent="0.3">
      <c r="M152" s="26" t="str">
        <f t="shared" si="2"/>
        <v xml:space="preserve"> </v>
      </c>
    </row>
    <row r="153" spans="13:13" x14ac:dyDescent="0.3">
      <c r="M153" s="26" t="str">
        <f t="shared" si="2"/>
        <v xml:space="preserve"> </v>
      </c>
    </row>
    <row r="154" spans="13:13" x14ac:dyDescent="0.3">
      <c r="M154" s="26" t="str">
        <f t="shared" si="2"/>
        <v xml:space="preserve"> </v>
      </c>
    </row>
    <row r="155" spans="13:13" x14ac:dyDescent="0.3">
      <c r="M155" s="26" t="str">
        <f t="shared" si="2"/>
        <v xml:space="preserve"> </v>
      </c>
    </row>
    <row r="156" spans="13:13" x14ac:dyDescent="0.3">
      <c r="M156" s="26" t="str">
        <f t="shared" si="2"/>
        <v xml:space="preserve"> </v>
      </c>
    </row>
    <row r="157" spans="13:13" x14ac:dyDescent="0.3">
      <c r="M157" s="26" t="str">
        <f t="shared" si="2"/>
        <v xml:space="preserve"> </v>
      </c>
    </row>
    <row r="158" spans="13:13" x14ac:dyDescent="0.3">
      <c r="M158" s="26" t="str">
        <f t="shared" si="2"/>
        <v xml:space="preserve"> </v>
      </c>
    </row>
    <row r="159" spans="13:13" x14ac:dyDescent="0.3">
      <c r="M159" s="26" t="str">
        <f t="shared" si="2"/>
        <v xml:space="preserve"> </v>
      </c>
    </row>
    <row r="160" spans="13:13" x14ac:dyDescent="0.3">
      <c r="M160" s="26" t="str">
        <f t="shared" si="2"/>
        <v xml:space="preserve"> </v>
      </c>
    </row>
    <row r="161" spans="13:13" x14ac:dyDescent="0.3">
      <c r="M161" s="26" t="str">
        <f t="shared" si="2"/>
        <v xml:space="preserve"> </v>
      </c>
    </row>
    <row r="162" spans="13:13" x14ac:dyDescent="0.3">
      <c r="M162" s="26" t="str">
        <f t="shared" si="2"/>
        <v xml:space="preserve"> </v>
      </c>
    </row>
    <row r="163" spans="13:13" x14ac:dyDescent="0.3">
      <c r="M163" s="26" t="str">
        <f t="shared" si="2"/>
        <v xml:space="preserve"> </v>
      </c>
    </row>
    <row r="164" spans="13:13" x14ac:dyDescent="0.3">
      <c r="M164" s="26" t="str">
        <f t="shared" si="2"/>
        <v xml:space="preserve"> </v>
      </c>
    </row>
    <row r="165" spans="13:13" x14ac:dyDescent="0.3">
      <c r="M165" s="26" t="str">
        <f t="shared" si="2"/>
        <v xml:space="preserve"> </v>
      </c>
    </row>
    <row r="166" spans="13:13" x14ac:dyDescent="0.3">
      <c r="M166" s="26" t="str">
        <f t="shared" si="2"/>
        <v xml:space="preserve"> </v>
      </c>
    </row>
    <row r="167" spans="13:13" x14ac:dyDescent="0.3">
      <c r="M167" s="26" t="str">
        <f t="shared" si="2"/>
        <v xml:space="preserve"> </v>
      </c>
    </row>
    <row r="168" spans="13:13" x14ac:dyDescent="0.3">
      <c r="M168" s="26" t="str">
        <f t="shared" si="2"/>
        <v xml:space="preserve"> </v>
      </c>
    </row>
    <row r="169" spans="13:13" x14ac:dyDescent="0.3">
      <c r="M169" s="26" t="str">
        <f t="shared" si="2"/>
        <v xml:space="preserve"> </v>
      </c>
    </row>
    <row r="170" spans="13:13" x14ac:dyDescent="0.3">
      <c r="M170" s="26" t="str">
        <f t="shared" si="2"/>
        <v xml:space="preserve"> </v>
      </c>
    </row>
    <row r="171" spans="13:13" x14ac:dyDescent="0.3">
      <c r="M171" s="26" t="str">
        <f t="shared" si="2"/>
        <v xml:space="preserve"> </v>
      </c>
    </row>
    <row r="172" spans="13:13" x14ac:dyDescent="0.3">
      <c r="M172" s="26" t="str">
        <f t="shared" si="2"/>
        <v xml:space="preserve"> </v>
      </c>
    </row>
    <row r="173" spans="13:13" x14ac:dyDescent="0.3">
      <c r="M173" s="26" t="str">
        <f t="shared" si="2"/>
        <v xml:space="preserve"> </v>
      </c>
    </row>
    <row r="174" spans="13:13" x14ac:dyDescent="0.3">
      <c r="M174" s="26" t="str">
        <f t="shared" si="2"/>
        <v xml:space="preserve"> </v>
      </c>
    </row>
    <row r="175" spans="13:13" x14ac:dyDescent="0.3">
      <c r="M175" s="26" t="str">
        <f t="shared" si="2"/>
        <v xml:space="preserve"> </v>
      </c>
    </row>
    <row r="176" spans="13:13" x14ac:dyDescent="0.3">
      <c r="M176" s="26" t="str">
        <f t="shared" si="2"/>
        <v xml:space="preserve"> </v>
      </c>
    </row>
    <row r="177" spans="13:13" x14ac:dyDescent="0.3">
      <c r="M177" s="26" t="str">
        <f t="shared" si="2"/>
        <v xml:space="preserve"> </v>
      </c>
    </row>
    <row r="178" spans="13:13" x14ac:dyDescent="0.3">
      <c r="M178" s="26" t="str">
        <f t="shared" si="2"/>
        <v xml:space="preserve"> </v>
      </c>
    </row>
    <row r="179" spans="13:13" x14ac:dyDescent="0.3">
      <c r="M179" s="26" t="str">
        <f t="shared" si="2"/>
        <v xml:space="preserve"> </v>
      </c>
    </row>
    <row r="180" spans="13:13" x14ac:dyDescent="0.3">
      <c r="M180" s="26" t="str">
        <f t="shared" si="2"/>
        <v xml:space="preserve"> </v>
      </c>
    </row>
    <row r="181" spans="13:13" x14ac:dyDescent="0.3">
      <c r="M181" s="26" t="str">
        <f t="shared" si="2"/>
        <v xml:space="preserve"> </v>
      </c>
    </row>
    <row r="182" spans="13:13" x14ac:dyDescent="0.3">
      <c r="M182" s="26" t="str">
        <f t="shared" si="2"/>
        <v xml:space="preserve"> </v>
      </c>
    </row>
    <row r="183" spans="13:13" x14ac:dyDescent="0.3">
      <c r="M183" s="26" t="str">
        <f t="shared" si="2"/>
        <v xml:space="preserve"> </v>
      </c>
    </row>
    <row r="184" spans="13:13" x14ac:dyDescent="0.3">
      <c r="M184" s="26" t="str">
        <f t="shared" si="2"/>
        <v xml:space="preserve"> </v>
      </c>
    </row>
    <row r="185" spans="13:13" x14ac:dyDescent="0.3">
      <c r="M185" s="26" t="str">
        <f t="shared" si="2"/>
        <v xml:space="preserve"> </v>
      </c>
    </row>
    <row r="186" spans="13:13" x14ac:dyDescent="0.3">
      <c r="M186" s="26" t="str">
        <f t="shared" si="2"/>
        <v xml:space="preserve"> </v>
      </c>
    </row>
    <row r="187" spans="13:13" x14ac:dyDescent="0.3">
      <c r="M187" s="26" t="str">
        <f t="shared" si="2"/>
        <v xml:space="preserve"> </v>
      </c>
    </row>
    <row r="188" spans="13:13" x14ac:dyDescent="0.3">
      <c r="M188" s="26" t="str">
        <f t="shared" si="2"/>
        <v xml:space="preserve"> </v>
      </c>
    </row>
    <row r="189" spans="13:13" x14ac:dyDescent="0.3">
      <c r="M189" s="26" t="str">
        <f t="shared" si="2"/>
        <v xml:space="preserve"> </v>
      </c>
    </row>
    <row r="190" spans="13:13" x14ac:dyDescent="0.3">
      <c r="M190" s="26" t="str">
        <f t="shared" si="2"/>
        <v xml:space="preserve"> </v>
      </c>
    </row>
    <row r="191" spans="13:13" x14ac:dyDescent="0.3">
      <c r="M191" s="26" t="str">
        <f t="shared" si="2"/>
        <v xml:space="preserve"> </v>
      </c>
    </row>
    <row r="192" spans="13:13" x14ac:dyDescent="0.3">
      <c r="M192" s="26" t="str">
        <f t="shared" si="2"/>
        <v xml:space="preserve"> </v>
      </c>
    </row>
    <row r="193" spans="13:13" x14ac:dyDescent="0.3">
      <c r="M193" s="26" t="str">
        <f t="shared" si="2"/>
        <v xml:space="preserve"> </v>
      </c>
    </row>
    <row r="194" spans="13:13" x14ac:dyDescent="0.3">
      <c r="M194" s="26" t="str">
        <f t="shared" ref="M194:M257" si="3">_xlfn.CONCAT(L194," ",F194)</f>
        <v xml:space="preserve"> </v>
      </c>
    </row>
    <row r="195" spans="13:13" x14ac:dyDescent="0.3">
      <c r="M195" s="26" t="str">
        <f t="shared" si="3"/>
        <v xml:space="preserve"> </v>
      </c>
    </row>
    <row r="196" spans="13:13" x14ac:dyDescent="0.3">
      <c r="M196" s="26" t="str">
        <f t="shared" si="3"/>
        <v xml:space="preserve"> </v>
      </c>
    </row>
    <row r="197" spans="13:13" x14ac:dyDescent="0.3">
      <c r="M197" s="26" t="str">
        <f t="shared" si="3"/>
        <v xml:space="preserve"> </v>
      </c>
    </row>
    <row r="198" spans="13:13" x14ac:dyDescent="0.3">
      <c r="M198" s="26" t="str">
        <f t="shared" si="3"/>
        <v xml:space="preserve"> </v>
      </c>
    </row>
    <row r="199" spans="13:13" x14ac:dyDescent="0.3">
      <c r="M199" s="26" t="str">
        <f t="shared" si="3"/>
        <v xml:space="preserve"> </v>
      </c>
    </row>
    <row r="200" spans="13:13" x14ac:dyDescent="0.3">
      <c r="M200" s="26" t="str">
        <f t="shared" si="3"/>
        <v xml:space="preserve"> </v>
      </c>
    </row>
    <row r="201" spans="13:13" x14ac:dyDescent="0.3">
      <c r="M201" s="26" t="str">
        <f t="shared" si="3"/>
        <v xml:space="preserve"> </v>
      </c>
    </row>
    <row r="202" spans="13:13" x14ac:dyDescent="0.3">
      <c r="M202" s="26" t="str">
        <f t="shared" si="3"/>
        <v xml:space="preserve"> </v>
      </c>
    </row>
    <row r="203" spans="13:13" x14ac:dyDescent="0.3">
      <c r="M203" s="26" t="str">
        <f t="shared" si="3"/>
        <v xml:space="preserve"> </v>
      </c>
    </row>
    <row r="204" spans="13:13" x14ac:dyDescent="0.3">
      <c r="M204" s="26" t="str">
        <f t="shared" si="3"/>
        <v xml:space="preserve"> </v>
      </c>
    </row>
    <row r="205" spans="13:13" x14ac:dyDescent="0.3">
      <c r="M205" s="26" t="str">
        <f t="shared" si="3"/>
        <v xml:space="preserve"> </v>
      </c>
    </row>
    <row r="206" spans="13:13" x14ac:dyDescent="0.3">
      <c r="M206" s="26" t="str">
        <f t="shared" si="3"/>
        <v xml:space="preserve"> </v>
      </c>
    </row>
    <row r="207" spans="13:13" x14ac:dyDescent="0.3">
      <c r="M207" s="26" t="str">
        <f t="shared" si="3"/>
        <v xml:space="preserve"> </v>
      </c>
    </row>
    <row r="208" spans="13:13" x14ac:dyDescent="0.3">
      <c r="M208" s="26" t="str">
        <f t="shared" si="3"/>
        <v xml:space="preserve"> </v>
      </c>
    </row>
    <row r="209" spans="13:13" x14ac:dyDescent="0.3">
      <c r="M209" s="26" t="str">
        <f t="shared" si="3"/>
        <v xml:space="preserve"> </v>
      </c>
    </row>
    <row r="210" spans="13:13" x14ac:dyDescent="0.3">
      <c r="M210" s="26" t="str">
        <f t="shared" si="3"/>
        <v xml:space="preserve"> </v>
      </c>
    </row>
    <row r="211" spans="13:13" x14ac:dyDescent="0.3">
      <c r="M211" s="26" t="str">
        <f t="shared" si="3"/>
        <v xml:space="preserve"> </v>
      </c>
    </row>
    <row r="212" spans="13:13" x14ac:dyDescent="0.3">
      <c r="M212" s="26" t="str">
        <f t="shared" si="3"/>
        <v xml:space="preserve"> </v>
      </c>
    </row>
    <row r="213" spans="13:13" x14ac:dyDescent="0.3">
      <c r="M213" s="26" t="str">
        <f t="shared" si="3"/>
        <v xml:space="preserve"> </v>
      </c>
    </row>
    <row r="214" spans="13:13" x14ac:dyDescent="0.3">
      <c r="M214" s="26" t="str">
        <f t="shared" si="3"/>
        <v xml:space="preserve"> </v>
      </c>
    </row>
    <row r="215" spans="13:13" x14ac:dyDescent="0.3">
      <c r="M215" s="26" t="str">
        <f t="shared" si="3"/>
        <v xml:space="preserve"> </v>
      </c>
    </row>
    <row r="216" spans="13:13" x14ac:dyDescent="0.3">
      <c r="M216" s="26" t="str">
        <f t="shared" si="3"/>
        <v xml:space="preserve"> </v>
      </c>
    </row>
    <row r="217" spans="13:13" x14ac:dyDescent="0.3">
      <c r="M217" s="26" t="str">
        <f t="shared" si="3"/>
        <v xml:space="preserve"> </v>
      </c>
    </row>
    <row r="218" spans="13:13" x14ac:dyDescent="0.3">
      <c r="M218" s="26" t="str">
        <f t="shared" si="3"/>
        <v xml:space="preserve"> </v>
      </c>
    </row>
    <row r="219" spans="13:13" x14ac:dyDescent="0.3">
      <c r="M219" s="26" t="str">
        <f t="shared" si="3"/>
        <v xml:space="preserve"> </v>
      </c>
    </row>
    <row r="220" spans="13:13" x14ac:dyDescent="0.3">
      <c r="M220" s="26" t="str">
        <f t="shared" si="3"/>
        <v xml:space="preserve"> </v>
      </c>
    </row>
    <row r="221" spans="13:13" x14ac:dyDescent="0.3">
      <c r="M221" s="26" t="str">
        <f t="shared" si="3"/>
        <v xml:space="preserve"> </v>
      </c>
    </row>
    <row r="222" spans="13:13" x14ac:dyDescent="0.3">
      <c r="M222" s="26" t="str">
        <f t="shared" si="3"/>
        <v xml:space="preserve"> </v>
      </c>
    </row>
    <row r="223" spans="13:13" x14ac:dyDescent="0.3">
      <c r="M223" s="26" t="str">
        <f t="shared" si="3"/>
        <v xml:space="preserve"> </v>
      </c>
    </row>
    <row r="224" spans="13:13" x14ac:dyDescent="0.3">
      <c r="M224" s="26" t="str">
        <f t="shared" si="3"/>
        <v xml:space="preserve"> </v>
      </c>
    </row>
    <row r="225" spans="13:13" x14ac:dyDescent="0.3">
      <c r="M225" s="26" t="str">
        <f t="shared" si="3"/>
        <v xml:space="preserve"> </v>
      </c>
    </row>
    <row r="226" spans="13:13" x14ac:dyDescent="0.3">
      <c r="M226" s="26" t="str">
        <f t="shared" si="3"/>
        <v xml:space="preserve"> </v>
      </c>
    </row>
    <row r="227" spans="13:13" x14ac:dyDescent="0.3">
      <c r="M227" s="26" t="str">
        <f t="shared" si="3"/>
        <v xml:space="preserve"> </v>
      </c>
    </row>
    <row r="228" spans="13:13" x14ac:dyDescent="0.3">
      <c r="M228" s="26" t="str">
        <f t="shared" si="3"/>
        <v xml:space="preserve"> </v>
      </c>
    </row>
    <row r="229" spans="13:13" x14ac:dyDescent="0.3">
      <c r="M229" s="26" t="str">
        <f t="shared" si="3"/>
        <v xml:space="preserve"> </v>
      </c>
    </row>
    <row r="230" spans="13:13" x14ac:dyDescent="0.3">
      <c r="M230" s="26" t="str">
        <f t="shared" si="3"/>
        <v xml:space="preserve"> </v>
      </c>
    </row>
    <row r="231" spans="13:13" x14ac:dyDescent="0.3">
      <c r="M231" s="26" t="str">
        <f t="shared" si="3"/>
        <v xml:space="preserve"> </v>
      </c>
    </row>
    <row r="232" spans="13:13" x14ac:dyDescent="0.3">
      <c r="M232" s="26" t="str">
        <f t="shared" si="3"/>
        <v xml:space="preserve"> </v>
      </c>
    </row>
    <row r="233" spans="13:13" x14ac:dyDescent="0.3">
      <c r="M233" s="26" t="str">
        <f t="shared" si="3"/>
        <v xml:space="preserve"> </v>
      </c>
    </row>
    <row r="234" spans="13:13" x14ac:dyDescent="0.3">
      <c r="M234" s="26" t="str">
        <f t="shared" si="3"/>
        <v xml:space="preserve"> </v>
      </c>
    </row>
    <row r="235" spans="13:13" x14ac:dyDescent="0.3">
      <c r="M235" s="26" t="str">
        <f t="shared" si="3"/>
        <v xml:space="preserve"> </v>
      </c>
    </row>
    <row r="236" spans="13:13" x14ac:dyDescent="0.3">
      <c r="M236" s="26" t="str">
        <f t="shared" si="3"/>
        <v xml:space="preserve"> </v>
      </c>
    </row>
    <row r="237" spans="13:13" x14ac:dyDescent="0.3">
      <c r="M237" s="26" t="str">
        <f t="shared" si="3"/>
        <v xml:space="preserve"> </v>
      </c>
    </row>
    <row r="238" spans="13:13" x14ac:dyDescent="0.3">
      <c r="M238" s="26" t="str">
        <f t="shared" si="3"/>
        <v xml:space="preserve"> </v>
      </c>
    </row>
    <row r="239" spans="13:13" x14ac:dyDescent="0.3">
      <c r="M239" s="26" t="str">
        <f t="shared" si="3"/>
        <v xml:space="preserve"> </v>
      </c>
    </row>
    <row r="240" spans="13:13" x14ac:dyDescent="0.3">
      <c r="M240" s="26" t="str">
        <f t="shared" si="3"/>
        <v xml:space="preserve"> </v>
      </c>
    </row>
    <row r="241" spans="13:13" x14ac:dyDescent="0.3">
      <c r="M241" s="26" t="str">
        <f t="shared" si="3"/>
        <v xml:space="preserve"> </v>
      </c>
    </row>
    <row r="242" spans="13:13" x14ac:dyDescent="0.3">
      <c r="M242" s="26" t="str">
        <f t="shared" si="3"/>
        <v xml:space="preserve"> </v>
      </c>
    </row>
    <row r="243" spans="13:13" x14ac:dyDescent="0.3">
      <c r="M243" s="26" t="str">
        <f t="shared" si="3"/>
        <v xml:space="preserve"> </v>
      </c>
    </row>
    <row r="244" spans="13:13" x14ac:dyDescent="0.3">
      <c r="M244" s="26" t="str">
        <f t="shared" si="3"/>
        <v xml:space="preserve"> </v>
      </c>
    </row>
    <row r="245" spans="13:13" x14ac:dyDescent="0.3">
      <c r="M245" s="26" t="str">
        <f t="shared" si="3"/>
        <v xml:space="preserve"> </v>
      </c>
    </row>
    <row r="246" spans="13:13" x14ac:dyDescent="0.3">
      <c r="M246" s="26" t="str">
        <f t="shared" si="3"/>
        <v xml:space="preserve"> </v>
      </c>
    </row>
    <row r="247" spans="13:13" x14ac:dyDescent="0.3">
      <c r="M247" s="26" t="str">
        <f t="shared" si="3"/>
        <v xml:space="preserve"> </v>
      </c>
    </row>
    <row r="248" spans="13:13" x14ac:dyDescent="0.3">
      <c r="M248" s="26" t="str">
        <f t="shared" si="3"/>
        <v xml:space="preserve"> </v>
      </c>
    </row>
    <row r="249" spans="13:13" x14ac:dyDescent="0.3">
      <c r="M249" s="26" t="str">
        <f t="shared" si="3"/>
        <v xml:space="preserve"> </v>
      </c>
    </row>
    <row r="250" spans="13:13" x14ac:dyDescent="0.3">
      <c r="M250" s="26" t="str">
        <f t="shared" si="3"/>
        <v xml:space="preserve"> </v>
      </c>
    </row>
    <row r="251" spans="13:13" x14ac:dyDescent="0.3">
      <c r="M251" s="26" t="str">
        <f t="shared" si="3"/>
        <v xml:space="preserve"> </v>
      </c>
    </row>
    <row r="252" spans="13:13" x14ac:dyDescent="0.3">
      <c r="M252" s="26" t="str">
        <f t="shared" si="3"/>
        <v xml:space="preserve"> </v>
      </c>
    </row>
    <row r="253" spans="13:13" x14ac:dyDescent="0.3">
      <c r="M253" s="26" t="str">
        <f t="shared" si="3"/>
        <v xml:space="preserve"> </v>
      </c>
    </row>
    <row r="254" spans="13:13" x14ac:dyDescent="0.3">
      <c r="M254" s="26" t="str">
        <f t="shared" si="3"/>
        <v xml:space="preserve"> </v>
      </c>
    </row>
    <row r="255" spans="13:13" x14ac:dyDescent="0.3">
      <c r="M255" s="26" t="str">
        <f t="shared" si="3"/>
        <v xml:space="preserve"> </v>
      </c>
    </row>
    <row r="256" spans="13:13" x14ac:dyDescent="0.3">
      <c r="M256" s="26" t="str">
        <f t="shared" si="3"/>
        <v xml:space="preserve"> </v>
      </c>
    </row>
    <row r="257" spans="13:13" x14ac:dyDescent="0.3">
      <c r="M257" s="26" t="str">
        <f t="shared" si="3"/>
        <v xml:space="preserve"> </v>
      </c>
    </row>
    <row r="258" spans="13:13" x14ac:dyDescent="0.3">
      <c r="M258" s="26" t="str">
        <f t="shared" ref="M258:M321" si="4">_xlfn.CONCAT(L258," ",F258)</f>
        <v xml:space="preserve"> </v>
      </c>
    </row>
    <row r="259" spans="13:13" x14ac:dyDescent="0.3">
      <c r="M259" s="26" t="str">
        <f t="shared" si="4"/>
        <v xml:space="preserve"> </v>
      </c>
    </row>
    <row r="260" spans="13:13" x14ac:dyDescent="0.3">
      <c r="M260" s="26" t="str">
        <f t="shared" si="4"/>
        <v xml:space="preserve"> </v>
      </c>
    </row>
    <row r="261" spans="13:13" x14ac:dyDescent="0.3">
      <c r="M261" s="26" t="str">
        <f t="shared" si="4"/>
        <v xml:space="preserve"> </v>
      </c>
    </row>
    <row r="262" spans="13:13" x14ac:dyDescent="0.3">
      <c r="M262" s="26" t="str">
        <f t="shared" si="4"/>
        <v xml:space="preserve"> </v>
      </c>
    </row>
    <row r="263" spans="13:13" x14ac:dyDescent="0.3">
      <c r="M263" s="26" t="str">
        <f t="shared" si="4"/>
        <v xml:space="preserve"> </v>
      </c>
    </row>
    <row r="264" spans="13:13" x14ac:dyDescent="0.3">
      <c r="M264" s="26" t="str">
        <f t="shared" si="4"/>
        <v xml:space="preserve"> </v>
      </c>
    </row>
    <row r="265" spans="13:13" x14ac:dyDescent="0.3">
      <c r="M265" s="26" t="str">
        <f t="shared" si="4"/>
        <v xml:space="preserve"> </v>
      </c>
    </row>
    <row r="266" spans="13:13" x14ac:dyDescent="0.3">
      <c r="M266" s="26" t="str">
        <f t="shared" si="4"/>
        <v xml:space="preserve"> </v>
      </c>
    </row>
    <row r="267" spans="13:13" x14ac:dyDescent="0.3">
      <c r="M267" s="26" t="str">
        <f t="shared" si="4"/>
        <v xml:space="preserve"> </v>
      </c>
    </row>
    <row r="268" spans="13:13" x14ac:dyDescent="0.3">
      <c r="M268" s="26" t="str">
        <f t="shared" si="4"/>
        <v xml:space="preserve"> </v>
      </c>
    </row>
    <row r="269" spans="13:13" x14ac:dyDescent="0.3">
      <c r="M269" s="26" t="str">
        <f t="shared" si="4"/>
        <v xml:space="preserve"> </v>
      </c>
    </row>
    <row r="270" spans="13:13" x14ac:dyDescent="0.3">
      <c r="M270" s="26" t="str">
        <f t="shared" si="4"/>
        <v xml:space="preserve"> </v>
      </c>
    </row>
    <row r="271" spans="13:13" x14ac:dyDescent="0.3">
      <c r="M271" s="26" t="str">
        <f t="shared" si="4"/>
        <v xml:space="preserve"> </v>
      </c>
    </row>
    <row r="272" spans="13:13" x14ac:dyDescent="0.3">
      <c r="M272" s="26" t="str">
        <f t="shared" si="4"/>
        <v xml:space="preserve"> </v>
      </c>
    </row>
    <row r="273" spans="13:13" x14ac:dyDescent="0.3">
      <c r="M273" s="26" t="str">
        <f t="shared" si="4"/>
        <v xml:space="preserve"> </v>
      </c>
    </row>
    <row r="274" spans="13:13" x14ac:dyDescent="0.3">
      <c r="M274" s="26" t="str">
        <f t="shared" si="4"/>
        <v xml:space="preserve"> </v>
      </c>
    </row>
    <row r="275" spans="13:13" x14ac:dyDescent="0.3">
      <c r="M275" s="26" t="str">
        <f t="shared" si="4"/>
        <v xml:space="preserve"> </v>
      </c>
    </row>
    <row r="276" spans="13:13" x14ac:dyDescent="0.3">
      <c r="M276" s="26" t="str">
        <f t="shared" si="4"/>
        <v xml:space="preserve"> </v>
      </c>
    </row>
    <row r="277" spans="13:13" x14ac:dyDescent="0.3">
      <c r="M277" s="26" t="str">
        <f t="shared" si="4"/>
        <v xml:space="preserve"> </v>
      </c>
    </row>
    <row r="278" spans="13:13" x14ac:dyDescent="0.3">
      <c r="M278" s="26" t="str">
        <f t="shared" si="4"/>
        <v xml:space="preserve"> </v>
      </c>
    </row>
    <row r="279" spans="13:13" x14ac:dyDescent="0.3">
      <c r="M279" s="26" t="str">
        <f t="shared" si="4"/>
        <v xml:space="preserve"> </v>
      </c>
    </row>
    <row r="280" spans="13:13" x14ac:dyDescent="0.3">
      <c r="M280" s="26" t="str">
        <f t="shared" si="4"/>
        <v xml:space="preserve"> </v>
      </c>
    </row>
    <row r="281" spans="13:13" x14ac:dyDescent="0.3">
      <c r="M281" s="26" t="str">
        <f t="shared" si="4"/>
        <v xml:space="preserve"> </v>
      </c>
    </row>
    <row r="282" spans="13:13" x14ac:dyDescent="0.3">
      <c r="M282" s="26" t="str">
        <f t="shared" si="4"/>
        <v xml:space="preserve"> </v>
      </c>
    </row>
    <row r="283" spans="13:13" x14ac:dyDescent="0.3">
      <c r="M283" s="26" t="str">
        <f t="shared" si="4"/>
        <v xml:space="preserve"> </v>
      </c>
    </row>
    <row r="284" spans="13:13" x14ac:dyDescent="0.3">
      <c r="M284" s="26" t="str">
        <f t="shared" si="4"/>
        <v xml:space="preserve"> </v>
      </c>
    </row>
    <row r="285" spans="13:13" x14ac:dyDescent="0.3">
      <c r="M285" s="26" t="str">
        <f t="shared" si="4"/>
        <v xml:space="preserve"> </v>
      </c>
    </row>
    <row r="286" spans="13:13" x14ac:dyDescent="0.3">
      <c r="M286" s="26" t="str">
        <f t="shared" si="4"/>
        <v xml:space="preserve"> </v>
      </c>
    </row>
    <row r="287" spans="13:13" x14ac:dyDescent="0.3">
      <c r="M287" s="26" t="str">
        <f t="shared" si="4"/>
        <v xml:space="preserve"> </v>
      </c>
    </row>
    <row r="288" spans="13:13" x14ac:dyDescent="0.3">
      <c r="M288" s="26" t="str">
        <f t="shared" si="4"/>
        <v xml:space="preserve"> </v>
      </c>
    </row>
    <row r="289" spans="13:13" x14ac:dyDescent="0.3">
      <c r="M289" s="26" t="str">
        <f t="shared" si="4"/>
        <v xml:space="preserve"> </v>
      </c>
    </row>
    <row r="290" spans="13:13" x14ac:dyDescent="0.3">
      <c r="M290" s="26" t="str">
        <f t="shared" si="4"/>
        <v xml:space="preserve"> </v>
      </c>
    </row>
    <row r="291" spans="13:13" x14ac:dyDescent="0.3">
      <c r="M291" s="26" t="str">
        <f t="shared" si="4"/>
        <v xml:space="preserve"> </v>
      </c>
    </row>
    <row r="292" spans="13:13" x14ac:dyDescent="0.3">
      <c r="M292" s="26" t="str">
        <f t="shared" si="4"/>
        <v xml:space="preserve"> </v>
      </c>
    </row>
    <row r="293" spans="13:13" x14ac:dyDescent="0.3">
      <c r="M293" s="26" t="str">
        <f t="shared" si="4"/>
        <v xml:space="preserve"> </v>
      </c>
    </row>
    <row r="294" spans="13:13" x14ac:dyDescent="0.3">
      <c r="M294" s="26" t="str">
        <f t="shared" si="4"/>
        <v xml:space="preserve"> </v>
      </c>
    </row>
    <row r="295" spans="13:13" x14ac:dyDescent="0.3">
      <c r="M295" s="26" t="str">
        <f t="shared" si="4"/>
        <v xml:space="preserve"> </v>
      </c>
    </row>
    <row r="296" spans="13:13" x14ac:dyDescent="0.3">
      <c r="M296" s="26" t="str">
        <f t="shared" si="4"/>
        <v xml:space="preserve"> </v>
      </c>
    </row>
    <row r="297" spans="13:13" x14ac:dyDescent="0.3">
      <c r="M297" s="26" t="str">
        <f t="shared" si="4"/>
        <v xml:space="preserve"> </v>
      </c>
    </row>
    <row r="298" spans="13:13" x14ac:dyDescent="0.3">
      <c r="M298" s="26" t="str">
        <f t="shared" si="4"/>
        <v xml:space="preserve"> </v>
      </c>
    </row>
    <row r="299" spans="13:13" x14ac:dyDescent="0.3">
      <c r="M299" s="26" t="str">
        <f t="shared" si="4"/>
        <v xml:space="preserve"> </v>
      </c>
    </row>
    <row r="300" spans="13:13" x14ac:dyDescent="0.3">
      <c r="M300" s="26" t="str">
        <f t="shared" si="4"/>
        <v xml:space="preserve"> </v>
      </c>
    </row>
    <row r="301" spans="13:13" x14ac:dyDescent="0.3">
      <c r="M301" s="26" t="str">
        <f t="shared" si="4"/>
        <v xml:space="preserve"> </v>
      </c>
    </row>
    <row r="302" spans="13:13" x14ac:dyDescent="0.3">
      <c r="M302" s="26" t="str">
        <f t="shared" si="4"/>
        <v xml:space="preserve"> </v>
      </c>
    </row>
    <row r="303" spans="13:13" x14ac:dyDescent="0.3">
      <c r="M303" s="26" t="str">
        <f t="shared" si="4"/>
        <v xml:space="preserve"> </v>
      </c>
    </row>
    <row r="304" spans="13:13" x14ac:dyDescent="0.3">
      <c r="M304" s="26" t="str">
        <f t="shared" si="4"/>
        <v xml:space="preserve"> </v>
      </c>
    </row>
    <row r="305" spans="13:13" x14ac:dyDescent="0.3">
      <c r="M305" s="26" t="str">
        <f t="shared" si="4"/>
        <v xml:space="preserve"> </v>
      </c>
    </row>
    <row r="306" spans="13:13" x14ac:dyDescent="0.3">
      <c r="M306" s="26" t="str">
        <f t="shared" si="4"/>
        <v xml:space="preserve"> </v>
      </c>
    </row>
    <row r="307" spans="13:13" x14ac:dyDescent="0.3">
      <c r="M307" s="26" t="str">
        <f t="shared" si="4"/>
        <v xml:space="preserve"> </v>
      </c>
    </row>
    <row r="308" spans="13:13" x14ac:dyDescent="0.3">
      <c r="M308" s="26" t="str">
        <f t="shared" si="4"/>
        <v xml:space="preserve"> </v>
      </c>
    </row>
    <row r="309" spans="13:13" x14ac:dyDescent="0.3">
      <c r="M309" s="26" t="str">
        <f t="shared" si="4"/>
        <v xml:space="preserve"> </v>
      </c>
    </row>
    <row r="310" spans="13:13" x14ac:dyDescent="0.3">
      <c r="M310" s="26" t="str">
        <f t="shared" si="4"/>
        <v xml:space="preserve"> </v>
      </c>
    </row>
    <row r="311" spans="13:13" x14ac:dyDescent="0.3">
      <c r="M311" s="26" t="str">
        <f t="shared" si="4"/>
        <v xml:space="preserve"> </v>
      </c>
    </row>
    <row r="312" spans="13:13" x14ac:dyDescent="0.3">
      <c r="M312" s="26" t="str">
        <f t="shared" si="4"/>
        <v xml:space="preserve"> </v>
      </c>
    </row>
    <row r="313" spans="13:13" x14ac:dyDescent="0.3">
      <c r="M313" s="26" t="str">
        <f t="shared" si="4"/>
        <v xml:space="preserve"> </v>
      </c>
    </row>
    <row r="314" spans="13:13" x14ac:dyDescent="0.3">
      <c r="M314" s="26" t="str">
        <f t="shared" si="4"/>
        <v xml:space="preserve"> </v>
      </c>
    </row>
    <row r="315" spans="13:13" x14ac:dyDescent="0.3">
      <c r="M315" s="26" t="str">
        <f t="shared" si="4"/>
        <v xml:space="preserve"> </v>
      </c>
    </row>
    <row r="316" spans="13:13" x14ac:dyDescent="0.3">
      <c r="M316" s="26" t="str">
        <f t="shared" si="4"/>
        <v xml:space="preserve"> </v>
      </c>
    </row>
    <row r="317" spans="13:13" x14ac:dyDescent="0.3">
      <c r="M317" s="26" t="str">
        <f t="shared" si="4"/>
        <v xml:space="preserve"> </v>
      </c>
    </row>
    <row r="318" spans="13:13" x14ac:dyDescent="0.3">
      <c r="M318" s="26" t="str">
        <f t="shared" si="4"/>
        <v xml:space="preserve"> </v>
      </c>
    </row>
    <row r="319" spans="13:13" x14ac:dyDescent="0.3">
      <c r="M319" s="26" t="str">
        <f t="shared" si="4"/>
        <v xml:space="preserve"> </v>
      </c>
    </row>
    <row r="320" spans="13:13" x14ac:dyDescent="0.3">
      <c r="M320" s="26" t="str">
        <f t="shared" si="4"/>
        <v xml:space="preserve"> </v>
      </c>
    </row>
    <row r="321" spans="13:13" x14ac:dyDescent="0.3">
      <c r="M321" s="26" t="str">
        <f t="shared" si="4"/>
        <v xml:space="preserve"> </v>
      </c>
    </row>
    <row r="322" spans="13:13" x14ac:dyDescent="0.3">
      <c r="M322" s="26" t="str">
        <f t="shared" ref="M322:M385" si="5">_xlfn.CONCAT(L322," ",F322)</f>
        <v xml:space="preserve"> </v>
      </c>
    </row>
    <row r="323" spans="13:13" x14ac:dyDescent="0.3">
      <c r="M323" s="26" t="str">
        <f t="shared" si="5"/>
        <v xml:space="preserve"> </v>
      </c>
    </row>
    <row r="324" spans="13:13" x14ac:dyDescent="0.3">
      <c r="M324" s="26" t="str">
        <f t="shared" si="5"/>
        <v xml:space="preserve"> </v>
      </c>
    </row>
    <row r="325" spans="13:13" x14ac:dyDescent="0.3">
      <c r="M325" s="26" t="str">
        <f t="shared" si="5"/>
        <v xml:space="preserve"> </v>
      </c>
    </row>
    <row r="326" spans="13:13" x14ac:dyDescent="0.3">
      <c r="M326" s="26" t="str">
        <f t="shared" si="5"/>
        <v xml:space="preserve"> </v>
      </c>
    </row>
    <row r="327" spans="13:13" x14ac:dyDescent="0.3">
      <c r="M327" s="26" t="str">
        <f t="shared" si="5"/>
        <v xml:space="preserve"> </v>
      </c>
    </row>
    <row r="328" spans="13:13" x14ac:dyDescent="0.3">
      <c r="M328" s="26" t="str">
        <f t="shared" si="5"/>
        <v xml:space="preserve"> </v>
      </c>
    </row>
    <row r="329" spans="13:13" x14ac:dyDescent="0.3">
      <c r="M329" s="26" t="str">
        <f t="shared" si="5"/>
        <v xml:space="preserve"> </v>
      </c>
    </row>
    <row r="330" spans="13:13" x14ac:dyDescent="0.3">
      <c r="M330" s="26" t="str">
        <f t="shared" si="5"/>
        <v xml:space="preserve"> </v>
      </c>
    </row>
    <row r="331" spans="13:13" x14ac:dyDescent="0.3">
      <c r="M331" s="26" t="str">
        <f t="shared" si="5"/>
        <v xml:space="preserve"> </v>
      </c>
    </row>
    <row r="332" spans="13:13" x14ac:dyDescent="0.3">
      <c r="M332" s="26" t="str">
        <f t="shared" si="5"/>
        <v xml:space="preserve"> </v>
      </c>
    </row>
    <row r="333" spans="13:13" x14ac:dyDescent="0.3">
      <c r="M333" s="26" t="str">
        <f t="shared" si="5"/>
        <v xml:space="preserve"> </v>
      </c>
    </row>
    <row r="334" spans="13:13" x14ac:dyDescent="0.3">
      <c r="M334" s="26" t="str">
        <f t="shared" si="5"/>
        <v xml:space="preserve"> </v>
      </c>
    </row>
    <row r="335" spans="13:13" x14ac:dyDescent="0.3">
      <c r="M335" s="26" t="str">
        <f t="shared" si="5"/>
        <v xml:space="preserve"> </v>
      </c>
    </row>
    <row r="336" spans="13:13" x14ac:dyDescent="0.3">
      <c r="M336" s="26" t="str">
        <f t="shared" si="5"/>
        <v xml:space="preserve"> </v>
      </c>
    </row>
    <row r="337" spans="13:13" x14ac:dyDescent="0.3">
      <c r="M337" s="26" t="str">
        <f t="shared" si="5"/>
        <v xml:space="preserve"> </v>
      </c>
    </row>
    <row r="338" spans="13:13" x14ac:dyDescent="0.3">
      <c r="M338" s="26" t="str">
        <f t="shared" si="5"/>
        <v xml:space="preserve"> </v>
      </c>
    </row>
    <row r="339" spans="13:13" x14ac:dyDescent="0.3">
      <c r="M339" s="26" t="str">
        <f t="shared" si="5"/>
        <v xml:space="preserve"> </v>
      </c>
    </row>
    <row r="340" spans="13:13" x14ac:dyDescent="0.3">
      <c r="M340" s="26" t="str">
        <f t="shared" si="5"/>
        <v xml:space="preserve"> </v>
      </c>
    </row>
    <row r="341" spans="13:13" x14ac:dyDescent="0.3">
      <c r="M341" s="26" t="str">
        <f t="shared" si="5"/>
        <v xml:space="preserve"> </v>
      </c>
    </row>
    <row r="342" spans="13:13" x14ac:dyDescent="0.3">
      <c r="M342" s="26" t="str">
        <f t="shared" si="5"/>
        <v xml:space="preserve"> </v>
      </c>
    </row>
    <row r="343" spans="13:13" x14ac:dyDescent="0.3">
      <c r="M343" s="26" t="str">
        <f t="shared" si="5"/>
        <v xml:space="preserve"> </v>
      </c>
    </row>
    <row r="344" spans="13:13" x14ac:dyDescent="0.3">
      <c r="M344" s="26" t="str">
        <f t="shared" si="5"/>
        <v xml:space="preserve"> </v>
      </c>
    </row>
    <row r="345" spans="13:13" x14ac:dyDescent="0.3">
      <c r="M345" s="26" t="str">
        <f t="shared" si="5"/>
        <v xml:space="preserve"> </v>
      </c>
    </row>
    <row r="346" spans="13:13" x14ac:dyDescent="0.3">
      <c r="M346" s="26" t="str">
        <f t="shared" si="5"/>
        <v xml:space="preserve"> </v>
      </c>
    </row>
    <row r="347" spans="13:13" x14ac:dyDescent="0.3">
      <c r="M347" s="26" t="str">
        <f t="shared" si="5"/>
        <v xml:space="preserve"> </v>
      </c>
    </row>
    <row r="348" spans="13:13" x14ac:dyDescent="0.3">
      <c r="M348" s="26" t="str">
        <f t="shared" si="5"/>
        <v xml:space="preserve"> </v>
      </c>
    </row>
    <row r="349" spans="13:13" x14ac:dyDescent="0.3">
      <c r="M349" s="26" t="str">
        <f t="shared" si="5"/>
        <v xml:space="preserve"> </v>
      </c>
    </row>
    <row r="350" spans="13:13" x14ac:dyDescent="0.3">
      <c r="M350" s="26" t="str">
        <f t="shared" si="5"/>
        <v xml:space="preserve"> </v>
      </c>
    </row>
    <row r="351" spans="13:13" x14ac:dyDescent="0.3">
      <c r="M351" s="26" t="str">
        <f t="shared" si="5"/>
        <v xml:space="preserve"> </v>
      </c>
    </row>
    <row r="352" spans="13:13" x14ac:dyDescent="0.3">
      <c r="M352" s="26" t="str">
        <f t="shared" si="5"/>
        <v xml:space="preserve"> </v>
      </c>
    </row>
    <row r="353" spans="13:13" x14ac:dyDescent="0.3">
      <c r="M353" s="26" t="str">
        <f t="shared" si="5"/>
        <v xml:space="preserve"> </v>
      </c>
    </row>
    <row r="354" spans="13:13" x14ac:dyDescent="0.3">
      <c r="M354" s="26" t="str">
        <f t="shared" si="5"/>
        <v xml:space="preserve"> </v>
      </c>
    </row>
    <row r="355" spans="13:13" x14ac:dyDescent="0.3">
      <c r="M355" s="26" t="str">
        <f t="shared" si="5"/>
        <v xml:space="preserve"> </v>
      </c>
    </row>
    <row r="356" spans="13:13" x14ac:dyDescent="0.3">
      <c r="M356" s="26" t="str">
        <f t="shared" si="5"/>
        <v xml:space="preserve"> </v>
      </c>
    </row>
    <row r="357" spans="13:13" x14ac:dyDescent="0.3">
      <c r="M357" s="26" t="str">
        <f t="shared" si="5"/>
        <v xml:space="preserve"> </v>
      </c>
    </row>
    <row r="358" spans="13:13" x14ac:dyDescent="0.3">
      <c r="M358" s="26" t="str">
        <f t="shared" si="5"/>
        <v xml:space="preserve"> </v>
      </c>
    </row>
    <row r="359" spans="13:13" x14ac:dyDescent="0.3">
      <c r="M359" s="26" t="str">
        <f t="shared" si="5"/>
        <v xml:space="preserve"> </v>
      </c>
    </row>
    <row r="360" spans="13:13" x14ac:dyDescent="0.3">
      <c r="M360" s="26" t="str">
        <f t="shared" si="5"/>
        <v xml:space="preserve"> </v>
      </c>
    </row>
    <row r="361" spans="13:13" x14ac:dyDescent="0.3">
      <c r="M361" s="26" t="str">
        <f t="shared" si="5"/>
        <v xml:space="preserve"> </v>
      </c>
    </row>
    <row r="362" spans="13:13" x14ac:dyDescent="0.3">
      <c r="M362" s="26" t="str">
        <f t="shared" si="5"/>
        <v xml:space="preserve"> </v>
      </c>
    </row>
    <row r="363" spans="13:13" x14ac:dyDescent="0.3">
      <c r="M363" s="26" t="str">
        <f t="shared" si="5"/>
        <v xml:space="preserve"> </v>
      </c>
    </row>
    <row r="364" spans="13:13" x14ac:dyDescent="0.3">
      <c r="M364" s="26" t="str">
        <f t="shared" si="5"/>
        <v xml:space="preserve"> </v>
      </c>
    </row>
    <row r="365" spans="13:13" x14ac:dyDescent="0.3">
      <c r="M365" s="26" t="str">
        <f t="shared" si="5"/>
        <v xml:space="preserve"> </v>
      </c>
    </row>
    <row r="366" spans="13:13" x14ac:dyDescent="0.3">
      <c r="M366" s="26" t="str">
        <f t="shared" si="5"/>
        <v xml:space="preserve"> </v>
      </c>
    </row>
    <row r="367" spans="13:13" x14ac:dyDescent="0.3">
      <c r="M367" s="26" t="str">
        <f t="shared" si="5"/>
        <v xml:space="preserve"> </v>
      </c>
    </row>
    <row r="368" spans="13:13" x14ac:dyDescent="0.3">
      <c r="M368" s="26" t="str">
        <f t="shared" si="5"/>
        <v xml:space="preserve"> </v>
      </c>
    </row>
    <row r="369" spans="13:13" x14ac:dyDescent="0.3">
      <c r="M369" s="26" t="str">
        <f t="shared" si="5"/>
        <v xml:space="preserve"> </v>
      </c>
    </row>
    <row r="370" spans="13:13" x14ac:dyDescent="0.3">
      <c r="M370" s="26" t="str">
        <f t="shared" si="5"/>
        <v xml:space="preserve"> </v>
      </c>
    </row>
    <row r="371" spans="13:13" x14ac:dyDescent="0.3">
      <c r="M371" s="26" t="str">
        <f t="shared" si="5"/>
        <v xml:space="preserve"> </v>
      </c>
    </row>
    <row r="372" spans="13:13" x14ac:dyDescent="0.3">
      <c r="M372" s="26" t="str">
        <f t="shared" si="5"/>
        <v xml:space="preserve"> </v>
      </c>
    </row>
    <row r="373" spans="13:13" x14ac:dyDescent="0.3">
      <c r="M373" s="26" t="str">
        <f t="shared" si="5"/>
        <v xml:space="preserve"> </v>
      </c>
    </row>
    <row r="374" spans="13:13" x14ac:dyDescent="0.3">
      <c r="M374" s="26" t="str">
        <f t="shared" si="5"/>
        <v xml:space="preserve"> </v>
      </c>
    </row>
    <row r="375" spans="13:13" x14ac:dyDescent="0.3">
      <c r="M375" s="26" t="str">
        <f t="shared" si="5"/>
        <v xml:space="preserve"> </v>
      </c>
    </row>
    <row r="376" spans="13:13" x14ac:dyDescent="0.3">
      <c r="M376" s="26" t="str">
        <f t="shared" si="5"/>
        <v xml:space="preserve"> </v>
      </c>
    </row>
    <row r="377" spans="13:13" x14ac:dyDescent="0.3">
      <c r="M377" s="26" t="str">
        <f t="shared" si="5"/>
        <v xml:space="preserve"> </v>
      </c>
    </row>
    <row r="378" spans="13:13" x14ac:dyDescent="0.3">
      <c r="M378" s="26" t="str">
        <f t="shared" si="5"/>
        <v xml:space="preserve"> </v>
      </c>
    </row>
    <row r="379" spans="13:13" x14ac:dyDescent="0.3">
      <c r="M379" s="26" t="str">
        <f t="shared" si="5"/>
        <v xml:space="preserve"> </v>
      </c>
    </row>
    <row r="380" spans="13:13" x14ac:dyDescent="0.3">
      <c r="M380" s="26" t="str">
        <f t="shared" si="5"/>
        <v xml:space="preserve"> </v>
      </c>
    </row>
    <row r="381" spans="13:13" x14ac:dyDescent="0.3">
      <c r="M381" s="26" t="str">
        <f t="shared" si="5"/>
        <v xml:space="preserve"> </v>
      </c>
    </row>
    <row r="382" spans="13:13" x14ac:dyDescent="0.3">
      <c r="M382" s="26" t="str">
        <f t="shared" si="5"/>
        <v xml:space="preserve"> </v>
      </c>
    </row>
    <row r="383" spans="13:13" x14ac:dyDescent="0.3">
      <c r="M383" s="26" t="str">
        <f t="shared" si="5"/>
        <v xml:space="preserve"> </v>
      </c>
    </row>
    <row r="384" spans="13:13" x14ac:dyDescent="0.3">
      <c r="M384" s="26" t="str">
        <f t="shared" si="5"/>
        <v xml:space="preserve"> </v>
      </c>
    </row>
    <row r="385" spans="13:13" x14ac:dyDescent="0.3">
      <c r="M385" s="26" t="str">
        <f t="shared" si="5"/>
        <v xml:space="preserve"> </v>
      </c>
    </row>
    <row r="386" spans="13:13" x14ac:dyDescent="0.3">
      <c r="M386" s="26" t="str">
        <f t="shared" ref="M386:M449" si="6">_xlfn.CONCAT(L386," ",F386)</f>
        <v xml:space="preserve"> </v>
      </c>
    </row>
    <row r="387" spans="13:13" x14ac:dyDescent="0.3">
      <c r="M387" s="26" t="str">
        <f t="shared" si="6"/>
        <v xml:space="preserve"> </v>
      </c>
    </row>
    <row r="388" spans="13:13" x14ac:dyDescent="0.3">
      <c r="M388" s="26" t="str">
        <f t="shared" si="6"/>
        <v xml:space="preserve"> </v>
      </c>
    </row>
    <row r="389" spans="13:13" x14ac:dyDescent="0.3">
      <c r="M389" s="26" t="str">
        <f t="shared" si="6"/>
        <v xml:space="preserve"> </v>
      </c>
    </row>
    <row r="390" spans="13:13" x14ac:dyDescent="0.3">
      <c r="M390" s="26" t="str">
        <f t="shared" si="6"/>
        <v xml:space="preserve"> </v>
      </c>
    </row>
    <row r="391" spans="13:13" x14ac:dyDescent="0.3">
      <c r="M391" s="26" t="str">
        <f t="shared" si="6"/>
        <v xml:space="preserve"> </v>
      </c>
    </row>
    <row r="392" spans="13:13" x14ac:dyDescent="0.3">
      <c r="M392" s="26" t="str">
        <f t="shared" si="6"/>
        <v xml:space="preserve"> </v>
      </c>
    </row>
    <row r="393" spans="13:13" x14ac:dyDescent="0.3">
      <c r="M393" s="26" t="str">
        <f t="shared" si="6"/>
        <v xml:space="preserve"> </v>
      </c>
    </row>
    <row r="394" spans="13:13" x14ac:dyDescent="0.3">
      <c r="M394" s="26" t="str">
        <f t="shared" si="6"/>
        <v xml:space="preserve"> </v>
      </c>
    </row>
    <row r="395" spans="13:13" x14ac:dyDescent="0.3">
      <c r="M395" s="26" t="str">
        <f t="shared" si="6"/>
        <v xml:space="preserve"> </v>
      </c>
    </row>
    <row r="396" spans="13:13" x14ac:dyDescent="0.3">
      <c r="M396" s="26" t="str">
        <f t="shared" si="6"/>
        <v xml:space="preserve"> </v>
      </c>
    </row>
    <row r="397" spans="13:13" x14ac:dyDescent="0.3">
      <c r="M397" s="26" t="str">
        <f t="shared" si="6"/>
        <v xml:space="preserve"> </v>
      </c>
    </row>
    <row r="398" spans="13:13" x14ac:dyDescent="0.3">
      <c r="M398" s="26" t="str">
        <f t="shared" si="6"/>
        <v xml:space="preserve"> </v>
      </c>
    </row>
    <row r="399" spans="13:13" x14ac:dyDescent="0.3">
      <c r="M399" s="26" t="str">
        <f t="shared" si="6"/>
        <v xml:space="preserve"> </v>
      </c>
    </row>
    <row r="400" spans="13:13" x14ac:dyDescent="0.3">
      <c r="M400" s="26" t="str">
        <f t="shared" si="6"/>
        <v xml:space="preserve"> </v>
      </c>
    </row>
    <row r="401" spans="13:13" x14ac:dyDescent="0.3">
      <c r="M401" s="26" t="str">
        <f t="shared" si="6"/>
        <v xml:space="preserve"> </v>
      </c>
    </row>
    <row r="402" spans="13:13" x14ac:dyDescent="0.3">
      <c r="M402" s="26" t="str">
        <f t="shared" si="6"/>
        <v xml:space="preserve"> </v>
      </c>
    </row>
    <row r="403" spans="13:13" x14ac:dyDescent="0.3">
      <c r="M403" s="26" t="str">
        <f t="shared" si="6"/>
        <v xml:space="preserve"> </v>
      </c>
    </row>
    <row r="404" spans="13:13" x14ac:dyDescent="0.3">
      <c r="M404" s="26" t="str">
        <f t="shared" si="6"/>
        <v xml:space="preserve"> </v>
      </c>
    </row>
    <row r="405" spans="13:13" x14ac:dyDescent="0.3">
      <c r="M405" s="26" t="str">
        <f t="shared" si="6"/>
        <v xml:space="preserve"> </v>
      </c>
    </row>
    <row r="406" spans="13:13" x14ac:dyDescent="0.3">
      <c r="M406" s="26" t="str">
        <f t="shared" si="6"/>
        <v xml:space="preserve"> </v>
      </c>
    </row>
    <row r="407" spans="13:13" x14ac:dyDescent="0.3">
      <c r="M407" s="26" t="str">
        <f t="shared" si="6"/>
        <v xml:space="preserve"> </v>
      </c>
    </row>
    <row r="408" spans="13:13" x14ac:dyDescent="0.3">
      <c r="M408" s="26" t="str">
        <f t="shared" si="6"/>
        <v xml:space="preserve"> </v>
      </c>
    </row>
    <row r="409" spans="13:13" x14ac:dyDescent="0.3">
      <c r="M409" s="26" t="str">
        <f t="shared" si="6"/>
        <v xml:space="preserve"> </v>
      </c>
    </row>
    <row r="410" spans="13:13" x14ac:dyDescent="0.3">
      <c r="M410" s="26" t="str">
        <f t="shared" si="6"/>
        <v xml:space="preserve"> </v>
      </c>
    </row>
    <row r="411" spans="13:13" x14ac:dyDescent="0.3">
      <c r="M411" s="26" t="str">
        <f t="shared" si="6"/>
        <v xml:space="preserve"> </v>
      </c>
    </row>
    <row r="412" spans="13:13" x14ac:dyDescent="0.3">
      <c r="M412" s="26" t="str">
        <f t="shared" si="6"/>
        <v xml:space="preserve"> </v>
      </c>
    </row>
    <row r="413" spans="13:13" x14ac:dyDescent="0.3">
      <c r="M413" s="26" t="str">
        <f t="shared" si="6"/>
        <v xml:space="preserve"> </v>
      </c>
    </row>
    <row r="414" spans="13:13" x14ac:dyDescent="0.3">
      <c r="M414" s="26" t="str">
        <f t="shared" si="6"/>
        <v xml:space="preserve"> </v>
      </c>
    </row>
    <row r="415" spans="13:13" x14ac:dyDescent="0.3">
      <c r="M415" s="26" t="str">
        <f t="shared" si="6"/>
        <v xml:space="preserve"> </v>
      </c>
    </row>
    <row r="416" spans="13:13" x14ac:dyDescent="0.3">
      <c r="M416" s="26" t="str">
        <f t="shared" si="6"/>
        <v xml:space="preserve"> </v>
      </c>
    </row>
    <row r="417" spans="13:13" x14ac:dyDescent="0.3">
      <c r="M417" s="26" t="str">
        <f t="shared" si="6"/>
        <v xml:space="preserve"> </v>
      </c>
    </row>
    <row r="418" spans="13:13" x14ac:dyDescent="0.3">
      <c r="M418" s="26" t="str">
        <f t="shared" si="6"/>
        <v xml:space="preserve"> </v>
      </c>
    </row>
    <row r="419" spans="13:13" x14ac:dyDescent="0.3">
      <c r="M419" s="26" t="str">
        <f t="shared" si="6"/>
        <v xml:space="preserve"> </v>
      </c>
    </row>
    <row r="420" spans="13:13" x14ac:dyDescent="0.3">
      <c r="M420" s="26" t="str">
        <f t="shared" si="6"/>
        <v xml:space="preserve"> </v>
      </c>
    </row>
    <row r="421" spans="13:13" x14ac:dyDescent="0.3">
      <c r="M421" s="26" t="str">
        <f t="shared" si="6"/>
        <v xml:space="preserve"> </v>
      </c>
    </row>
    <row r="422" spans="13:13" x14ac:dyDescent="0.3">
      <c r="M422" s="26" t="str">
        <f t="shared" si="6"/>
        <v xml:space="preserve"> </v>
      </c>
    </row>
    <row r="423" spans="13:13" x14ac:dyDescent="0.3">
      <c r="M423" s="26" t="str">
        <f t="shared" si="6"/>
        <v xml:space="preserve"> </v>
      </c>
    </row>
    <row r="424" spans="13:13" x14ac:dyDescent="0.3">
      <c r="M424" s="26" t="str">
        <f t="shared" si="6"/>
        <v xml:space="preserve"> </v>
      </c>
    </row>
    <row r="425" spans="13:13" x14ac:dyDescent="0.3">
      <c r="M425" s="26" t="str">
        <f t="shared" si="6"/>
        <v xml:space="preserve"> </v>
      </c>
    </row>
    <row r="426" spans="13:13" x14ac:dyDescent="0.3">
      <c r="M426" s="26" t="str">
        <f t="shared" si="6"/>
        <v xml:space="preserve"> </v>
      </c>
    </row>
    <row r="427" spans="13:13" x14ac:dyDescent="0.3">
      <c r="M427" s="26" t="str">
        <f t="shared" si="6"/>
        <v xml:space="preserve"> </v>
      </c>
    </row>
    <row r="428" spans="13:13" x14ac:dyDescent="0.3">
      <c r="M428" s="26" t="str">
        <f t="shared" si="6"/>
        <v xml:space="preserve"> </v>
      </c>
    </row>
    <row r="429" spans="13:13" x14ac:dyDescent="0.3">
      <c r="M429" s="26" t="str">
        <f t="shared" si="6"/>
        <v xml:space="preserve"> </v>
      </c>
    </row>
    <row r="430" spans="13:13" x14ac:dyDescent="0.3">
      <c r="M430" s="26" t="str">
        <f t="shared" si="6"/>
        <v xml:space="preserve"> </v>
      </c>
    </row>
    <row r="431" spans="13:13" x14ac:dyDescent="0.3">
      <c r="M431" s="26" t="str">
        <f t="shared" si="6"/>
        <v xml:space="preserve"> </v>
      </c>
    </row>
    <row r="432" spans="13:13" x14ac:dyDescent="0.3">
      <c r="M432" s="26" t="str">
        <f t="shared" si="6"/>
        <v xml:space="preserve"> </v>
      </c>
    </row>
    <row r="433" spans="13:13" x14ac:dyDescent="0.3">
      <c r="M433" s="26" t="str">
        <f t="shared" si="6"/>
        <v xml:space="preserve"> </v>
      </c>
    </row>
    <row r="434" spans="13:13" x14ac:dyDescent="0.3">
      <c r="M434" s="26" t="str">
        <f t="shared" si="6"/>
        <v xml:space="preserve"> </v>
      </c>
    </row>
    <row r="435" spans="13:13" x14ac:dyDescent="0.3">
      <c r="M435" s="26" t="str">
        <f t="shared" si="6"/>
        <v xml:space="preserve"> </v>
      </c>
    </row>
    <row r="436" spans="13:13" x14ac:dyDescent="0.3">
      <c r="M436" s="26" t="str">
        <f t="shared" si="6"/>
        <v xml:space="preserve"> </v>
      </c>
    </row>
    <row r="437" spans="13:13" x14ac:dyDescent="0.3">
      <c r="M437" s="26" t="str">
        <f t="shared" si="6"/>
        <v xml:space="preserve"> </v>
      </c>
    </row>
    <row r="438" spans="13:13" x14ac:dyDescent="0.3">
      <c r="M438" s="26" t="str">
        <f t="shared" si="6"/>
        <v xml:space="preserve"> </v>
      </c>
    </row>
    <row r="439" spans="13:13" x14ac:dyDescent="0.3">
      <c r="M439" s="26" t="str">
        <f t="shared" si="6"/>
        <v xml:space="preserve"> </v>
      </c>
    </row>
    <row r="440" spans="13:13" x14ac:dyDescent="0.3">
      <c r="M440" s="26" t="str">
        <f t="shared" si="6"/>
        <v xml:space="preserve"> </v>
      </c>
    </row>
    <row r="441" spans="13:13" x14ac:dyDescent="0.3">
      <c r="M441" s="26" t="str">
        <f t="shared" si="6"/>
        <v xml:space="preserve"> </v>
      </c>
    </row>
    <row r="442" spans="13:13" x14ac:dyDescent="0.3">
      <c r="M442" s="26" t="str">
        <f t="shared" si="6"/>
        <v xml:space="preserve"> </v>
      </c>
    </row>
    <row r="443" spans="13:13" x14ac:dyDescent="0.3">
      <c r="M443" s="26" t="str">
        <f t="shared" si="6"/>
        <v xml:space="preserve"> </v>
      </c>
    </row>
    <row r="444" spans="13:13" x14ac:dyDescent="0.3">
      <c r="M444" s="26" t="str">
        <f t="shared" si="6"/>
        <v xml:space="preserve"> </v>
      </c>
    </row>
    <row r="445" spans="13:13" x14ac:dyDescent="0.3">
      <c r="M445" s="26" t="str">
        <f t="shared" si="6"/>
        <v xml:space="preserve"> </v>
      </c>
    </row>
    <row r="446" spans="13:13" x14ac:dyDescent="0.3">
      <c r="M446" s="26" t="str">
        <f t="shared" si="6"/>
        <v xml:space="preserve"> </v>
      </c>
    </row>
    <row r="447" spans="13:13" x14ac:dyDescent="0.3">
      <c r="M447" s="26" t="str">
        <f t="shared" si="6"/>
        <v xml:space="preserve"> </v>
      </c>
    </row>
    <row r="448" spans="13:13" x14ac:dyDescent="0.3">
      <c r="M448" s="26" t="str">
        <f t="shared" si="6"/>
        <v xml:space="preserve"> </v>
      </c>
    </row>
    <row r="449" spans="13:13" x14ac:dyDescent="0.3">
      <c r="M449" s="26" t="str">
        <f t="shared" si="6"/>
        <v xml:space="preserve"> </v>
      </c>
    </row>
    <row r="450" spans="13:13" x14ac:dyDescent="0.3">
      <c r="M450" s="26" t="str">
        <f t="shared" ref="M450:M513" si="7">_xlfn.CONCAT(L450," ",F450)</f>
        <v xml:space="preserve"> </v>
      </c>
    </row>
    <row r="451" spans="13:13" x14ac:dyDescent="0.3">
      <c r="M451" s="26" t="str">
        <f t="shared" si="7"/>
        <v xml:space="preserve"> </v>
      </c>
    </row>
    <row r="452" spans="13:13" x14ac:dyDescent="0.3">
      <c r="M452" s="26" t="str">
        <f t="shared" si="7"/>
        <v xml:space="preserve"> </v>
      </c>
    </row>
    <row r="453" spans="13:13" x14ac:dyDescent="0.3">
      <c r="M453" s="26" t="str">
        <f t="shared" si="7"/>
        <v xml:space="preserve"> </v>
      </c>
    </row>
    <row r="454" spans="13:13" x14ac:dyDescent="0.3">
      <c r="M454" s="26" t="str">
        <f t="shared" si="7"/>
        <v xml:space="preserve"> </v>
      </c>
    </row>
    <row r="455" spans="13:13" x14ac:dyDescent="0.3">
      <c r="M455" s="26" t="str">
        <f t="shared" si="7"/>
        <v xml:space="preserve"> </v>
      </c>
    </row>
    <row r="456" spans="13:13" x14ac:dyDescent="0.3">
      <c r="M456" s="26" t="str">
        <f t="shared" si="7"/>
        <v xml:space="preserve"> </v>
      </c>
    </row>
    <row r="457" spans="13:13" x14ac:dyDescent="0.3">
      <c r="M457" s="26" t="str">
        <f t="shared" si="7"/>
        <v xml:space="preserve"> </v>
      </c>
    </row>
    <row r="458" spans="13:13" x14ac:dyDescent="0.3">
      <c r="M458" s="26" t="str">
        <f t="shared" si="7"/>
        <v xml:space="preserve"> </v>
      </c>
    </row>
    <row r="459" spans="13:13" x14ac:dyDescent="0.3">
      <c r="M459" s="26" t="str">
        <f t="shared" si="7"/>
        <v xml:space="preserve"> </v>
      </c>
    </row>
    <row r="460" spans="13:13" x14ac:dyDescent="0.3">
      <c r="M460" s="26" t="str">
        <f t="shared" si="7"/>
        <v xml:space="preserve"> </v>
      </c>
    </row>
    <row r="461" spans="13:13" x14ac:dyDescent="0.3">
      <c r="M461" s="26" t="str">
        <f t="shared" si="7"/>
        <v xml:space="preserve"> </v>
      </c>
    </row>
    <row r="462" spans="13:13" x14ac:dyDescent="0.3">
      <c r="M462" s="26" t="str">
        <f t="shared" si="7"/>
        <v xml:space="preserve"> </v>
      </c>
    </row>
    <row r="463" spans="13:13" x14ac:dyDescent="0.3">
      <c r="M463" s="26" t="str">
        <f t="shared" si="7"/>
        <v xml:space="preserve"> </v>
      </c>
    </row>
    <row r="464" spans="13:13" x14ac:dyDescent="0.3">
      <c r="M464" s="26" t="str">
        <f t="shared" si="7"/>
        <v xml:space="preserve"> </v>
      </c>
    </row>
    <row r="465" spans="13:13" x14ac:dyDescent="0.3">
      <c r="M465" s="26" t="str">
        <f t="shared" si="7"/>
        <v xml:space="preserve"> </v>
      </c>
    </row>
    <row r="466" spans="13:13" x14ac:dyDescent="0.3">
      <c r="M466" s="26" t="str">
        <f t="shared" si="7"/>
        <v xml:space="preserve"> </v>
      </c>
    </row>
    <row r="467" spans="13:13" x14ac:dyDescent="0.3">
      <c r="M467" s="26" t="str">
        <f t="shared" si="7"/>
        <v xml:space="preserve"> </v>
      </c>
    </row>
    <row r="468" spans="13:13" x14ac:dyDescent="0.3">
      <c r="M468" s="26" t="str">
        <f t="shared" si="7"/>
        <v xml:space="preserve"> </v>
      </c>
    </row>
    <row r="469" spans="13:13" x14ac:dyDescent="0.3">
      <c r="M469" s="26" t="str">
        <f t="shared" si="7"/>
        <v xml:space="preserve"> </v>
      </c>
    </row>
    <row r="470" spans="13:13" x14ac:dyDescent="0.3">
      <c r="M470" s="26" t="str">
        <f t="shared" si="7"/>
        <v xml:space="preserve"> </v>
      </c>
    </row>
    <row r="471" spans="13:13" x14ac:dyDescent="0.3">
      <c r="M471" s="26" t="str">
        <f t="shared" si="7"/>
        <v xml:space="preserve"> </v>
      </c>
    </row>
    <row r="472" spans="13:13" x14ac:dyDescent="0.3">
      <c r="M472" s="26" t="str">
        <f t="shared" si="7"/>
        <v xml:space="preserve"> </v>
      </c>
    </row>
    <row r="473" spans="13:13" x14ac:dyDescent="0.3">
      <c r="M473" s="26" t="str">
        <f t="shared" si="7"/>
        <v xml:space="preserve"> </v>
      </c>
    </row>
    <row r="474" spans="13:13" x14ac:dyDescent="0.3">
      <c r="M474" s="26" t="str">
        <f t="shared" si="7"/>
        <v xml:space="preserve"> </v>
      </c>
    </row>
    <row r="475" spans="13:13" x14ac:dyDescent="0.3">
      <c r="M475" s="26" t="str">
        <f t="shared" si="7"/>
        <v xml:space="preserve"> </v>
      </c>
    </row>
    <row r="476" spans="13:13" x14ac:dyDescent="0.3">
      <c r="M476" s="26" t="str">
        <f t="shared" si="7"/>
        <v xml:space="preserve"> </v>
      </c>
    </row>
    <row r="477" spans="13:13" x14ac:dyDescent="0.3">
      <c r="M477" s="26" t="str">
        <f t="shared" si="7"/>
        <v xml:space="preserve"> </v>
      </c>
    </row>
    <row r="478" spans="13:13" x14ac:dyDescent="0.3">
      <c r="M478" s="26" t="str">
        <f t="shared" si="7"/>
        <v xml:space="preserve"> </v>
      </c>
    </row>
    <row r="479" spans="13:13" x14ac:dyDescent="0.3">
      <c r="M479" s="26" t="str">
        <f t="shared" si="7"/>
        <v xml:space="preserve"> </v>
      </c>
    </row>
    <row r="480" spans="13:13" x14ac:dyDescent="0.3">
      <c r="M480" s="26" t="str">
        <f t="shared" si="7"/>
        <v xml:space="preserve"> </v>
      </c>
    </row>
    <row r="481" spans="13:13" x14ac:dyDescent="0.3">
      <c r="M481" s="26" t="str">
        <f t="shared" si="7"/>
        <v xml:space="preserve"> </v>
      </c>
    </row>
    <row r="482" spans="13:13" x14ac:dyDescent="0.3">
      <c r="M482" s="26" t="str">
        <f t="shared" si="7"/>
        <v xml:space="preserve"> </v>
      </c>
    </row>
    <row r="483" spans="13:13" x14ac:dyDescent="0.3">
      <c r="M483" s="26" t="str">
        <f t="shared" si="7"/>
        <v xml:space="preserve"> </v>
      </c>
    </row>
    <row r="484" spans="13:13" x14ac:dyDescent="0.3">
      <c r="M484" s="26" t="str">
        <f t="shared" si="7"/>
        <v xml:space="preserve"> </v>
      </c>
    </row>
    <row r="485" spans="13:13" x14ac:dyDescent="0.3">
      <c r="M485" s="26" t="str">
        <f t="shared" si="7"/>
        <v xml:space="preserve"> </v>
      </c>
    </row>
    <row r="486" spans="13:13" x14ac:dyDescent="0.3">
      <c r="M486" s="26" t="str">
        <f t="shared" si="7"/>
        <v xml:space="preserve"> </v>
      </c>
    </row>
    <row r="487" spans="13:13" x14ac:dyDescent="0.3">
      <c r="M487" s="26" t="str">
        <f t="shared" si="7"/>
        <v xml:space="preserve"> </v>
      </c>
    </row>
    <row r="488" spans="13:13" x14ac:dyDescent="0.3">
      <c r="M488" s="26" t="str">
        <f t="shared" si="7"/>
        <v xml:space="preserve"> </v>
      </c>
    </row>
    <row r="489" spans="13:13" x14ac:dyDescent="0.3">
      <c r="M489" s="26" t="str">
        <f t="shared" si="7"/>
        <v xml:space="preserve"> </v>
      </c>
    </row>
    <row r="490" spans="13:13" x14ac:dyDescent="0.3">
      <c r="M490" s="26" t="str">
        <f t="shared" si="7"/>
        <v xml:space="preserve"> </v>
      </c>
    </row>
    <row r="491" spans="13:13" x14ac:dyDescent="0.3">
      <c r="M491" s="26" t="str">
        <f t="shared" si="7"/>
        <v xml:space="preserve"> </v>
      </c>
    </row>
    <row r="492" spans="13:13" x14ac:dyDescent="0.3">
      <c r="M492" s="26" t="str">
        <f t="shared" si="7"/>
        <v xml:space="preserve"> </v>
      </c>
    </row>
    <row r="493" spans="13:13" x14ac:dyDescent="0.3">
      <c r="M493" s="26" t="str">
        <f t="shared" si="7"/>
        <v xml:space="preserve"> </v>
      </c>
    </row>
    <row r="494" spans="13:13" x14ac:dyDescent="0.3">
      <c r="M494" s="26" t="str">
        <f t="shared" si="7"/>
        <v xml:space="preserve"> </v>
      </c>
    </row>
    <row r="495" spans="13:13" x14ac:dyDescent="0.3">
      <c r="M495" s="26" t="str">
        <f t="shared" si="7"/>
        <v xml:space="preserve"> </v>
      </c>
    </row>
    <row r="496" spans="13:13" x14ac:dyDescent="0.3">
      <c r="M496" s="26" t="str">
        <f t="shared" si="7"/>
        <v xml:space="preserve"> </v>
      </c>
    </row>
    <row r="497" spans="13:13" x14ac:dyDescent="0.3">
      <c r="M497" s="26" t="str">
        <f t="shared" si="7"/>
        <v xml:space="preserve"> </v>
      </c>
    </row>
    <row r="498" spans="13:13" x14ac:dyDescent="0.3">
      <c r="M498" s="26" t="str">
        <f t="shared" si="7"/>
        <v xml:space="preserve"> </v>
      </c>
    </row>
    <row r="499" spans="13:13" x14ac:dyDescent="0.3">
      <c r="M499" s="26" t="str">
        <f t="shared" si="7"/>
        <v xml:space="preserve"> </v>
      </c>
    </row>
    <row r="500" spans="13:13" x14ac:dyDescent="0.3">
      <c r="M500" s="26" t="str">
        <f t="shared" si="7"/>
        <v xml:space="preserve"> </v>
      </c>
    </row>
    <row r="501" spans="13:13" x14ac:dyDescent="0.3">
      <c r="M501" s="26" t="str">
        <f t="shared" si="7"/>
        <v xml:space="preserve"> </v>
      </c>
    </row>
    <row r="502" spans="13:13" x14ac:dyDescent="0.3">
      <c r="M502" s="26" t="str">
        <f t="shared" si="7"/>
        <v xml:space="preserve"> </v>
      </c>
    </row>
    <row r="503" spans="13:13" x14ac:dyDescent="0.3">
      <c r="M503" s="26" t="str">
        <f t="shared" si="7"/>
        <v xml:space="preserve"> </v>
      </c>
    </row>
    <row r="504" spans="13:13" x14ac:dyDescent="0.3">
      <c r="M504" s="26" t="str">
        <f t="shared" si="7"/>
        <v xml:space="preserve"> </v>
      </c>
    </row>
    <row r="505" spans="13:13" x14ac:dyDescent="0.3">
      <c r="M505" s="26" t="str">
        <f t="shared" si="7"/>
        <v xml:space="preserve"> </v>
      </c>
    </row>
    <row r="506" spans="13:13" x14ac:dyDescent="0.3">
      <c r="M506" s="26" t="str">
        <f t="shared" si="7"/>
        <v xml:space="preserve"> </v>
      </c>
    </row>
    <row r="507" spans="13:13" x14ac:dyDescent="0.3">
      <c r="M507" s="26" t="str">
        <f t="shared" si="7"/>
        <v xml:space="preserve"> </v>
      </c>
    </row>
    <row r="508" spans="13:13" x14ac:dyDescent="0.3">
      <c r="M508" s="26" t="str">
        <f t="shared" si="7"/>
        <v xml:space="preserve"> </v>
      </c>
    </row>
    <row r="509" spans="13:13" x14ac:dyDescent="0.3">
      <c r="M509" s="26" t="str">
        <f t="shared" si="7"/>
        <v xml:space="preserve"> </v>
      </c>
    </row>
    <row r="510" spans="13:13" x14ac:dyDescent="0.3">
      <c r="M510" s="26" t="str">
        <f t="shared" si="7"/>
        <v xml:space="preserve"> </v>
      </c>
    </row>
    <row r="511" spans="13:13" x14ac:dyDescent="0.3">
      <c r="M511" s="26" t="str">
        <f t="shared" si="7"/>
        <v xml:space="preserve"> </v>
      </c>
    </row>
    <row r="512" spans="13:13" x14ac:dyDescent="0.3">
      <c r="M512" s="26" t="str">
        <f t="shared" si="7"/>
        <v xml:space="preserve"> </v>
      </c>
    </row>
    <row r="513" spans="13:13" x14ac:dyDescent="0.3">
      <c r="M513" s="26" t="str">
        <f t="shared" si="7"/>
        <v xml:space="preserve"> </v>
      </c>
    </row>
    <row r="514" spans="13:13" x14ac:dyDescent="0.3">
      <c r="M514" s="26" t="str">
        <f t="shared" ref="M514:M577" si="8">_xlfn.CONCAT(L514," ",F514)</f>
        <v xml:space="preserve"> </v>
      </c>
    </row>
    <row r="515" spans="13:13" x14ac:dyDescent="0.3">
      <c r="M515" s="26" t="str">
        <f t="shared" si="8"/>
        <v xml:space="preserve"> </v>
      </c>
    </row>
    <row r="516" spans="13:13" x14ac:dyDescent="0.3">
      <c r="M516" s="26" t="str">
        <f t="shared" si="8"/>
        <v xml:space="preserve"> </v>
      </c>
    </row>
    <row r="517" spans="13:13" x14ac:dyDescent="0.3">
      <c r="M517" s="26" t="str">
        <f t="shared" si="8"/>
        <v xml:space="preserve"> </v>
      </c>
    </row>
    <row r="518" spans="13:13" x14ac:dyDescent="0.3">
      <c r="M518" s="26" t="str">
        <f t="shared" si="8"/>
        <v xml:space="preserve"> </v>
      </c>
    </row>
    <row r="519" spans="13:13" x14ac:dyDescent="0.3">
      <c r="M519" s="26" t="str">
        <f t="shared" si="8"/>
        <v xml:space="preserve"> </v>
      </c>
    </row>
    <row r="520" spans="13:13" x14ac:dyDescent="0.3">
      <c r="M520" s="26" t="str">
        <f t="shared" si="8"/>
        <v xml:space="preserve"> </v>
      </c>
    </row>
    <row r="521" spans="13:13" x14ac:dyDescent="0.3">
      <c r="M521" s="26" t="str">
        <f t="shared" si="8"/>
        <v xml:space="preserve"> </v>
      </c>
    </row>
    <row r="522" spans="13:13" x14ac:dyDescent="0.3">
      <c r="M522" s="26" t="str">
        <f t="shared" si="8"/>
        <v xml:space="preserve"> </v>
      </c>
    </row>
    <row r="523" spans="13:13" x14ac:dyDescent="0.3">
      <c r="M523" s="26" t="str">
        <f t="shared" si="8"/>
        <v xml:space="preserve"> </v>
      </c>
    </row>
    <row r="524" spans="13:13" x14ac:dyDescent="0.3">
      <c r="M524" s="26" t="str">
        <f t="shared" si="8"/>
        <v xml:space="preserve"> </v>
      </c>
    </row>
    <row r="525" spans="13:13" x14ac:dyDescent="0.3">
      <c r="M525" s="26" t="str">
        <f t="shared" si="8"/>
        <v xml:space="preserve"> </v>
      </c>
    </row>
    <row r="526" spans="13:13" x14ac:dyDescent="0.3">
      <c r="M526" s="26" t="str">
        <f t="shared" si="8"/>
        <v xml:space="preserve"> </v>
      </c>
    </row>
    <row r="527" spans="13:13" x14ac:dyDescent="0.3">
      <c r="M527" s="26" t="str">
        <f t="shared" si="8"/>
        <v xml:space="preserve"> </v>
      </c>
    </row>
    <row r="528" spans="13:13" x14ac:dyDescent="0.3">
      <c r="M528" s="26" t="str">
        <f t="shared" si="8"/>
        <v xml:space="preserve"> </v>
      </c>
    </row>
    <row r="529" spans="13:13" x14ac:dyDescent="0.3">
      <c r="M529" s="26" t="str">
        <f t="shared" si="8"/>
        <v xml:space="preserve"> </v>
      </c>
    </row>
    <row r="530" spans="13:13" x14ac:dyDescent="0.3">
      <c r="M530" s="26" t="str">
        <f t="shared" si="8"/>
        <v xml:space="preserve"> </v>
      </c>
    </row>
    <row r="531" spans="13:13" x14ac:dyDescent="0.3">
      <c r="M531" s="26" t="str">
        <f t="shared" si="8"/>
        <v xml:space="preserve"> </v>
      </c>
    </row>
    <row r="532" spans="13:13" x14ac:dyDescent="0.3">
      <c r="M532" s="26" t="str">
        <f t="shared" si="8"/>
        <v xml:space="preserve"> </v>
      </c>
    </row>
    <row r="533" spans="13:13" x14ac:dyDescent="0.3">
      <c r="M533" s="26" t="str">
        <f t="shared" si="8"/>
        <v xml:space="preserve"> </v>
      </c>
    </row>
    <row r="534" spans="13:13" x14ac:dyDescent="0.3">
      <c r="M534" s="26" t="str">
        <f t="shared" si="8"/>
        <v xml:space="preserve"> </v>
      </c>
    </row>
    <row r="535" spans="13:13" x14ac:dyDescent="0.3">
      <c r="M535" s="26" t="str">
        <f t="shared" si="8"/>
        <v xml:space="preserve"> </v>
      </c>
    </row>
    <row r="536" spans="13:13" x14ac:dyDescent="0.3">
      <c r="M536" s="26" t="str">
        <f t="shared" si="8"/>
        <v xml:space="preserve"> </v>
      </c>
    </row>
    <row r="537" spans="13:13" x14ac:dyDescent="0.3">
      <c r="M537" s="26" t="str">
        <f t="shared" si="8"/>
        <v xml:space="preserve"> </v>
      </c>
    </row>
    <row r="538" spans="13:13" x14ac:dyDescent="0.3">
      <c r="M538" s="26" t="str">
        <f t="shared" si="8"/>
        <v xml:space="preserve"> </v>
      </c>
    </row>
    <row r="539" spans="13:13" x14ac:dyDescent="0.3">
      <c r="M539" s="26" t="str">
        <f t="shared" si="8"/>
        <v xml:space="preserve"> </v>
      </c>
    </row>
    <row r="540" spans="13:13" x14ac:dyDescent="0.3">
      <c r="M540" s="26" t="str">
        <f t="shared" si="8"/>
        <v xml:space="preserve"> </v>
      </c>
    </row>
    <row r="541" spans="13:13" x14ac:dyDescent="0.3">
      <c r="M541" s="26" t="str">
        <f t="shared" si="8"/>
        <v xml:space="preserve"> </v>
      </c>
    </row>
    <row r="542" spans="13:13" x14ac:dyDescent="0.3">
      <c r="M542" s="26" t="str">
        <f t="shared" si="8"/>
        <v xml:space="preserve"> </v>
      </c>
    </row>
    <row r="543" spans="13:13" x14ac:dyDescent="0.3">
      <c r="M543" s="26" t="str">
        <f t="shared" si="8"/>
        <v xml:space="preserve"> </v>
      </c>
    </row>
    <row r="544" spans="13:13" x14ac:dyDescent="0.3">
      <c r="M544" s="26" t="str">
        <f t="shared" si="8"/>
        <v xml:space="preserve"> </v>
      </c>
    </row>
    <row r="545" spans="13:13" x14ac:dyDescent="0.3">
      <c r="M545" s="26" t="str">
        <f t="shared" si="8"/>
        <v xml:space="preserve"> </v>
      </c>
    </row>
    <row r="546" spans="13:13" x14ac:dyDescent="0.3">
      <c r="M546" s="26" t="str">
        <f t="shared" si="8"/>
        <v xml:space="preserve"> </v>
      </c>
    </row>
    <row r="547" spans="13:13" x14ac:dyDescent="0.3">
      <c r="M547" s="26" t="str">
        <f t="shared" si="8"/>
        <v xml:space="preserve"> </v>
      </c>
    </row>
    <row r="548" spans="13:13" x14ac:dyDescent="0.3">
      <c r="M548" s="26" t="str">
        <f t="shared" si="8"/>
        <v xml:space="preserve"> </v>
      </c>
    </row>
    <row r="549" spans="13:13" x14ac:dyDescent="0.3">
      <c r="M549" s="26" t="str">
        <f t="shared" si="8"/>
        <v xml:space="preserve"> </v>
      </c>
    </row>
    <row r="550" spans="13:13" x14ac:dyDescent="0.3">
      <c r="M550" s="26" t="str">
        <f t="shared" si="8"/>
        <v xml:space="preserve"> </v>
      </c>
    </row>
    <row r="551" spans="13:13" x14ac:dyDescent="0.3">
      <c r="M551" s="26" t="str">
        <f t="shared" si="8"/>
        <v xml:space="preserve"> </v>
      </c>
    </row>
    <row r="552" spans="13:13" x14ac:dyDescent="0.3">
      <c r="M552" s="26" t="str">
        <f t="shared" si="8"/>
        <v xml:space="preserve"> </v>
      </c>
    </row>
    <row r="553" spans="13:13" x14ac:dyDescent="0.3">
      <c r="M553" s="26" t="str">
        <f t="shared" si="8"/>
        <v xml:space="preserve"> </v>
      </c>
    </row>
    <row r="554" spans="13:13" x14ac:dyDescent="0.3">
      <c r="M554" s="26" t="str">
        <f t="shared" si="8"/>
        <v xml:space="preserve"> </v>
      </c>
    </row>
    <row r="555" spans="13:13" x14ac:dyDescent="0.3">
      <c r="M555" s="26" t="str">
        <f t="shared" si="8"/>
        <v xml:space="preserve"> </v>
      </c>
    </row>
    <row r="556" spans="13:13" x14ac:dyDescent="0.3">
      <c r="M556" s="26" t="str">
        <f t="shared" si="8"/>
        <v xml:space="preserve"> </v>
      </c>
    </row>
    <row r="557" spans="13:13" x14ac:dyDescent="0.3">
      <c r="M557" s="26" t="str">
        <f t="shared" si="8"/>
        <v xml:space="preserve"> </v>
      </c>
    </row>
    <row r="558" spans="13:13" x14ac:dyDescent="0.3">
      <c r="M558" s="26" t="str">
        <f t="shared" si="8"/>
        <v xml:space="preserve"> </v>
      </c>
    </row>
    <row r="559" spans="13:13" x14ac:dyDescent="0.3">
      <c r="M559" s="26" t="str">
        <f t="shared" si="8"/>
        <v xml:space="preserve"> </v>
      </c>
    </row>
    <row r="560" spans="13:13" x14ac:dyDescent="0.3">
      <c r="M560" s="26" t="str">
        <f t="shared" si="8"/>
        <v xml:space="preserve"> </v>
      </c>
    </row>
    <row r="561" spans="13:13" x14ac:dyDescent="0.3">
      <c r="M561" s="26" t="str">
        <f t="shared" si="8"/>
        <v xml:space="preserve"> </v>
      </c>
    </row>
    <row r="562" spans="13:13" x14ac:dyDescent="0.3">
      <c r="M562" s="26" t="str">
        <f t="shared" si="8"/>
        <v xml:space="preserve"> </v>
      </c>
    </row>
    <row r="563" spans="13:13" x14ac:dyDescent="0.3">
      <c r="M563" s="26" t="str">
        <f t="shared" si="8"/>
        <v xml:space="preserve"> </v>
      </c>
    </row>
    <row r="564" spans="13:13" x14ac:dyDescent="0.3">
      <c r="M564" s="26" t="str">
        <f t="shared" si="8"/>
        <v xml:space="preserve"> </v>
      </c>
    </row>
    <row r="565" spans="13:13" x14ac:dyDescent="0.3">
      <c r="M565" s="26" t="str">
        <f t="shared" si="8"/>
        <v xml:space="preserve"> </v>
      </c>
    </row>
    <row r="566" spans="13:13" x14ac:dyDescent="0.3">
      <c r="M566" s="26" t="str">
        <f t="shared" si="8"/>
        <v xml:space="preserve"> </v>
      </c>
    </row>
    <row r="567" spans="13:13" x14ac:dyDescent="0.3">
      <c r="M567" s="26" t="str">
        <f t="shared" si="8"/>
        <v xml:space="preserve"> </v>
      </c>
    </row>
    <row r="568" spans="13:13" x14ac:dyDescent="0.3">
      <c r="M568" s="26" t="str">
        <f t="shared" si="8"/>
        <v xml:space="preserve"> </v>
      </c>
    </row>
    <row r="569" spans="13:13" x14ac:dyDescent="0.3">
      <c r="M569" s="26" t="str">
        <f t="shared" si="8"/>
        <v xml:space="preserve"> </v>
      </c>
    </row>
    <row r="570" spans="13:13" x14ac:dyDescent="0.3">
      <c r="M570" s="26" t="str">
        <f t="shared" si="8"/>
        <v xml:space="preserve"> </v>
      </c>
    </row>
    <row r="571" spans="13:13" x14ac:dyDescent="0.3">
      <c r="M571" s="26" t="str">
        <f t="shared" si="8"/>
        <v xml:space="preserve"> </v>
      </c>
    </row>
    <row r="572" spans="13:13" x14ac:dyDescent="0.3">
      <c r="M572" s="26" t="str">
        <f t="shared" si="8"/>
        <v xml:space="preserve"> </v>
      </c>
    </row>
    <row r="573" spans="13:13" x14ac:dyDescent="0.3">
      <c r="M573" s="26" t="str">
        <f t="shared" si="8"/>
        <v xml:space="preserve"> </v>
      </c>
    </row>
    <row r="574" spans="13:13" x14ac:dyDescent="0.3">
      <c r="M574" s="26" t="str">
        <f t="shared" si="8"/>
        <v xml:space="preserve"> </v>
      </c>
    </row>
    <row r="575" spans="13:13" x14ac:dyDescent="0.3">
      <c r="M575" s="26" t="str">
        <f t="shared" si="8"/>
        <v xml:space="preserve"> </v>
      </c>
    </row>
    <row r="576" spans="13:13" x14ac:dyDescent="0.3">
      <c r="M576" s="26" t="str">
        <f t="shared" si="8"/>
        <v xml:space="preserve"> </v>
      </c>
    </row>
    <row r="577" spans="13:13" x14ac:dyDescent="0.3">
      <c r="M577" s="26" t="str">
        <f t="shared" si="8"/>
        <v xml:space="preserve"> </v>
      </c>
    </row>
    <row r="578" spans="13:13" x14ac:dyDescent="0.3">
      <c r="M578" s="26" t="str">
        <f t="shared" ref="M578:M641" si="9">_xlfn.CONCAT(L578," ",F578)</f>
        <v xml:space="preserve"> </v>
      </c>
    </row>
    <row r="579" spans="13:13" x14ac:dyDescent="0.3">
      <c r="M579" s="26" t="str">
        <f t="shared" si="9"/>
        <v xml:space="preserve"> </v>
      </c>
    </row>
    <row r="580" spans="13:13" x14ac:dyDescent="0.3">
      <c r="M580" s="26" t="str">
        <f t="shared" si="9"/>
        <v xml:space="preserve"> </v>
      </c>
    </row>
    <row r="581" spans="13:13" x14ac:dyDescent="0.3">
      <c r="M581" s="26" t="str">
        <f t="shared" si="9"/>
        <v xml:space="preserve"> </v>
      </c>
    </row>
    <row r="582" spans="13:13" x14ac:dyDescent="0.3">
      <c r="M582" s="26" t="str">
        <f t="shared" si="9"/>
        <v xml:space="preserve"> </v>
      </c>
    </row>
    <row r="583" spans="13:13" x14ac:dyDescent="0.3">
      <c r="M583" s="26" t="str">
        <f t="shared" si="9"/>
        <v xml:space="preserve"> </v>
      </c>
    </row>
    <row r="584" spans="13:13" x14ac:dyDescent="0.3">
      <c r="M584" s="26" t="str">
        <f t="shared" si="9"/>
        <v xml:space="preserve"> </v>
      </c>
    </row>
    <row r="585" spans="13:13" x14ac:dyDescent="0.3">
      <c r="M585" s="26" t="str">
        <f t="shared" si="9"/>
        <v xml:space="preserve"> </v>
      </c>
    </row>
    <row r="586" spans="13:13" x14ac:dyDescent="0.3">
      <c r="M586" s="26" t="str">
        <f t="shared" si="9"/>
        <v xml:space="preserve"> </v>
      </c>
    </row>
    <row r="587" spans="13:13" x14ac:dyDescent="0.3">
      <c r="M587" s="26" t="str">
        <f t="shared" si="9"/>
        <v xml:space="preserve"> </v>
      </c>
    </row>
    <row r="588" spans="13:13" x14ac:dyDescent="0.3">
      <c r="M588" s="26" t="str">
        <f t="shared" si="9"/>
        <v xml:space="preserve"> </v>
      </c>
    </row>
    <row r="589" spans="13:13" x14ac:dyDescent="0.3">
      <c r="M589" s="26" t="str">
        <f t="shared" si="9"/>
        <v xml:space="preserve"> </v>
      </c>
    </row>
    <row r="590" spans="13:13" x14ac:dyDescent="0.3">
      <c r="M590" s="26" t="str">
        <f t="shared" si="9"/>
        <v xml:space="preserve"> </v>
      </c>
    </row>
    <row r="591" spans="13:13" x14ac:dyDescent="0.3">
      <c r="M591" s="26" t="str">
        <f t="shared" si="9"/>
        <v xml:space="preserve"> </v>
      </c>
    </row>
    <row r="592" spans="13:13" x14ac:dyDescent="0.3">
      <c r="M592" s="26" t="str">
        <f t="shared" si="9"/>
        <v xml:space="preserve"> </v>
      </c>
    </row>
    <row r="593" spans="13:13" x14ac:dyDescent="0.3">
      <c r="M593" s="26" t="str">
        <f t="shared" si="9"/>
        <v xml:space="preserve"> </v>
      </c>
    </row>
    <row r="594" spans="13:13" x14ac:dyDescent="0.3">
      <c r="M594" s="26" t="str">
        <f t="shared" si="9"/>
        <v xml:space="preserve"> </v>
      </c>
    </row>
    <row r="595" spans="13:13" x14ac:dyDescent="0.3">
      <c r="M595" s="26" t="str">
        <f t="shared" si="9"/>
        <v xml:space="preserve"> </v>
      </c>
    </row>
    <row r="596" spans="13:13" x14ac:dyDescent="0.3">
      <c r="M596" s="26" t="str">
        <f t="shared" si="9"/>
        <v xml:space="preserve"> </v>
      </c>
    </row>
    <row r="597" spans="13:13" x14ac:dyDescent="0.3">
      <c r="M597" s="26" t="str">
        <f t="shared" si="9"/>
        <v xml:space="preserve"> </v>
      </c>
    </row>
    <row r="598" spans="13:13" x14ac:dyDescent="0.3">
      <c r="M598" s="26" t="str">
        <f t="shared" si="9"/>
        <v xml:space="preserve"> </v>
      </c>
    </row>
    <row r="599" spans="13:13" x14ac:dyDescent="0.3">
      <c r="M599" s="26" t="str">
        <f t="shared" si="9"/>
        <v xml:space="preserve"> </v>
      </c>
    </row>
    <row r="600" spans="13:13" x14ac:dyDescent="0.3">
      <c r="M600" s="26" t="str">
        <f t="shared" si="9"/>
        <v xml:space="preserve"> </v>
      </c>
    </row>
    <row r="601" spans="13:13" x14ac:dyDescent="0.3">
      <c r="M601" s="26" t="str">
        <f t="shared" si="9"/>
        <v xml:space="preserve"> </v>
      </c>
    </row>
    <row r="602" spans="13:13" x14ac:dyDescent="0.3">
      <c r="M602" s="26" t="str">
        <f t="shared" si="9"/>
        <v xml:space="preserve"> </v>
      </c>
    </row>
    <row r="603" spans="13:13" x14ac:dyDescent="0.3">
      <c r="M603" s="26" t="str">
        <f t="shared" si="9"/>
        <v xml:space="preserve"> </v>
      </c>
    </row>
    <row r="604" spans="13:13" x14ac:dyDescent="0.3">
      <c r="M604" s="26" t="str">
        <f t="shared" si="9"/>
        <v xml:space="preserve"> </v>
      </c>
    </row>
    <row r="605" spans="13:13" x14ac:dyDescent="0.3">
      <c r="M605" s="26" t="str">
        <f t="shared" si="9"/>
        <v xml:space="preserve"> </v>
      </c>
    </row>
    <row r="606" spans="13:13" x14ac:dyDescent="0.3">
      <c r="M606" s="26" t="str">
        <f t="shared" si="9"/>
        <v xml:space="preserve"> </v>
      </c>
    </row>
    <row r="607" spans="13:13" x14ac:dyDescent="0.3">
      <c r="M607" s="26" t="str">
        <f t="shared" si="9"/>
        <v xml:space="preserve"> </v>
      </c>
    </row>
    <row r="608" spans="13:13" x14ac:dyDescent="0.3">
      <c r="M608" s="26" t="str">
        <f t="shared" si="9"/>
        <v xml:space="preserve"> </v>
      </c>
    </row>
    <row r="609" spans="13:13" x14ac:dyDescent="0.3">
      <c r="M609" s="26" t="str">
        <f t="shared" si="9"/>
        <v xml:space="preserve"> </v>
      </c>
    </row>
    <row r="610" spans="13:13" x14ac:dyDescent="0.3">
      <c r="M610" s="26" t="str">
        <f t="shared" si="9"/>
        <v xml:space="preserve"> </v>
      </c>
    </row>
    <row r="611" spans="13:13" x14ac:dyDescent="0.3">
      <c r="M611" s="26" t="str">
        <f t="shared" si="9"/>
        <v xml:space="preserve"> </v>
      </c>
    </row>
    <row r="612" spans="13:13" x14ac:dyDescent="0.3">
      <c r="M612" s="26" t="str">
        <f t="shared" si="9"/>
        <v xml:space="preserve"> </v>
      </c>
    </row>
    <row r="613" spans="13:13" x14ac:dyDescent="0.3">
      <c r="M613" s="26" t="str">
        <f t="shared" si="9"/>
        <v xml:space="preserve"> </v>
      </c>
    </row>
    <row r="614" spans="13:13" x14ac:dyDescent="0.3">
      <c r="M614" s="26" t="str">
        <f t="shared" si="9"/>
        <v xml:space="preserve"> </v>
      </c>
    </row>
    <row r="615" spans="13:13" x14ac:dyDescent="0.3">
      <c r="M615" s="26" t="str">
        <f t="shared" si="9"/>
        <v xml:space="preserve"> </v>
      </c>
    </row>
    <row r="616" spans="13:13" x14ac:dyDescent="0.3">
      <c r="M616" s="26" t="str">
        <f t="shared" si="9"/>
        <v xml:space="preserve"> </v>
      </c>
    </row>
    <row r="617" spans="13:13" x14ac:dyDescent="0.3">
      <c r="M617" s="26" t="str">
        <f t="shared" si="9"/>
        <v xml:space="preserve"> </v>
      </c>
    </row>
    <row r="618" spans="13:13" x14ac:dyDescent="0.3">
      <c r="M618" s="26" t="str">
        <f t="shared" si="9"/>
        <v xml:space="preserve"> </v>
      </c>
    </row>
    <row r="619" spans="13:13" x14ac:dyDescent="0.3">
      <c r="M619" s="26" t="str">
        <f t="shared" si="9"/>
        <v xml:space="preserve"> </v>
      </c>
    </row>
    <row r="620" spans="13:13" x14ac:dyDescent="0.3">
      <c r="M620" s="26" t="str">
        <f t="shared" si="9"/>
        <v xml:space="preserve"> </v>
      </c>
    </row>
    <row r="621" spans="13:13" x14ac:dyDescent="0.3">
      <c r="M621" s="26" t="str">
        <f t="shared" si="9"/>
        <v xml:space="preserve"> </v>
      </c>
    </row>
    <row r="622" spans="13:13" x14ac:dyDescent="0.3">
      <c r="M622" s="26" t="str">
        <f t="shared" si="9"/>
        <v xml:space="preserve"> </v>
      </c>
    </row>
    <row r="623" spans="13:13" x14ac:dyDescent="0.3">
      <c r="M623" s="26" t="str">
        <f t="shared" si="9"/>
        <v xml:space="preserve"> </v>
      </c>
    </row>
    <row r="624" spans="13:13" x14ac:dyDescent="0.3">
      <c r="M624" s="26" t="str">
        <f t="shared" si="9"/>
        <v xml:space="preserve"> </v>
      </c>
    </row>
    <row r="625" spans="13:13" x14ac:dyDescent="0.3">
      <c r="M625" s="26" t="str">
        <f t="shared" si="9"/>
        <v xml:space="preserve"> </v>
      </c>
    </row>
    <row r="626" spans="13:13" x14ac:dyDescent="0.3">
      <c r="M626" s="26" t="str">
        <f t="shared" si="9"/>
        <v xml:space="preserve"> </v>
      </c>
    </row>
    <row r="627" spans="13:13" x14ac:dyDescent="0.3">
      <c r="M627" s="26" t="str">
        <f t="shared" si="9"/>
        <v xml:space="preserve"> </v>
      </c>
    </row>
    <row r="628" spans="13:13" x14ac:dyDescent="0.3">
      <c r="M628" s="26" t="str">
        <f t="shared" si="9"/>
        <v xml:space="preserve"> </v>
      </c>
    </row>
    <row r="629" spans="13:13" x14ac:dyDescent="0.3">
      <c r="M629" s="26" t="str">
        <f t="shared" si="9"/>
        <v xml:space="preserve"> </v>
      </c>
    </row>
    <row r="630" spans="13:13" x14ac:dyDescent="0.3">
      <c r="M630" s="26" t="str">
        <f t="shared" si="9"/>
        <v xml:space="preserve"> </v>
      </c>
    </row>
    <row r="631" spans="13:13" x14ac:dyDescent="0.3">
      <c r="M631" s="26" t="str">
        <f t="shared" si="9"/>
        <v xml:space="preserve"> </v>
      </c>
    </row>
    <row r="632" spans="13:13" x14ac:dyDescent="0.3">
      <c r="M632" s="26" t="str">
        <f t="shared" si="9"/>
        <v xml:space="preserve"> </v>
      </c>
    </row>
    <row r="633" spans="13:13" x14ac:dyDescent="0.3">
      <c r="M633" s="26" t="str">
        <f t="shared" si="9"/>
        <v xml:space="preserve"> </v>
      </c>
    </row>
    <row r="634" spans="13:13" x14ac:dyDescent="0.3">
      <c r="M634" s="26" t="str">
        <f t="shared" si="9"/>
        <v xml:space="preserve"> </v>
      </c>
    </row>
    <row r="635" spans="13:13" x14ac:dyDescent="0.3">
      <c r="M635" s="26" t="str">
        <f t="shared" si="9"/>
        <v xml:space="preserve"> </v>
      </c>
    </row>
    <row r="636" spans="13:13" x14ac:dyDescent="0.3">
      <c r="M636" s="26" t="str">
        <f t="shared" si="9"/>
        <v xml:space="preserve"> </v>
      </c>
    </row>
    <row r="637" spans="13:13" x14ac:dyDescent="0.3">
      <c r="M637" s="26" t="str">
        <f t="shared" si="9"/>
        <v xml:space="preserve"> </v>
      </c>
    </row>
    <row r="638" spans="13:13" x14ac:dyDescent="0.3">
      <c r="M638" s="26" t="str">
        <f t="shared" si="9"/>
        <v xml:space="preserve"> </v>
      </c>
    </row>
    <row r="639" spans="13:13" x14ac:dyDescent="0.3">
      <c r="M639" s="26" t="str">
        <f t="shared" si="9"/>
        <v xml:space="preserve"> </v>
      </c>
    </row>
    <row r="640" spans="13:13" x14ac:dyDescent="0.3">
      <c r="M640" s="26" t="str">
        <f t="shared" si="9"/>
        <v xml:space="preserve"> </v>
      </c>
    </row>
    <row r="641" spans="13:13" x14ac:dyDescent="0.3">
      <c r="M641" s="26" t="str">
        <f t="shared" si="9"/>
        <v xml:space="preserve"> </v>
      </c>
    </row>
    <row r="642" spans="13:13" x14ac:dyDescent="0.3">
      <c r="M642" s="26" t="str">
        <f t="shared" ref="M642:M705" si="10">_xlfn.CONCAT(L642," ",F642)</f>
        <v xml:space="preserve"> </v>
      </c>
    </row>
    <row r="643" spans="13:13" x14ac:dyDescent="0.3">
      <c r="M643" s="26" t="str">
        <f t="shared" si="10"/>
        <v xml:space="preserve"> </v>
      </c>
    </row>
    <row r="644" spans="13:13" x14ac:dyDescent="0.3">
      <c r="M644" s="26" t="str">
        <f t="shared" si="10"/>
        <v xml:space="preserve"> </v>
      </c>
    </row>
    <row r="645" spans="13:13" x14ac:dyDescent="0.3">
      <c r="M645" s="26" t="str">
        <f t="shared" si="10"/>
        <v xml:space="preserve"> </v>
      </c>
    </row>
    <row r="646" spans="13:13" x14ac:dyDescent="0.3">
      <c r="M646" s="26" t="str">
        <f t="shared" si="10"/>
        <v xml:space="preserve"> </v>
      </c>
    </row>
    <row r="647" spans="13:13" x14ac:dyDescent="0.3">
      <c r="M647" s="26" t="str">
        <f t="shared" si="10"/>
        <v xml:space="preserve"> </v>
      </c>
    </row>
    <row r="648" spans="13:13" x14ac:dyDescent="0.3">
      <c r="M648" s="26" t="str">
        <f t="shared" si="10"/>
        <v xml:space="preserve"> </v>
      </c>
    </row>
    <row r="649" spans="13:13" x14ac:dyDescent="0.3">
      <c r="M649" s="26" t="str">
        <f t="shared" si="10"/>
        <v xml:space="preserve"> </v>
      </c>
    </row>
    <row r="650" spans="13:13" x14ac:dyDescent="0.3">
      <c r="M650" s="26" t="str">
        <f t="shared" si="10"/>
        <v xml:space="preserve"> </v>
      </c>
    </row>
    <row r="651" spans="13:13" x14ac:dyDescent="0.3">
      <c r="M651" s="26" t="str">
        <f t="shared" si="10"/>
        <v xml:space="preserve"> </v>
      </c>
    </row>
    <row r="652" spans="13:13" x14ac:dyDescent="0.3">
      <c r="M652" s="26" t="str">
        <f t="shared" si="10"/>
        <v xml:space="preserve"> </v>
      </c>
    </row>
    <row r="653" spans="13:13" x14ac:dyDescent="0.3">
      <c r="M653" s="26" t="str">
        <f t="shared" si="10"/>
        <v xml:space="preserve"> </v>
      </c>
    </row>
    <row r="654" spans="13:13" x14ac:dyDescent="0.3">
      <c r="M654" s="26" t="str">
        <f t="shared" si="10"/>
        <v xml:space="preserve"> </v>
      </c>
    </row>
    <row r="655" spans="13:13" x14ac:dyDescent="0.3">
      <c r="M655" s="26" t="str">
        <f t="shared" si="10"/>
        <v xml:space="preserve"> </v>
      </c>
    </row>
    <row r="656" spans="13:13" x14ac:dyDescent="0.3">
      <c r="M656" s="26" t="str">
        <f t="shared" si="10"/>
        <v xml:space="preserve"> </v>
      </c>
    </row>
    <row r="657" spans="13:13" x14ac:dyDescent="0.3">
      <c r="M657" s="26" t="str">
        <f t="shared" si="10"/>
        <v xml:space="preserve"> </v>
      </c>
    </row>
    <row r="658" spans="13:13" x14ac:dyDescent="0.3">
      <c r="M658" s="26" t="str">
        <f t="shared" si="10"/>
        <v xml:space="preserve"> </v>
      </c>
    </row>
    <row r="659" spans="13:13" x14ac:dyDescent="0.3">
      <c r="M659" s="26" t="str">
        <f t="shared" si="10"/>
        <v xml:space="preserve"> </v>
      </c>
    </row>
    <row r="660" spans="13:13" x14ac:dyDescent="0.3">
      <c r="M660" s="26" t="str">
        <f t="shared" si="10"/>
        <v xml:space="preserve"> </v>
      </c>
    </row>
    <row r="661" spans="13:13" x14ac:dyDescent="0.3">
      <c r="M661" s="26" t="str">
        <f t="shared" si="10"/>
        <v xml:space="preserve"> </v>
      </c>
    </row>
    <row r="662" spans="13:13" x14ac:dyDescent="0.3">
      <c r="M662" s="26" t="str">
        <f t="shared" si="10"/>
        <v xml:space="preserve"> </v>
      </c>
    </row>
    <row r="663" spans="13:13" x14ac:dyDescent="0.3">
      <c r="M663" s="26" t="str">
        <f t="shared" si="10"/>
        <v xml:space="preserve"> </v>
      </c>
    </row>
    <row r="664" spans="13:13" x14ac:dyDescent="0.3">
      <c r="M664" s="26" t="str">
        <f t="shared" si="10"/>
        <v xml:space="preserve"> </v>
      </c>
    </row>
    <row r="665" spans="13:13" x14ac:dyDescent="0.3">
      <c r="M665" s="26" t="str">
        <f t="shared" si="10"/>
        <v xml:space="preserve"> </v>
      </c>
    </row>
    <row r="666" spans="13:13" x14ac:dyDescent="0.3">
      <c r="M666" s="26" t="str">
        <f t="shared" si="10"/>
        <v xml:space="preserve"> </v>
      </c>
    </row>
    <row r="667" spans="13:13" x14ac:dyDescent="0.3">
      <c r="M667" s="26" t="str">
        <f t="shared" si="10"/>
        <v xml:space="preserve"> </v>
      </c>
    </row>
    <row r="668" spans="13:13" x14ac:dyDescent="0.3">
      <c r="M668" s="26" t="str">
        <f t="shared" si="10"/>
        <v xml:space="preserve"> </v>
      </c>
    </row>
    <row r="669" spans="13:13" x14ac:dyDescent="0.3">
      <c r="M669" s="26" t="str">
        <f t="shared" si="10"/>
        <v xml:space="preserve"> </v>
      </c>
    </row>
    <row r="670" spans="13:13" x14ac:dyDescent="0.3">
      <c r="M670" s="26" t="str">
        <f t="shared" si="10"/>
        <v xml:space="preserve"> </v>
      </c>
    </row>
    <row r="671" spans="13:13" x14ac:dyDescent="0.3">
      <c r="M671" s="26" t="str">
        <f t="shared" si="10"/>
        <v xml:space="preserve"> </v>
      </c>
    </row>
    <row r="672" spans="13:13" x14ac:dyDescent="0.3">
      <c r="M672" s="26" t="str">
        <f t="shared" si="10"/>
        <v xml:space="preserve"> </v>
      </c>
    </row>
    <row r="673" spans="13:13" x14ac:dyDescent="0.3">
      <c r="M673" s="26" t="str">
        <f t="shared" si="10"/>
        <v xml:space="preserve"> </v>
      </c>
    </row>
    <row r="674" spans="13:13" x14ac:dyDescent="0.3">
      <c r="M674" s="26" t="str">
        <f t="shared" si="10"/>
        <v xml:space="preserve"> </v>
      </c>
    </row>
    <row r="675" spans="13:13" x14ac:dyDescent="0.3">
      <c r="M675" s="26" t="str">
        <f t="shared" si="10"/>
        <v xml:space="preserve"> </v>
      </c>
    </row>
    <row r="676" spans="13:13" x14ac:dyDescent="0.3">
      <c r="M676" s="26" t="str">
        <f t="shared" si="10"/>
        <v xml:space="preserve"> </v>
      </c>
    </row>
    <row r="677" spans="13:13" x14ac:dyDescent="0.3">
      <c r="M677" s="26" t="str">
        <f t="shared" si="10"/>
        <v xml:space="preserve"> </v>
      </c>
    </row>
    <row r="678" spans="13:13" x14ac:dyDescent="0.3">
      <c r="M678" s="26" t="str">
        <f t="shared" si="10"/>
        <v xml:space="preserve"> </v>
      </c>
    </row>
    <row r="679" spans="13:13" x14ac:dyDescent="0.3">
      <c r="M679" s="26" t="str">
        <f t="shared" si="10"/>
        <v xml:space="preserve"> </v>
      </c>
    </row>
    <row r="680" spans="13:13" x14ac:dyDescent="0.3">
      <c r="M680" s="26" t="str">
        <f t="shared" si="10"/>
        <v xml:space="preserve"> </v>
      </c>
    </row>
    <row r="681" spans="13:13" x14ac:dyDescent="0.3">
      <c r="M681" s="26" t="str">
        <f t="shared" si="10"/>
        <v xml:space="preserve"> </v>
      </c>
    </row>
    <row r="682" spans="13:13" x14ac:dyDescent="0.3">
      <c r="M682" s="26" t="str">
        <f t="shared" si="10"/>
        <v xml:space="preserve"> </v>
      </c>
    </row>
    <row r="683" spans="13:13" x14ac:dyDescent="0.3">
      <c r="M683" s="26" t="str">
        <f t="shared" si="10"/>
        <v xml:space="preserve"> </v>
      </c>
    </row>
    <row r="684" spans="13:13" x14ac:dyDescent="0.3">
      <c r="M684" s="26" t="str">
        <f t="shared" si="10"/>
        <v xml:space="preserve"> </v>
      </c>
    </row>
    <row r="685" spans="13:13" x14ac:dyDescent="0.3">
      <c r="M685" s="26" t="str">
        <f t="shared" si="10"/>
        <v xml:space="preserve"> </v>
      </c>
    </row>
    <row r="686" spans="13:13" x14ac:dyDescent="0.3">
      <c r="M686" s="26" t="str">
        <f t="shared" si="10"/>
        <v xml:space="preserve"> </v>
      </c>
    </row>
    <row r="687" spans="13:13" x14ac:dyDescent="0.3">
      <c r="M687" s="26" t="str">
        <f t="shared" si="10"/>
        <v xml:space="preserve"> </v>
      </c>
    </row>
    <row r="688" spans="13:13" x14ac:dyDescent="0.3">
      <c r="M688" s="26" t="str">
        <f t="shared" si="10"/>
        <v xml:space="preserve"> </v>
      </c>
    </row>
    <row r="689" spans="13:13" x14ac:dyDescent="0.3">
      <c r="M689" s="26" t="str">
        <f t="shared" si="10"/>
        <v xml:space="preserve"> </v>
      </c>
    </row>
    <row r="690" spans="13:13" x14ac:dyDescent="0.3">
      <c r="M690" s="26" t="str">
        <f t="shared" si="10"/>
        <v xml:space="preserve"> </v>
      </c>
    </row>
    <row r="691" spans="13:13" x14ac:dyDescent="0.3">
      <c r="M691" s="26" t="str">
        <f t="shared" si="10"/>
        <v xml:space="preserve"> </v>
      </c>
    </row>
    <row r="692" spans="13:13" x14ac:dyDescent="0.3">
      <c r="M692" s="26" t="str">
        <f t="shared" si="10"/>
        <v xml:space="preserve"> </v>
      </c>
    </row>
    <row r="693" spans="13:13" x14ac:dyDescent="0.3">
      <c r="M693" s="26" t="str">
        <f t="shared" si="10"/>
        <v xml:space="preserve"> </v>
      </c>
    </row>
    <row r="694" spans="13:13" x14ac:dyDescent="0.3">
      <c r="M694" s="26" t="str">
        <f t="shared" si="10"/>
        <v xml:space="preserve"> </v>
      </c>
    </row>
    <row r="695" spans="13:13" x14ac:dyDescent="0.3">
      <c r="M695" s="26" t="str">
        <f t="shared" si="10"/>
        <v xml:space="preserve"> </v>
      </c>
    </row>
    <row r="696" spans="13:13" x14ac:dyDescent="0.3">
      <c r="M696" s="26" t="str">
        <f t="shared" si="10"/>
        <v xml:space="preserve"> </v>
      </c>
    </row>
    <row r="697" spans="13:13" x14ac:dyDescent="0.3">
      <c r="M697" s="26" t="str">
        <f t="shared" si="10"/>
        <v xml:space="preserve"> </v>
      </c>
    </row>
    <row r="698" spans="13:13" x14ac:dyDescent="0.3">
      <c r="M698" s="26" t="str">
        <f t="shared" si="10"/>
        <v xml:space="preserve"> </v>
      </c>
    </row>
    <row r="699" spans="13:13" x14ac:dyDescent="0.3">
      <c r="M699" s="26" t="str">
        <f t="shared" si="10"/>
        <v xml:space="preserve"> </v>
      </c>
    </row>
    <row r="700" spans="13:13" x14ac:dyDescent="0.3">
      <c r="M700" s="26" t="str">
        <f t="shared" si="10"/>
        <v xml:space="preserve"> </v>
      </c>
    </row>
    <row r="701" spans="13:13" x14ac:dyDescent="0.3">
      <c r="M701" s="26" t="str">
        <f t="shared" si="10"/>
        <v xml:space="preserve"> </v>
      </c>
    </row>
    <row r="702" spans="13:13" x14ac:dyDescent="0.3">
      <c r="M702" s="26" t="str">
        <f t="shared" si="10"/>
        <v xml:space="preserve"> </v>
      </c>
    </row>
    <row r="703" spans="13:13" x14ac:dyDescent="0.3">
      <c r="M703" s="26" t="str">
        <f t="shared" si="10"/>
        <v xml:space="preserve"> </v>
      </c>
    </row>
    <row r="704" spans="13:13" x14ac:dyDescent="0.3">
      <c r="M704" s="26" t="str">
        <f t="shared" si="10"/>
        <v xml:space="preserve"> </v>
      </c>
    </row>
    <row r="705" spans="13:13" x14ac:dyDescent="0.3">
      <c r="M705" s="26" t="str">
        <f t="shared" si="10"/>
        <v xml:space="preserve"> </v>
      </c>
    </row>
    <row r="706" spans="13:13" x14ac:dyDescent="0.3">
      <c r="M706" s="26" t="str">
        <f t="shared" ref="M706:M769" si="11">_xlfn.CONCAT(L706," ",F706)</f>
        <v xml:space="preserve"> </v>
      </c>
    </row>
    <row r="707" spans="13:13" x14ac:dyDescent="0.3">
      <c r="M707" s="26" t="str">
        <f t="shared" si="11"/>
        <v xml:space="preserve"> </v>
      </c>
    </row>
    <row r="708" spans="13:13" x14ac:dyDescent="0.3">
      <c r="M708" s="26" t="str">
        <f t="shared" si="11"/>
        <v xml:space="preserve"> </v>
      </c>
    </row>
    <row r="709" spans="13:13" x14ac:dyDescent="0.3">
      <c r="M709" s="26" t="str">
        <f t="shared" si="11"/>
        <v xml:space="preserve"> </v>
      </c>
    </row>
    <row r="710" spans="13:13" x14ac:dyDescent="0.3">
      <c r="M710" s="26" t="str">
        <f t="shared" si="11"/>
        <v xml:space="preserve"> </v>
      </c>
    </row>
    <row r="711" spans="13:13" x14ac:dyDescent="0.3">
      <c r="M711" s="26" t="str">
        <f t="shared" si="11"/>
        <v xml:space="preserve"> </v>
      </c>
    </row>
    <row r="712" spans="13:13" x14ac:dyDescent="0.3">
      <c r="M712" s="26" t="str">
        <f t="shared" si="11"/>
        <v xml:space="preserve"> </v>
      </c>
    </row>
    <row r="713" spans="13:13" x14ac:dyDescent="0.3">
      <c r="M713" s="26" t="str">
        <f t="shared" si="11"/>
        <v xml:space="preserve"> </v>
      </c>
    </row>
    <row r="714" spans="13:13" x14ac:dyDescent="0.3">
      <c r="M714" s="26" t="str">
        <f t="shared" si="11"/>
        <v xml:space="preserve"> </v>
      </c>
    </row>
    <row r="715" spans="13:13" x14ac:dyDescent="0.3">
      <c r="M715" s="26" t="str">
        <f t="shared" si="11"/>
        <v xml:space="preserve"> </v>
      </c>
    </row>
    <row r="716" spans="13:13" x14ac:dyDescent="0.3">
      <c r="M716" s="26" t="str">
        <f t="shared" si="11"/>
        <v xml:space="preserve"> </v>
      </c>
    </row>
    <row r="717" spans="13:13" x14ac:dyDescent="0.3">
      <c r="M717" s="26" t="str">
        <f t="shared" si="11"/>
        <v xml:space="preserve"> </v>
      </c>
    </row>
    <row r="718" spans="13:13" x14ac:dyDescent="0.3">
      <c r="M718" s="26" t="str">
        <f t="shared" si="11"/>
        <v xml:space="preserve"> </v>
      </c>
    </row>
    <row r="719" spans="13:13" x14ac:dyDescent="0.3">
      <c r="M719" s="26" t="str">
        <f t="shared" si="11"/>
        <v xml:space="preserve"> </v>
      </c>
    </row>
    <row r="720" spans="13:13" x14ac:dyDescent="0.3">
      <c r="M720" s="26" t="str">
        <f t="shared" si="11"/>
        <v xml:space="preserve"> </v>
      </c>
    </row>
    <row r="721" spans="13:13" x14ac:dyDescent="0.3">
      <c r="M721" s="26" t="str">
        <f t="shared" si="11"/>
        <v xml:space="preserve"> </v>
      </c>
    </row>
    <row r="722" spans="13:13" x14ac:dyDescent="0.3">
      <c r="M722" s="26" t="str">
        <f t="shared" si="11"/>
        <v xml:space="preserve"> </v>
      </c>
    </row>
    <row r="723" spans="13:13" x14ac:dyDescent="0.3">
      <c r="M723" s="26" t="str">
        <f t="shared" si="11"/>
        <v xml:space="preserve"> </v>
      </c>
    </row>
    <row r="724" spans="13:13" x14ac:dyDescent="0.3">
      <c r="M724" s="26" t="str">
        <f t="shared" si="11"/>
        <v xml:space="preserve"> </v>
      </c>
    </row>
    <row r="725" spans="13:13" x14ac:dyDescent="0.3">
      <c r="M725" s="26" t="str">
        <f t="shared" si="11"/>
        <v xml:space="preserve"> </v>
      </c>
    </row>
    <row r="726" spans="13:13" x14ac:dyDescent="0.3">
      <c r="M726" s="26" t="str">
        <f t="shared" si="11"/>
        <v xml:space="preserve"> </v>
      </c>
    </row>
    <row r="727" spans="13:13" x14ac:dyDescent="0.3">
      <c r="M727" s="26" t="str">
        <f t="shared" si="11"/>
        <v xml:space="preserve"> </v>
      </c>
    </row>
    <row r="728" spans="13:13" x14ac:dyDescent="0.3">
      <c r="M728" s="26" t="str">
        <f t="shared" si="11"/>
        <v xml:space="preserve"> </v>
      </c>
    </row>
    <row r="729" spans="13:13" x14ac:dyDescent="0.3">
      <c r="M729" s="26" t="str">
        <f t="shared" si="11"/>
        <v xml:space="preserve"> </v>
      </c>
    </row>
    <row r="730" spans="13:13" x14ac:dyDescent="0.3">
      <c r="M730" s="26" t="str">
        <f t="shared" si="11"/>
        <v xml:space="preserve"> </v>
      </c>
    </row>
    <row r="731" spans="13:13" x14ac:dyDescent="0.3">
      <c r="M731" s="26" t="str">
        <f t="shared" si="11"/>
        <v xml:space="preserve"> </v>
      </c>
    </row>
    <row r="732" spans="13:13" x14ac:dyDescent="0.3">
      <c r="M732" s="26" t="str">
        <f t="shared" si="11"/>
        <v xml:space="preserve"> </v>
      </c>
    </row>
    <row r="733" spans="13:13" x14ac:dyDescent="0.3">
      <c r="M733" s="26" t="str">
        <f t="shared" si="11"/>
        <v xml:space="preserve"> </v>
      </c>
    </row>
    <row r="734" spans="13:13" x14ac:dyDescent="0.3">
      <c r="M734" s="26" t="str">
        <f t="shared" si="11"/>
        <v xml:space="preserve"> </v>
      </c>
    </row>
    <row r="735" spans="13:13" x14ac:dyDescent="0.3">
      <c r="M735" s="26" t="str">
        <f t="shared" si="11"/>
        <v xml:space="preserve"> </v>
      </c>
    </row>
    <row r="736" spans="13:13" x14ac:dyDescent="0.3">
      <c r="M736" s="26" t="str">
        <f t="shared" si="11"/>
        <v xml:space="preserve"> </v>
      </c>
    </row>
    <row r="737" spans="13:13" x14ac:dyDescent="0.3">
      <c r="M737" s="26" t="str">
        <f t="shared" si="11"/>
        <v xml:space="preserve"> </v>
      </c>
    </row>
    <row r="738" spans="13:13" x14ac:dyDescent="0.3">
      <c r="M738" s="26" t="str">
        <f t="shared" si="11"/>
        <v xml:space="preserve"> </v>
      </c>
    </row>
    <row r="739" spans="13:13" x14ac:dyDescent="0.3">
      <c r="M739" s="26" t="str">
        <f t="shared" si="11"/>
        <v xml:space="preserve"> </v>
      </c>
    </row>
    <row r="740" spans="13:13" x14ac:dyDescent="0.3">
      <c r="M740" s="26" t="str">
        <f t="shared" si="11"/>
        <v xml:space="preserve"> </v>
      </c>
    </row>
    <row r="741" spans="13:13" x14ac:dyDescent="0.3">
      <c r="M741" s="26" t="str">
        <f t="shared" si="11"/>
        <v xml:space="preserve"> </v>
      </c>
    </row>
    <row r="742" spans="13:13" x14ac:dyDescent="0.3">
      <c r="M742" s="26" t="str">
        <f t="shared" si="11"/>
        <v xml:space="preserve"> </v>
      </c>
    </row>
    <row r="743" spans="13:13" x14ac:dyDescent="0.3">
      <c r="M743" s="26" t="str">
        <f t="shared" si="11"/>
        <v xml:space="preserve"> </v>
      </c>
    </row>
    <row r="744" spans="13:13" x14ac:dyDescent="0.3">
      <c r="M744" s="26" t="str">
        <f t="shared" si="11"/>
        <v xml:space="preserve"> </v>
      </c>
    </row>
    <row r="745" spans="13:13" x14ac:dyDescent="0.3">
      <c r="M745" s="26" t="str">
        <f t="shared" si="11"/>
        <v xml:space="preserve"> </v>
      </c>
    </row>
    <row r="746" spans="13:13" x14ac:dyDescent="0.3">
      <c r="M746" s="26" t="str">
        <f t="shared" si="11"/>
        <v xml:space="preserve"> </v>
      </c>
    </row>
    <row r="747" spans="13:13" x14ac:dyDescent="0.3">
      <c r="M747" s="26" t="str">
        <f t="shared" si="11"/>
        <v xml:space="preserve"> </v>
      </c>
    </row>
    <row r="748" spans="13:13" x14ac:dyDescent="0.3">
      <c r="M748" s="26" t="str">
        <f t="shared" si="11"/>
        <v xml:space="preserve"> </v>
      </c>
    </row>
    <row r="749" spans="13:13" x14ac:dyDescent="0.3">
      <c r="M749" s="26" t="str">
        <f t="shared" si="11"/>
        <v xml:space="preserve"> </v>
      </c>
    </row>
    <row r="750" spans="13:13" x14ac:dyDescent="0.3">
      <c r="M750" s="26" t="str">
        <f t="shared" si="11"/>
        <v xml:space="preserve"> </v>
      </c>
    </row>
    <row r="751" spans="13:13" x14ac:dyDescent="0.3">
      <c r="M751" s="26" t="str">
        <f t="shared" si="11"/>
        <v xml:space="preserve"> </v>
      </c>
    </row>
    <row r="752" spans="13:13" x14ac:dyDescent="0.3">
      <c r="M752" s="26" t="str">
        <f t="shared" si="11"/>
        <v xml:space="preserve"> </v>
      </c>
    </row>
    <row r="753" spans="13:13" x14ac:dyDescent="0.3">
      <c r="M753" s="26" t="str">
        <f t="shared" si="11"/>
        <v xml:space="preserve"> </v>
      </c>
    </row>
    <row r="754" spans="13:13" x14ac:dyDescent="0.3">
      <c r="M754" s="26" t="str">
        <f t="shared" si="11"/>
        <v xml:space="preserve"> </v>
      </c>
    </row>
    <row r="755" spans="13:13" x14ac:dyDescent="0.3">
      <c r="M755" s="26" t="str">
        <f t="shared" si="11"/>
        <v xml:space="preserve"> </v>
      </c>
    </row>
    <row r="756" spans="13:13" x14ac:dyDescent="0.3">
      <c r="M756" s="26" t="str">
        <f t="shared" si="11"/>
        <v xml:space="preserve"> </v>
      </c>
    </row>
    <row r="757" spans="13:13" x14ac:dyDescent="0.3">
      <c r="M757" s="26" t="str">
        <f t="shared" si="11"/>
        <v xml:space="preserve"> </v>
      </c>
    </row>
    <row r="758" spans="13:13" x14ac:dyDescent="0.3">
      <c r="M758" s="26" t="str">
        <f t="shared" si="11"/>
        <v xml:space="preserve"> </v>
      </c>
    </row>
    <row r="759" spans="13:13" x14ac:dyDescent="0.3">
      <c r="M759" s="26" t="str">
        <f t="shared" si="11"/>
        <v xml:space="preserve"> </v>
      </c>
    </row>
    <row r="760" spans="13:13" x14ac:dyDescent="0.3">
      <c r="M760" s="26" t="str">
        <f t="shared" si="11"/>
        <v xml:space="preserve"> </v>
      </c>
    </row>
    <row r="761" spans="13:13" x14ac:dyDescent="0.3">
      <c r="M761" s="26" t="str">
        <f t="shared" si="11"/>
        <v xml:space="preserve"> </v>
      </c>
    </row>
    <row r="762" spans="13:13" x14ac:dyDescent="0.3">
      <c r="M762" s="26" t="str">
        <f t="shared" si="11"/>
        <v xml:space="preserve"> </v>
      </c>
    </row>
    <row r="763" spans="13:13" x14ac:dyDescent="0.3">
      <c r="M763" s="26" t="str">
        <f t="shared" si="11"/>
        <v xml:space="preserve"> </v>
      </c>
    </row>
    <row r="764" spans="13:13" x14ac:dyDescent="0.3">
      <c r="M764" s="26" t="str">
        <f t="shared" si="11"/>
        <v xml:space="preserve"> </v>
      </c>
    </row>
    <row r="765" spans="13:13" x14ac:dyDescent="0.3">
      <c r="M765" s="26" t="str">
        <f t="shared" si="11"/>
        <v xml:space="preserve"> </v>
      </c>
    </row>
    <row r="766" spans="13:13" x14ac:dyDescent="0.3">
      <c r="M766" s="26" t="str">
        <f t="shared" si="11"/>
        <v xml:space="preserve"> </v>
      </c>
    </row>
    <row r="767" spans="13:13" x14ac:dyDescent="0.3">
      <c r="M767" s="26" t="str">
        <f t="shared" si="11"/>
        <v xml:space="preserve"> </v>
      </c>
    </row>
    <row r="768" spans="13:13" x14ac:dyDescent="0.3">
      <c r="M768" s="26" t="str">
        <f t="shared" si="11"/>
        <v xml:space="preserve"> </v>
      </c>
    </row>
    <row r="769" spans="13:13" x14ac:dyDescent="0.3">
      <c r="M769" s="26" t="str">
        <f t="shared" si="11"/>
        <v xml:space="preserve"> </v>
      </c>
    </row>
    <row r="770" spans="13:13" x14ac:dyDescent="0.3">
      <c r="M770" s="26" t="str">
        <f t="shared" ref="M770:M833" si="12">_xlfn.CONCAT(L770," ",F770)</f>
        <v xml:space="preserve"> </v>
      </c>
    </row>
    <row r="771" spans="13:13" x14ac:dyDescent="0.3">
      <c r="M771" s="26" t="str">
        <f t="shared" si="12"/>
        <v xml:space="preserve"> </v>
      </c>
    </row>
    <row r="772" spans="13:13" x14ac:dyDescent="0.3">
      <c r="M772" s="26" t="str">
        <f t="shared" si="12"/>
        <v xml:space="preserve"> </v>
      </c>
    </row>
    <row r="773" spans="13:13" x14ac:dyDescent="0.3">
      <c r="M773" s="26" t="str">
        <f t="shared" si="12"/>
        <v xml:space="preserve"> </v>
      </c>
    </row>
    <row r="774" spans="13:13" x14ac:dyDescent="0.3">
      <c r="M774" s="26" t="str">
        <f t="shared" si="12"/>
        <v xml:space="preserve"> </v>
      </c>
    </row>
    <row r="775" spans="13:13" x14ac:dyDescent="0.3">
      <c r="M775" s="26" t="str">
        <f t="shared" si="12"/>
        <v xml:space="preserve"> </v>
      </c>
    </row>
    <row r="776" spans="13:13" x14ac:dyDescent="0.3">
      <c r="M776" s="26" t="str">
        <f t="shared" si="12"/>
        <v xml:space="preserve"> </v>
      </c>
    </row>
    <row r="777" spans="13:13" x14ac:dyDescent="0.3">
      <c r="M777" s="26" t="str">
        <f t="shared" si="12"/>
        <v xml:space="preserve"> </v>
      </c>
    </row>
    <row r="778" spans="13:13" x14ac:dyDescent="0.3">
      <c r="M778" s="26" t="str">
        <f t="shared" si="12"/>
        <v xml:space="preserve"> </v>
      </c>
    </row>
    <row r="779" spans="13:13" x14ac:dyDescent="0.3">
      <c r="M779" s="26" t="str">
        <f t="shared" si="12"/>
        <v xml:space="preserve"> </v>
      </c>
    </row>
    <row r="780" spans="13:13" x14ac:dyDescent="0.3">
      <c r="M780" s="26" t="str">
        <f t="shared" si="12"/>
        <v xml:space="preserve"> </v>
      </c>
    </row>
    <row r="781" spans="13:13" x14ac:dyDescent="0.3">
      <c r="M781" s="26" t="str">
        <f t="shared" si="12"/>
        <v xml:space="preserve"> </v>
      </c>
    </row>
    <row r="782" spans="13:13" x14ac:dyDescent="0.3">
      <c r="M782" s="26" t="str">
        <f t="shared" si="12"/>
        <v xml:space="preserve"> </v>
      </c>
    </row>
    <row r="783" spans="13:13" x14ac:dyDescent="0.3">
      <c r="M783" s="26" t="str">
        <f t="shared" si="12"/>
        <v xml:space="preserve"> </v>
      </c>
    </row>
    <row r="784" spans="13:13" x14ac:dyDescent="0.3">
      <c r="M784" s="26" t="str">
        <f t="shared" si="12"/>
        <v xml:space="preserve"> </v>
      </c>
    </row>
    <row r="785" spans="13:13" x14ac:dyDescent="0.3">
      <c r="M785" s="26" t="str">
        <f t="shared" si="12"/>
        <v xml:space="preserve"> </v>
      </c>
    </row>
    <row r="786" spans="13:13" x14ac:dyDescent="0.3">
      <c r="M786" s="26" t="str">
        <f t="shared" si="12"/>
        <v xml:space="preserve"> </v>
      </c>
    </row>
    <row r="787" spans="13:13" x14ac:dyDescent="0.3">
      <c r="M787" s="26" t="str">
        <f t="shared" si="12"/>
        <v xml:space="preserve"> </v>
      </c>
    </row>
    <row r="788" spans="13:13" x14ac:dyDescent="0.3">
      <c r="M788" s="26" t="str">
        <f t="shared" si="12"/>
        <v xml:space="preserve"> </v>
      </c>
    </row>
    <row r="789" spans="13:13" x14ac:dyDescent="0.3">
      <c r="M789" s="26" t="str">
        <f t="shared" si="12"/>
        <v xml:space="preserve"> </v>
      </c>
    </row>
    <row r="790" spans="13:13" x14ac:dyDescent="0.3">
      <c r="M790" s="26" t="str">
        <f t="shared" si="12"/>
        <v xml:space="preserve"> </v>
      </c>
    </row>
    <row r="791" spans="13:13" x14ac:dyDescent="0.3">
      <c r="M791" s="26" t="str">
        <f t="shared" si="12"/>
        <v xml:space="preserve"> </v>
      </c>
    </row>
    <row r="792" spans="13:13" x14ac:dyDescent="0.3">
      <c r="M792" s="26" t="str">
        <f t="shared" si="12"/>
        <v xml:space="preserve"> </v>
      </c>
    </row>
    <row r="793" spans="13:13" x14ac:dyDescent="0.3">
      <c r="M793" s="26" t="str">
        <f t="shared" si="12"/>
        <v xml:space="preserve"> </v>
      </c>
    </row>
    <row r="794" spans="13:13" x14ac:dyDescent="0.3">
      <c r="M794" s="26" t="str">
        <f t="shared" si="12"/>
        <v xml:space="preserve"> </v>
      </c>
    </row>
    <row r="795" spans="13:13" x14ac:dyDescent="0.3">
      <c r="M795" s="26" t="str">
        <f t="shared" si="12"/>
        <v xml:space="preserve"> </v>
      </c>
    </row>
    <row r="796" spans="13:13" x14ac:dyDescent="0.3">
      <c r="M796" s="26" t="str">
        <f t="shared" si="12"/>
        <v xml:space="preserve"> </v>
      </c>
    </row>
    <row r="797" spans="13:13" x14ac:dyDescent="0.3">
      <c r="M797" s="26" t="str">
        <f t="shared" si="12"/>
        <v xml:space="preserve"> </v>
      </c>
    </row>
    <row r="798" spans="13:13" x14ac:dyDescent="0.3">
      <c r="M798" s="26" t="str">
        <f t="shared" si="12"/>
        <v xml:space="preserve"> </v>
      </c>
    </row>
    <row r="799" spans="13:13" x14ac:dyDescent="0.3">
      <c r="M799" s="26" t="str">
        <f t="shared" si="12"/>
        <v xml:space="preserve"> </v>
      </c>
    </row>
    <row r="800" spans="13:13" x14ac:dyDescent="0.3">
      <c r="M800" s="26" t="str">
        <f t="shared" si="12"/>
        <v xml:space="preserve"> </v>
      </c>
    </row>
    <row r="801" spans="13:13" x14ac:dyDescent="0.3">
      <c r="M801" s="26" t="str">
        <f t="shared" si="12"/>
        <v xml:space="preserve"> </v>
      </c>
    </row>
    <row r="802" spans="13:13" x14ac:dyDescent="0.3">
      <c r="M802" s="26" t="str">
        <f t="shared" si="12"/>
        <v xml:space="preserve"> </v>
      </c>
    </row>
    <row r="803" spans="13:13" x14ac:dyDescent="0.3">
      <c r="M803" s="26" t="str">
        <f t="shared" si="12"/>
        <v xml:space="preserve"> </v>
      </c>
    </row>
    <row r="804" spans="13:13" x14ac:dyDescent="0.3">
      <c r="M804" s="26" t="str">
        <f t="shared" si="12"/>
        <v xml:space="preserve"> </v>
      </c>
    </row>
    <row r="805" spans="13:13" x14ac:dyDescent="0.3">
      <c r="M805" s="26" t="str">
        <f t="shared" si="12"/>
        <v xml:space="preserve"> </v>
      </c>
    </row>
    <row r="806" spans="13:13" x14ac:dyDescent="0.3">
      <c r="M806" s="26" t="str">
        <f t="shared" si="12"/>
        <v xml:space="preserve"> </v>
      </c>
    </row>
    <row r="807" spans="13:13" x14ac:dyDescent="0.3">
      <c r="M807" s="26" t="str">
        <f t="shared" si="12"/>
        <v xml:space="preserve"> </v>
      </c>
    </row>
    <row r="808" spans="13:13" x14ac:dyDescent="0.3">
      <c r="M808" s="26" t="str">
        <f t="shared" si="12"/>
        <v xml:space="preserve"> </v>
      </c>
    </row>
    <row r="809" spans="13:13" x14ac:dyDescent="0.3">
      <c r="M809" s="26" t="str">
        <f t="shared" si="12"/>
        <v xml:space="preserve"> </v>
      </c>
    </row>
    <row r="810" spans="13:13" x14ac:dyDescent="0.3">
      <c r="M810" s="26" t="str">
        <f t="shared" si="12"/>
        <v xml:space="preserve"> </v>
      </c>
    </row>
    <row r="811" spans="13:13" x14ac:dyDescent="0.3">
      <c r="M811" s="26" t="str">
        <f t="shared" si="12"/>
        <v xml:space="preserve"> </v>
      </c>
    </row>
    <row r="812" spans="13:13" x14ac:dyDescent="0.3">
      <c r="M812" s="26" t="str">
        <f t="shared" si="12"/>
        <v xml:space="preserve"> </v>
      </c>
    </row>
    <row r="813" spans="13:13" x14ac:dyDescent="0.3">
      <c r="M813" s="26" t="str">
        <f t="shared" si="12"/>
        <v xml:space="preserve"> </v>
      </c>
    </row>
    <row r="814" spans="13:13" x14ac:dyDescent="0.3">
      <c r="M814" s="26" t="str">
        <f t="shared" si="12"/>
        <v xml:space="preserve"> </v>
      </c>
    </row>
    <row r="815" spans="13:13" x14ac:dyDescent="0.3">
      <c r="M815" s="26" t="str">
        <f t="shared" si="12"/>
        <v xml:space="preserve"> </v>
      </c>
    </row>
    <row r="816" spans="13:13" x14ac:dyDescent="0.3">
      <c r="M816" s="26" t="str">
        <f t="shared" si="12"/>
        <v xml:space="preserve"> </v>
      </c>
    </row>
    <row r="817" spans="13:13" x14ac:dyDescent="0.3">
      <c r="M817" s="26" t="str">
        <f t="shared" si="12"/>
        <v xml:space="preserve"> </v>
      </c>
    </row>
    <row r="818" spans="13:13" x14ac:dyDescent="0.3">
      <c r="M818" s="26" t="str">
        <f t="shared" si="12"/>
        <v xml:space="preserve"> </v>
      </c>
    </row>
    <row r="819" spans="13:13" x14ac:dyDescent="0.3">
      <c r="M819" s="26" t="str">
        <f t="shared" si="12"/>
        <v xml:space="preserve"> </v>
      </c>
    </row>
    <row r="820" spans="13:13" x14ac:dyDescent="0.3">
      <c r="M820" s="26" t="str">
        <f t="shared" si="12"/>
        <v xml:space="preserve"> </v>
      </c>
    </row>
    <row r="821" spans="13:13" x14ac:dyDescent="0.3">
      <c r="M821" s="26" t="str">
        <f t="shared" si="12"/>
        <v xml:space="preserve"> </v>
      </c>
    </row>
    <row r="822" spans="13:13" x14ac:dyDescent="0.3">
      <c r="M822" s="26" t="str">
        <f t="shared" si="12"/>
        <v xml:space="preserve"> </v>
      </c>
    </row>
    <row r="823" spans="13:13" x14ac:dyDescent="0.3">
      <c r="M823" s="26" t="str">
        <f t="shared" si="12"/>
        <v xml:space="preserve"> </v>
      </c>
    </row>
    <row r="824" spans="13:13" x14ac:dyDescent="0.3">
      <c r="M824" s="26" t="str">
        <f t="shared" si="12"/>
        <v xml:space="preserve"> </v>
      </c>
    </row>
    <row r="825" spans="13:13" x14ac:dyDescent="0.3">
      <c r="M825" s="26" t="str">
        <f t="shared" si="12"/>
        <v xml:space="preserve"> </v>
      </c>
    </row>
    <row r="826" spans="13:13" x14ac:dyDescent="0.3">
      <c r="M826" s="26" t="str">
        <f t="shared" si="12"/>
        <v xml:space="preserve"> </v>
      </c>
    </row>
    <row r="827" spans="13:13" x14ac:dyDescent="0.3">
      <c r="M827" s="26" t="str">
        <f t="shared" si="12"/>
        <v xml:space="preserve"> </v>
      </c>
    </row>
    <row r="828" spans="13:13" x14ac:dyDescent="0.3">
      <c r="M828" s="26" t="str">
        <f t="shared" si="12"/>
        <v xml:space="preserve"> </v>
      </c>
    </row>
    <row r="829" spans="13:13" x14ac:dyDescent="0.3">
      <c r="M829" s="26" t="str">
        <f t="shared" si="12"/>
        <v xml:space="preserve"> </v>
      </c>
    </row>
    <row r="830" spans="13:13" x14ac:dyDescent="0.3">
      <c r="M830" s="26" t="str">
        <f t="shared" si="12"/>
        <v xml:space="preserve"> </v>
      </c>
    </row>
    <row r="831" spans="13:13" x14ac:dyDescent="0.3">
      <c r="M831" s="26" t="str">
        <f t="shared" si="12"/>
        <v xml:space="preserve"> </v>
      </c>
    </row>
    <row r="832" spans="13:13" x14ac:dyDescent="0.3">
      <c r="M832" s="26" t="str">
        <f t="shared" si="12"/>
        <v xml:space="preserve"> </v>
      </c>
    </row>
    <row r="833" spans="13:13" x14ac:dyDescent="0.3">
      <c r="M833" s="26" t="str">
        <f t="shared" si="12"/>
        <v xml:space="preserve"> </v>
      </c>
    </row>
    <row r="834" spans="13:13" x14ac:dyDescent="0.3">
      <c r="M834" s="26" t="str">
        <f t="shared" ref="M834:M897" si="13">_xlfn.CONCAT(L834," ",F834)</f>
        <v xml:space="preserve"> </v>
      </c>
    </row>
    <row r="835" spans="13:13" x14ac:dyDescent="0.3">
      <c r="M835" s="26" t="str">
        <f t="shared" si="13"/>
        <v xml:space="preserve"> </v>
      </c>
    </row>
    <row r="836" spans="13:13" x14ac:dyDescent="0.3">
      <c r="M836" s="26" t="str">
        <f t="shared" si="13"/>
        <v xml:space="preserve"> </v>
      </c>
    </row>
    <row r="837" spans="13:13" x14ac:dyDescent="0.3">
      <c r="M837" s="26" t="str">
        <f t="shared" si="13"/>
        <v xml:space="preserve"> </v>
      </c>
    </row>
    <row r="838" spans="13:13" x14ac:dyDescent="0.3">
      <c r="M838" s="26" t="str">
        <f t="shared" si="13"/>
        <v xml:space="preserve"> </v>
      </c>
    </row>
    <row r="839" spans="13:13" x14ac:dyDescent="0.3">
      <c r="M839" s="26" t="str">
        <f t="shared" si="13"/>
        <v xml:space="preserve"> </v>
      </c>
    </row>
    <row r="840" spans="13:13" x14ac:dyDescent="0.3">
      <c r="M840" s="26" t="str">
        <f t="shared" si="13"/>
        <v xml:space="preserve"> </v>
      </c>
    </row>
    <row r="841" spans="13:13" x14ac:dyDescent="0.3">
      <c r="M841" s="26" t="str">
        <f t="shared" si="13"/>
        <v xml:space="preserve"> </v>
      </c>
    </row>
    <row r="842" spans="13:13" x14ac:dyDescent="0.3">
      <c r="M842" s="26" t="str">
        <f t="shared" si="13"/>
        <v xml:space="preserve"> </v>
      </c>
    </row>
    <row r="843" spans="13:13" x14ac:dyDescent="0.3">
      <c r="M843" s="26" t="str">
        <f t="shared" si="13"/>
        <v xml:space="preserve"> </v>
      </c>
    </row>
    <row r="844" spans="13:13" x14ac:dyDescent="0.3">
      <c r="M844" s="26" t="str">
        <f t="shared" si="13"/>
        <v xml:space="preserve"> </v>
      </c>
    </row>
    <row r="845" spans="13:13" x14ac:dyDescent="0.3">
      <c r="M845" s="26" t="str">
        <f t="shared" si="13"/>
        <v xml:space="preserve"> </v>
      </c>
    </row>
    <row r="846" spans="13:13" x14ac:dyDescent="0.3">
      <c r="M846" s="26" t="str">
        <f t="shared" si="13"/>
        <v xml:space="preserve"> </v>
      </c>
    </row>
    <row r="847" spans="13:13" x14ac:dyDescent="0.3">
      <c r="M847" s="26" t="str">
        <f t="shared" si="13"/>
        <v xml:space="preserve"> </v>
      </c>
    </row>
    <row r="848" spans="13:13" x14ac:dyDescent="0.3">
      <c r="M848" s="26" t="str">
        <f t="shared" si="13"/>
        <v xml:space="preserve"> </v>
      </c>
    </row>
    <row r="849" spans="13:13" x14ac:dyDescent="0.3">
      <c r="M849" s="26" t="str">
        <f t="shared" si="13"/>
        <v xml:space="preserve"> </v>
      </c>
    </row>
    <row r="850" spans="13:13" x14ac:dyDescent="0.3">
      <c r="M850" s="26" t="str">
        <f t="shared" si="13"/>
        <v xml:space="preserve"> </v>
      </c>
    </row>
    <row r="851" spans="13:13" x14ac:dyDescent="0.3">
      <c r="M851" s="26" t="str">
        <f t="shared" si="13"/>
        <v xml:space="preserve"> </v>
      </c>
    </row>
    <row r="852" spans="13:13" x14ac:dyDescent="0.3">
      <c r="M852" s="26" t="str">
        <f t="shared" si="13"/>
        <v xml:space="preserve"> </v>
      </c>
    </row>
    <row r="853" spans="13:13" x14ac:dyDescent="0.3">
      <c r="M853" s="26" t="str">
        <f t="shared" si="13"/>
        <v xml:space="preserve"> </v>
      </c>
    </row>
    <row r="854" spans="13:13" x14ac:dyDescent="0.3">
      <c r="M854" s="26" t="str">
        <f t="shared" si="13"/>
        <v xml:space="preserve"> </v>
      </c>
    </row>
    <row r="855" spans="13:13" x14ac:dyDescent="0.3">
      <c r="M855" s="26" t="str">
        <f t="shared" si="13"/>
        <v xml:space="preserve"> </v>
      </c>
    </row>
    <row r="856" spans="13:13" x14ac:dyDescent="0.3">
      <c r="M856" s="26" t="str">
        <f t="shared" si="13"/>
        <v xml:space="preserve"> </v>
      </c>
    </row>
    <row r="857" spans="13:13" x14ac:dyDescent="0.3">
      <c r="M857" s="26" t="str">
        <f t="shared" si="13"/>
        <v xml:space="preserve"> </v>
      </c>
    </row>
    <row r="858" spans="13:13" x14ac:dyDescent="0.3">
      <c r="M858" s="26" t="str">
        <f t="shared" si="13"/>
        <v xml:space="preserve"> </v>
      </c>
    </row>
    <row r="859" spans="13:13" x14ac:dyDescent="0.3">
      <c r="M859" s="26" t="str">
        <f t="shared" si="13"/>
        <v xml:space="preserve"> </v>
      </c>
    </row>
    <row r="860" spans="13:13" x14ac:dyDescent="0.3">
      <c r="M860" s="26" t="str">
        <f t="shared" si="13"/>
        <v xml:space="preserve"> </v>
      </c>
    </row>
    <row r="861" spans="13:13" x14ac:dyDescent="0.3">
      <c r="M861" s="26" t="str">
        <f t="shared" si="13"/>
        <v xml:space="preserve"> </v>
      </c>
    </row>
    <row r="862" spans="13:13" x14ac:dyDescent="0.3">
      <c r="M862" s="26" t="str">
        <f t="shared" si="13"/>
        <v xml:space="preserve"> </v>
      </c>
    </row>
    <row r="863" spans="13:13" x14ac:dyDescent="0.3">
      <c r="M863" s="26" t="str">
        <f t="shared" si="13"/>
        <v xml:space="preserve"> </v>
      </c>
    </row>
    <row r="864" spans="13:13" x14ac:dyDescent="0.3">
      <c r="M864" s="26" t="str">
        <f t="shared" si="13"/>
        <v xml:space="preserve"> </v>
      </c>
    </row>
    <row r="865" spans="13:13" x14ac:dyDescent="0.3">
      <c r="M865" s="26" t="str">
        <f t="shared" si="13"/>
        <v xml:space="preserve"> </v>
      </c>
    </row>
    <row r="866" spans="13:13" x14ac:dyDescent="0.3">
      <c r="M866" s="26" t="str">
        <f t="shared" si="13"/>
        <v xml:space="preserve"> </v>
      </c>
    </row>
    <row r="867" spans="13:13" x14ac:dyDescent="0.3">
      <c r="M867" s="26" t="str">
        <f t="shared" si="13"/>
        <v xml:space="preserve"> </v>
      </c>
    </row>
    <row r="868" spans="13:13" x14ac:dyDescent="0.3">
      <c r="M868" s="26" t="str">
        <f t="shared" si="13"/>
        <v xml:space="preserve"> </v>
      </c>
    </row>
    <row r="869" spans="13:13" x14ac:dyDescent="0.3">
      <c r="M869" s="26" t="str">
        <f t="shared" si="13"/>
        <v xml:space="preserve"> </v>
      </c>
    </row>
    <row r="870" spans="13:13" x14ac:dyDescent="0.3">
      <c r="M870" s="26" t="str">
        <f t="shared" si="13"/>
        <v xml:space="preserve"> </v>
      </c>
    </row>
    <row r="871" spans="13:13" x14ac:dyDescent="0.3">
      <c r="M871" s="26" t="str">
        <f t="shared" si="13"/>
        <v xml:space="preserve"> </v>
      </c>
    </row>
    <row r="872" spans="13:13" x14ac:dyDescent="0.3">
      <c r="M872" s="26" t="str">
        <f t="shared" si="13"/>
        <v xml:space="preserve"> </v>
      </c>
    </row>
    <row r="873" spans="13:13" x14ac:dyDescent="0.3">
      <c r="M873" s="26" t="str">
        <f t="shared" si="13"/>
        <v xml:space="preserve"> </v>
      </c>
    </row>
    <row r="874" spans="13:13" x14ac:dyDescent="0.3">
      <c r="M874" s="26" t="str">
        <f t="shared" si="13"/>
        <v xml:space="preserve"> </v>
      </c>
    </row>
    <row r="875" spans="13:13" x14ac:dyDescent="0.3">
      <c r="M875" s="26" t="str">
        <f t="shared" si="13"/>
        <v xml:space="preserve"> </v>
      </c>
    </row>
    <row r="876" spans="13:13" x14ac:dyDescent="0.3">
      <c r="M876" s="26" t="str">
        <f t="shared" si="13"/>
        <v xml:space="preserve"> </v>
      </c>
    </row>
    <row r="877" spans="13:13" x14ac:dyDescent="0.3">
      <c r="M877" s="26" t="str">
        <f t="shared" si="13"/>
        <v xml:space="preserve"> </v>
      </c>
    </row>
    <row r="878" spans="13:13" x14ac:dyDescent="0.3">
      <c r="M878" s="26" t="str">
        <f t="shared" si="13"/>
        <v xml:space="preserve"> </v>
      </c>
    </row>
    <row r="879" spans="13:13" x14ac:dyDescent="0.3">
      <c r="M879" s="26" t="str">
        <f t="shared" si="13"/>
        <v xml:space="preserve"> </v>
      </c>
    </row>
    <row r="880" spans="13:13" x14ac:dyDescent="0.3">
      <c r="M880" s="26" t="str">
        <f t="shared" si="13"/>
        <v xml:space="preserve"> </v>
      </c>
    </row>
    <row r="881" spans="13:13" x14ac:dyDescent="0.3">
      <c r="M881" s="26" t="str">
        <f t="shared" si="13"/>
        <v xml:space="preserve"> </v>
      </c>
    </row>
    <row r="882" spans="13:13" x14ac:dyDescent="0.3">
      <c r="M882" s="26" t="str">
        <f t="shared" si="13"/>
        <v xml:space="preserve"> </v>
      </c>
    </row>
    <row r="883" spans="13:13" x14ac:dyDescent="0.3">
      <c r="M883" s="26" t="str">
        <f t="shared" si="13"/>
        <v xml:space="preserve"> </v>
      </c>
    </row>
    <row r="884" spans="13:13" x14ac:dyDescent="0.3">
      <c r="M884" s="26" t="str">
        <f t="shared" si="13"/>
        <v xml:space="preserve"> </v>
      </c>
    </row>
    <row r="885" spans="13:13" x14ac:dyDescent="0.3">
      <c r="M885" s="26" t="str">
        <f t="shared" si="13"/>
        <v xml:space="preserve"> </v>
      </c>
    </row>
    <row r="886" spans="13:13" x14ac:dyDescent="0.3">
      <c r="M886" s="26" t="str">
        <f t="shared" si="13"/>
        <v xml:space="preserve"> </v>
      </c>
    </row>
    <row r="887" spans="13:13" x14ac:dyDescent="0.3">
      <c r="M887" s="26" t="str">
        <f t="shared" si="13"/>
        <v xml:space="preserve"> </v>
      </c>
    </row>
    <row r="888" spans="13:13" x14ac:dyDescent="0.3">
      <c r="M888" s="26" t="str">
        <f t="shared" si="13"/>
        <v xml:space="preserve"> </v>
      </c>
    </row>
    <row r="889" spans="13:13" x14ac:dyDescent="0.3">
      <c r="M889" s="26" t="str">
        <f t="shared" si="13"/>
        <v xml:space="preserve"> </v>
      </c>
    </row>
    <row r="890" spans="13:13" x14ac:dyDescent="0.3">
      <c r="M890" s="26" t="str">
        <f t="shared" si="13"/>
        <v xml:space="preserve"> </v>
      </c>
    </row>
    <row r="891" spans="13:13" x14ac:dyDescent="0.3">
      <c r="M891" s="26" t="str">
        <f t="shared" si="13"/>
        <v xml:space="preserve"> </v>
      </c>
    </row>
    <row r="892" spans="13:13" x14ac:dyDescent="0.3">
      <c r="M892" s="26" t="str">
        <f t="shared" si="13"/>
        <v xml:space="preserve"> </v>
      </c>
    </row>
    <row r="893" spans="13:13" x14ac:dyDescent="0.3">
      <c r="M893" s="26" t="str">
        <f t="shared" si="13"/>
        <v xml:space="preserve"> </v>
      </c>
    </row>
    <row r="894" spans="13:13" x14ac:dyDescent="0.3">
      <c r="M894" s="26" t="str">
        <f t="shared" si="13"/>
        <v xml:space="preserve"> </v>
      </c>
    </row>
    <row r="895" spans="13:13" x14ac:dyDescent="0.3">
      <c r="M895" s="26" t="str">
        <f t="shared" si="13"/>
        <v xml:space="preserve"> </v>
      </c>
    </row>
    <row r="896" spans="13:13" x14ac:dyDescent="0.3">
      <c r="M896" s="26" t="str">
        <f t="shared" si="13"/>
        <v xml:space="preserve"> </v>
      </c>
    </row>
    <row r="897" spans="13:13" x14ac:dyDescent="0.3">
      <c r="M897" s="26" t="str">
        <f t="shared" si="13"/>
        <v xml:space="preserve"> </v>
      </c>
    </row>
    <row r="898" spans="13:13" x14ac:dyDescent="0.3">
      <c r="M898" s="26" t="str">
        <f t="shared" ref="M898:M961" si="14">_xlfn.CONCAT(L898," ",F898)</f>
        <v xml:space="preserve"> </v>
      </c>
    </row>
    <row r="899" spans="13:13" x14ac:dyDescent="0.3">
      <c r="M899" s="26" t="str">
        <f t="shared" si="14"/>
        <v xml:space="preserve"> </v>
      </c>
    </row>
    <row r="900" spans="13:13" x14ac:dyDescent="0.3">
      <c r="M900" s="26" t="str">
        <f t="shared" si="14"/>
        <v xml:space="preserve"> </v>
      </c>
    </row>
    <row r="901" spans="13:13" x14ac:dyDescent="0.3">
      <c r="M901" s="26" t="str">
        <f t="shared" si="14"/>
        <v xml:space="preserve"> </v>
      </c>
    </row>
    <row r="902" spans="13:13" x14ac:dyDescent="0.3">
      <c r="M902" s="26" t="str">
        <f t="shared" si="14"/>
        <v xml:space="preserve"> </v>
      </c>
    </row>
    <row r="903" spans="13:13" x14ac:dyDescent="0.3">
      <c r="M903" s="26" t="str">
        <f t="shared" si="14"/>
        <v xml:space="preserve"> </v>
      </c>
    </row>
    <row r="904" spans="13:13" x14ac:dyDescent="0.3">
      <c r="M904" s="26" t="str">
        <f t="shared" si="14"/>
        <v xml:space="preserve"> </v>
      </c>
    </row>
    <row r="905" spans="13:13" x14ac:dyDescent="0.3">
      <c r="M905" s="26" t="str">
        <f t="shared" si="14"/>
        <v xml:space="preserve"> </v>
      </c>
    </row>
    <row r="906" spans="13:13" x14ac:dyDescent="0.3">
      <c r="M906" s="26" t="str">
        <f t="shared" si="14"/>
        <v xml:space="preserve"> </v>
      </c>
    </row>
    <row r="907" spans="13:13" x14ac:dyDescent="0.3">
      <c r="M907" s="26" t="str">
        <f t="shared" si="14"/>
        <v xml:space="preserve"> </v>
      </c>
    </row>
    <row r="908" spans="13:13" x14ac:dyDescent="0.3">
      <c r="M908" s="26" t="str">
        <f t="shared" si="14"/>
        <v xml:space="preserve"> </v>
      </c>
    </row>
    <row r="909" spans="13:13" x14ac:dyDescent="0.3">
      <c r="M909" s="26" t="str">
        <f t="shared" si="14"/>
        <v xml:space="preserve"> </v>
      </c>
    </row>
    <row r="910" spans="13:13" x14ac:dyDescent="0.3">
      <c r="M910" s="26" t="str">
        <f t="shared" si="14"/>
        <v xml:space="preserve"> </v>
      </c>
    </row>
    <row r="911" spans="13:13" x14ac:dyDescent="0.3">
      <c r="M911" s="26" t="str">
        <f t="shared" si="14"/>
        <v xml:space="preserve"> </v>
      </c>
    </row>
    <row r="912" spans="13:13" x14ac:dyDescent="0.3">
      <c r="M912" s="26" t="str">
        <f t="shared" si="14"/>
        <v xml:space="preserve"> </v>
      </c>
    </row>
    <row r="913" spans="13:13" x14ac:dyDescent="0.3">
      <c r="M913" s="26" t="str">
        <f t="shared" si="14"/>
        <v xml:space="preserve"> </v>
      </c>
    </row>
    <row r="914" spans="13:13" x14ac:dyDescent="0.3">
      <c r="M914" s="26" t="str">
        <f t="shared" si="14"/>
        <v xml:space="preserve"> </v>
      </c>
    </row>
    <row r="915" spans="13:13" x14ac:dyDescent="0.3">
      <c r="M915" s="26" t="str">
        <f t="shared" si="14"/>
        <v xml:space="preserve"> </v>
      </c>
    </row>
    <row r="916" spans="13:13" x14ac:dyDescent="0.3">
      <c r="M916" s="26" t="str">
        <f t="shared" si="14"/>
        <v xml:space="preserve"> </v>
      </c>
    </row>
    <row r="917" spans="13:13" x14ac:dyDescent="0.3">
      <c r="M917" s="26" t="str">
        <f t="shared" si="14"/>
        <v xml:space="preserve"> </v>
      </c>
    </row>
    <row r="918" spans="13:13" x14ac:dyDescent="0.3">
      <c r="M918" s="26" t="str">
        <f t="shared" si="14"/>
        <v xml:space="preserve"> </v>
      </c>
    </row>
    <row r="919" spans="13:13" x14ac:dyDescent="0.3">
      <c r="M919" s="26" t="str">
        <f t="shared" si="14"/>
        <v xml:space="preserve"> </v>
      </c>
    </row>
    <row r="920" spans="13:13" x14ac:dyDescent="0.3">
      <c r="M920" s="26" t="str">
        <f t="shared" si="14"/>
        <v xml:space="preserve"> </v>
      </c>
    </row>
    <row r="921" spans="13:13" x14ac:dyDescent="0.3">
      <c r="M921" s="26" t="str">
        <f t="shared" si="14"/>
        <v xml:space="preserve"> </v>
      </c>
    </row>
    <row r="922" spans="13:13" x14ac:dyDescent="0.3">
      <c r="M922" s="26" t="str">
        <f t="shared" si="14"/>
        <v xml:space="preserve"> </v>
      </c>
    </row>
    <row r="923" spans="13:13" x14ac:dyDescent="0.3">
      <c r="M923" s="26" t="str">
        <f t="shared" si="14"/>
        <v xml:space="preserve"> </v>
      </c>
    </row>
    <row r="924" spans="13:13" x14ac:dyDescent="0.3">
      <c r="M924" s="26" t="str">
        <f t="shared" si="14"/>
        <v xml:space="preserve"> </v>
      </c>
    </row>
    <row r="925" spans="13:13" x14ac:dyDescent="0.3">
      <c r="M925" s="26" t="str">
        <f t="shared" si="14"/>
        <v xml:space="preserve"> </v>
      </c>
    </row>
    <row r="926" spans="13:13" x14ac:dyDescent="0.3">
      <c r="M926" s="26" t="str">
        <f t="shared" si="14"/>
        <v xml:space="preserve"> </v>
      </c>
    </row>
    <row r="927" spans="13:13" x14ac:dyDescent="0.3">
      <c r="M927" s="26" t="str">
        <f t="shared" si="14"/>
        <v xml:space="preserve"> </v>
      </c>
    </row>
    <row r="928" spans="13:13" x14ac:dyDescent="0.3">
      <c r="M928" s="26" t="str">
        <f t="shared" si="14"/>
        <v xml:space="preserve"> </v>
      </c>
    </row>
    <row r="929" spans="13:13" x14ac:dyDescent="0.3">
      <c r="M929" s="26" t="str">
        <f t="shared" si="14"/>
        <v xml:space="preserve"> </v>
      </c>
    </row>
    <row r="930" spans="13:13" x14ac:dyDescent="0.3">
      <c r="M930" s="26" t="str">
        <f t="shared" si="14"/>
        <v xml:space="preserve"> </v>
      </c>
    </row>
    <row r="931" spans="13:13" x14ac:dyDescent="0.3">
      <c r="M931" s="26" t="str">
        <f t="shared" si="14"/>
        <v xml:space="preserve"> </v>
      </c>
    </row>
    <row r="932" spans="13:13" x14ac:dyDescent="0.3">
      <c r="M932" s="26" t="str">
        <f t="shared" si="14"/>
        <v xml:space="preserve"> </v>
      </c>
    </row>
    <row r="933" spans="13:13" x14ac:dyDescent="0.3">
      <c r="M933" s="26" t="str">
        <f t="shared" si="14"/>
        <v xml:space="preserve"> </v>
      </c>
    </row>
    <row r="934" spans="13:13" x14ac:dyDescent="0.3">
      <c r="M934" s="26" t="str">
        <f t="shared" si="14"/>
        <v xml:space="preserve"> </v>
      </c>
    </row>
    <row r="935" spans="13:13" x14ac:dyDescent="0.3">
      <c r="M935" s="26" t="str">
        <f t="shared" si="14"/>
        <v xml:space="preserve"> </v>
      </c>
    </row>
    <row r="936" spans="13:13" x14ac:dyDescent="0.3">
      <c r="M936" s="26" t="str">
        <f t="shared" si="14"/>
        <v xml:space="preserve"> </v>
      </c>
    </row>
    <row r="937" spans="13:13" x14ac:dyDescent="0.3">
      <c r="M937" s="26" t="str">
        <f t="shared" si="14"/>
        <v xml:space="preserve"> </v>
      </c>
    </row>
    <row r="938" spans="13:13" x14ac:dyDescent="0.3">
      <c r="M938" s="26" t="str">
        <f t="shared" si="14"/>
        <v xml:space="preserve"> </v>
      </c>
    </row>
    <row r="939" spans="13:13" x14ac:dyDescent="0.3">
      <c r="M939" s="26" t="str">
        <f t="shared" si="14"/>
        <v xml:space="preserve"> </v>
      </c>
    </row>
    <row r="940" spans="13:13" x14ac:dyDescent="0.3">
      <c r="M940" s="26" t="str">
        <f t="shared" si="14"/>
        <v xml:space="preserve"> </v>
      </c>
    </row>
    <row r="941" spans="13:13" x14ac:dyDescent="0.3">
      <c r="M941" s="26" t="str">
        <f t="shared" si="14"/>
        <v xml:space="preserve"> </v>
      </c>
    </row>
    <row r="942" spans="13:13" x14ac:dyDescent="0.3">
      <c r="M942" s="26" t="str">
        <f t="shared" si="14"/>
        <v xml:space="preserve"> </v>
      </c>
    </row>
    <row r="943" spans="13:13" x14ac:dyDescent="0.3">
      <c r="M943" s="26" t="str">
        <f t="shared" si="14"/>
        <v xml:space="preserve"> </v>
      </c>
    </row>
    <row r="944" spans="13:13" x14ac:dyDescent="0.3">
      <c r="M944" s="26" t="str">
        <f t="shared" si="14"/>
        <v xml:space="preserve"> </v>
      </c>
    </row>
    <row r="945" spans="13:13" x14ac:dyDescent="0.3">
      <c r="M945" s="26" t="str">
        <f t="shared" si="14"/>
        <v xml:space="preserve"> </v>
      </c>
    </row>
    <row r="946" spans="13:13" x14ac:dyDescent="0.3">
      <c r="M946" s="26" t="str">
        <f t="shared" si="14"/>
        <v xml:space="preserve"> </v>
      </c>
    </row>
    <row r="947" spans="13:13" x14ac:dyDescent="0.3">
      <c r="M947" s="26" t="str">
        <f t="shared" si="14"/>
        <v xml:space="preserve"> </v>
      </c>
    </row>
    <row r="948" spans="13:13" x14ac:dyDescent="0.3">
      <c r="M948" s="26" t="str">
        <f t="shared" si="14"/>
        <v xml:space="preserve"> </v>
      </c>
    </row>
    <row r="949" spans="13:13" x14ac:dyDescent="0.3">
      <c r="M949" s="26" t="str">
        <f t="shared" si="14"/>
        <v xml:space="preserve"> </v>
      </c>
    </row>
    <row r="950" spans="13:13" x14ac:dyDescent="0.3">
      <c r="M950" s="26" t="str">
        <f t="shared" si="14"/>
        <v xml:space="preserve"> </v>
      </c>
    </row>
    <row r="951" spans="13:13" x14ac:dyDescent="0.3">
      <c r="M951" s="26" t="str">
        <f t="shared" si="14"/>
        <v xml:space="preserve"> </v>
      </c>
    </row>
    <row r="952" spans="13:13" x14ac:dyDescent="0.3">
      <c r="M952" s="26" t="str">
        <f t="shared" si="14"/>
        <v xml:space="preserve"> </v>
      </c>
    </row>
    <row r="953" spans="13:13" x14ac:dyDescent="0.3">
      <c r="M953" s="26" t="str">
        <f t="shared" si="14"/>
        <v xml:space="preserve"> </v>
      </c>
    </row>
    <row r="954" spans="13:13" x14ac:dyDescent="0.3">
      <c r="M954" s="26" t="str">
        <f t="shared" si="14"/>
        <v xml:space="preserve"> </v>
      </c>
    </row>
    <row r="955" spans="13:13" x14ac:dyDescent="0.3">
      <c r="M955" s="26" t="str">
        <f t="shared" si="14"/>
        <v xml:space="preserve"> </v>
      </c>
    </row>
    <row r="956" spans="13:13" x14ac:dyDescent="0.3">
      <c r="M956" s="26" t="str">
        <f t="shared" si="14"/>
        <v xml:space="preserve"> </v>
      </c>
    </row>
    <row r="957" spans="13:13" x14ac:dyDescent="0.3">
      <c r="M957" s="26" t="str">
        <f t="shared" si="14"/>
        <v xml:space="preserve"> </v>
      </c>
    </row>
    <row r="958" spans="13:13" x14ac:dyDescent="0.3">
      <c r="M958" s="26" t="str">
        <f t="shared" si="14"/>
        <v xml:space="preserve"> </v>
      </c>
    </row>
    <row r="959" spans="13:13" x14ac:dyDescent="0.3">
      <c r="M959" s="26" t="str">
        <f t="shared" si="14"/>
        <v xml:space="preserve"> </v>
      </c>
    </row>
    <row r="960" spans="13:13" x14ac:dyDescent="0.3">
      <c r="M960" s="26" t="str">
        <f t="shared" si="14"/>
        <v xml:space="preserve"> </v>
      </c>
    </row>
    <row r="961" spans="13:13" x14ac:dyDescent="0.3">
      <c r="M961" s="26" t="str">
        <f t="shared" si="14"/>
        <v xml:space="preserve"> </v>
      </c>
    </row>
    <row r="962" spans="13:13" x14ac:dyDescent="0.3">
      <c r="M962" s="26" t="str">
        <f t="shared" ref="M962:M1025" si="15">_xlfn.CONCAT(L962," ",F962)</f>
        <v xml:space="preserve"> </v>
      </c>
    </row>
    <row r="963" spans="13:13" x14ac:dyDescent="0.3">
      <c r="M963" s="26" t="str">
        <f t="shared" si="15"/>
        <v xml:space="preserve"> </v>
      </c>
    </row>
    <row r="964" spans="13:13" x14ac:dyDescent="0.3">
      <c r="M964" s="26" t="str">
        <f t="shared" si="15"/>
        <v xml:space="preserve"> </v>
      </c>
    </row>
    <row r="965" spans="13:13" x14ac:dyDescent="0.3">
      <c r="M965" s="26" t="str">
        <f t="shared" si="15"/>
        <v xml:space="preserve"> </v>
      </c>
    </row>
    <row r="966" spans="13:13" x14ac:dyDescent="0.3">
      <c r="M966" s="26" t="str">
        <f t="shared" si="15"/>
        <v xml:space="preserve"> </v>
      </c>
    </row>
    <row r="967" spans="13:13" x14ac:dyDescent="0.3">
      <c r="M967" s="26" t="str">
        <f t="shared" si="15"/>
        <v xml:space="preserve"> </v>
      </c>
    </row>
    <row r="968" spans="13:13" x14ac:dyDescent="0.3">
      <c r="M968" s="26" t="str">
        <f t="shared" si="15"/>
        <v xml:space="preserve"> </v>
      </c>
    </row>
    <row r="969" spans="13:13" x14ac:dyDescent="0.3">
      <c r="M969" s="26" t="str">
        <f t="shared" si="15"/>
        <v xml:space="preserve"> </v>
      </c>
    </row>
    <row r="970" spans="13:13" x14ac:dyDescent="0.3">
      <c r="M970" s="26" t="str">
        <f t="shared" si="15"/>
        <v xml:space="preserve"> </v>
      </c>
    </row>
    <row r="971" spans="13:13" x14ac:dyDescent="0.3">
      <c r="M971" s="26" t="str">
        <f t="shared" si="15"/>
        <v xml:space="preserve"> </v>
      </c>
    </row>
    <row r="972" spans="13:13" x14ac:dyDescent="0.3">
      <c r="M972" s="26" t="str">
        <f t="shared" si="15"/>
        <v xml:space="preserve"> </v>
      </c>
    </row>
    <row r="973" spans="13:13" x14ac:dyDescent="0.3">
      <c r="M973" s="26" t="str">
        <f t="shared" si="15"/>
        <v xml:space="preserve"> </v>
      </c>
    </row>
    <row r="974" spans="13:13" x14ac:dyDescent="0.3">
      <c r="M974" s="26" t="str">
        <f t="shared" si="15"/>
        <v xml:space="preserve"> </v>
      </c>
    </row>
    <row r="975" spans="13:13" x14ac:dyDescent="0.3">
      <c r="M975" s="26" t="str">
        <f t="shared" si="15"/>
        <v xml:space="preserve"> </v>
      </c>
    </row>
    <row r="976" spans="13:13" x14ac:dyDescent="0.3">
      <c r="M976" s="26" t="str">
        <f t="shared" si="15"/>
        <v xml:space="preserve"> </v>
      </c>
    </row>
    <row r="977" spans="13:13" x14ac:dyDescent="0.3">
      <c r="M977" s="26" t="str">
        <f t="shared" si="15"/>
        <v xml:space="preserve"> </v>
      </c>
    </row>
    <row r="978" spans="13:13" x14ac:dyDescent="0.3">
      <c r="M978" s="26" t="str">
        <f t="shared" si="15"/>
        <v xml:space="preserve"> </v>
      </c>
    </row>
    <row r="979" spans="13:13" x14ac:dyDescent="0.3">
      <c r="M979" s="26" t="str">
        <f t="shared" si="15"/>
        <v xml:space="preserve"> </v>
      </c>
    </row>
    <row r="980" spans="13:13" x14ac:dyDescent="0.3">
      <c r="M980" s="26" t="str">
        <f t="shared" si="15"/>
        <v xml:space="preserve"> </v>
      </c>
    </row>
    <row r="981" spans="13:13" x14ac:dyDescent="0.3">
      <c r="M981" s="26" t="str">
        <f t="shared" si="15"/>
        <v xml:space="preserve"> </v>
      </c>
    </row>
    <row r="982" spans="13:13" x14ac:dyDescent="0.3">
      <c r="M982" s="26" t="str">
        <f t="shared" si="15"/>
        <v xml:space="preserve"> </v>
      </c>
    </row>
    <row r="983" spans="13:13" x14ac:dyDescent="0.3">
      <c r="M983" s="26" t="str">
        <f t="shared" si="15"/>
        <v xml:space="preserve"> </v>
      </c>
    </row>
    <row r="984" spans="13:13" x14ac:dyDescent="0.3">
      <c r="M984" s="26" t="str">
        <f t="shared" si="15"/>
        <v xml:space="preserve"> </v>
      </c>
    </row>
    <row r="985" spans="13:13" x14ac:dyDescent="0.3">
      <c r="M985" s="26" t="str">
        <f t="shared" si="15"/>
        <v xml:space="preserve"> </v>
      </c>
    </row>
    <row r="986" spans="13:13" x14ac:dyDescent="0.3">
      <c r="M986" s="26" t="str">
        <f t="shared" si="15"/>
        <v xml:space="preserve"> </v>
      </c>
    </row>
    <row r="987" spans="13:13" x14ac:dyDescent="0.3">
      <c r="M987" s="26" t="str">
        <f t="shared" si="15"/>
        <v xml:space="preserve"> </v>
      </c>
    </row>
    <row r="988" spans="13:13" x14ac:dyDescent="0.3">
      <c r="M988" s="26" t="str">
        <f t="shared" si="15"/>
        <v xml:space="preserve"> </v>
      </c>
    </row>
    <row r="989" spans="13:13" x14ac:dyDescent="0.3">
      <c r="M989" s="26" t="str">
        <f t="shared" si="15"/>
        <v xml:space="preserve"> </v>
      </c>
    </row>
    <row r="990" spans="13:13" x14ac:dyDescent="0.3">
      <c r="M990" s="26" t="str">
        <f t="shared" si="15"/>
        <v xml:space="preserve"> </v>
      </c>
    </row>
    <row r="991" spans="13:13" x14ac:dyDescent="0.3">
      <c r="M991" s="26" t="str">
        <f t="shared" si="15"/>
        <v xml:space="preserve"> </v>
      </c>
    </row>
    <row r="992" spans="13:13" x14ac:dyDescent="0.3">
      <c r="M992" s="26" t="str">
        <f t="shared" si="15"/>
        <v xml:space="preserve"> </v>
      </c>
    </row>
    <row r="993" spans="13:13" x14ac:dyDescent="0.3">
      <c r="M993" s="26" t="str">
        <f t="shared" si="15"/>
        <v xml:space="preserve"> </v>
      </c>
    </row>
    <row r="994" spans="13:13" x14ac:dyDescent="0.3">
      <c r="M994" s="26" t="str">
        <f t="shared" si="15"/>
        <v xml:space="preserve"> </v>
      </c>
    </row>
    <row r="995" spans="13:13" x14ac:dyDescent="0.3">
      <c r="M995" s="26" t="str">
        <f t="shared" si="15"/>
        <v xml:space="preserve"> </v>
      </c>
    </row>
    <row r="996" spans="13:13" x14ac:dyDescent="0.3">
      <c r="M996" s="26" t="str">
        <f t="shared" si="15"/>
        <v xml:space="preserve"> </v>
      </c>
    </row>
    <row r="997" spans="13:13" x14ac:dyDescent="0.3">
      <c r="M997" s="26" t="str">
        <f t="shared" si="15"/>
        <v xml:space="preserve"> </v>
      </c>
    </row>
    <row r="998" spans="13:13" x14ac:dyDescent="0.3">
      <c r="M998" s="26" t="str">
        <f t="shared" si="15"/>
        <v xml:space="preserve"> </v>
      </c>
    </row>
    <row r="999" spans="13:13" x14ac:dyDescent="0.3">
      <c r="M999" s="26" t="str">
        <f t="shared" si="15"/>
        <v xml:space="preserve"> </v>
      </c>
    </row>
    <row r="1000" spans="13:13" x14ac:dyDescent="0.3">
      <c r="M1000" s="26" t="str">
        <f t="shared" si="15"/>
        <v xml:space="preserve"> </v>
      </c>
    </row>
  </sheetData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000"/>
  <sheetViews>
    <sheetView workbookViewId="0">
      <selection activeCell="F1" sqref="F1:F1048576"/>
    </sheetView>
  </sheetViews>
  <sheetFormatPr defaultColWidth="8.88671875" defaultRowHeight="14.4" x14ac:dyDescent="0.3"/>
  <cols>
    <col min="1" max="1" width="2.77734375" style="108" bestFit="1" customWidth="1"/>
    <col min="2" max="2" width="7" style="108" bestFit="1" customWidth="1"/>
    <col min="3" max="3" width="8.88671875" style="108" bestFit="1" customWidth="1"/>
    <col min="4" max="4" width="7.21875" style="108" bestFit="1" customWidth="1"/>
    <col min="5" max="5" width="7" style="108" bestFit="1" customWidth="1"/>
    <col min="6" max="6" width="12" style="108" bestFit="1" customWidth="1"/>
    <col min="7" max="7" width="8" style="108" bestFit="1" customWidth="1"/>
    <col min="8" max="8" width="4" style="106" bestFit="1" customWidth="1"/>
    <col min="9" max="9" width="14.5546875" style="194" bestFit="1" customWidth="1"/>
    <col min="10" max="10" width="14.109375" style="194" bestFit="1" customWidth="1"/>
    <col min="11" max="11" width="12.5546875" style="91" bestFit="1" customWidth="1"/>
    <col min="12" max="16384" width="8.88671875" style="26"/>
  </cols>
  <sheetData>
    <row r="1" spans="1:13" s="9" customFormat="1" x14ac:dyDescent="0.3">
      <c r="A1" s="107" t="s">
        <v>110</v>
      </c>
      <c r="B1" s="107" t="s">
        <v>111</v>
      </c>
      <c r="C1" s="107" t="s">
        <v>115</v>
      </c>
      <c r="D1" s="107" t="s">
        <v>112</v>
      </c>
      <c r="E1" s="107" t="s">
        <v>116</v>
      </c>
      <c r="F1" s="9" t="s">
        <v>130</v>
      </c>
      <c r="G1" s="107" t="s">
        <v>67</v>
      </c>
      <c r="H1" s="97" t="s">
        <v>66</v>
      </c>
      <c r="I1" s="193" t="s">
        <v>117</v>
      </c>
      <c r="J1" s="193" t="s">
        <v>118</v>
      </c>
      <c r="K1" s="33" t="s">
        <v>119</v>
      </c>
      <c r="L1" s="9" t="s">
        <v>122</v>
      </c>
      <c r="M1" s="9" t="s">
        <v>130</v>
      </c>
    </row>
    <row r="2" spans="1:13" x14ac:dyDescent="0.3">
      <c r="M2" s="26" t="str">
        <f t="shared" ref="M2:M65" si="0">_xlfn.CONCAT(L2," ",F2)</f>
        <v xml:space="preserve"> </v>
      </c>
    </row>
    <row r="3" spans="1:13" x14ac:dyDescent="0.3">
      <c r="M3" s="26" t="str">
        <f t="shared" si="0"/>
        <v xml:space="preserve"> </v>
      </c>
    </row>
    <row r="4" spans="1:13" x14ac:dyDescent="0.3">
      <c r="M4" s="26" t="str">
        <f t="shared" si="0"/>
        <v xml:space="preserve"> </v>
      </c>
    </row>
    <row r="5" spans="1:13" x14ac:dyDescent="0.3">
      <c r="M5" s="26" t="str">
        <f t="shared" si="0"/>
        <v xml:space="preserve"> </v>
      </c>
    </row>
    <row r="6" spans="1:13" x14ac:dyDescent="0.3">
      <c r="M6" s="26" t="str">
        <f t="shared" si="0"/>
        <v xml:space="preserve"> </v>
      </c>
    </row>
    <row r="7" spans="1:13" x14ac:dyDescent="0.3">
      <c r="M7" s="26" t="str">
        <f t="shared" si="0"/>
        <v xml:space="preserve"> </v>
      </c>
    </row>
    <row r="8" spans="1:13" x14ac:dyDescent="0.3">
      <c r="M8" s="26" t="str">
        <f t="shared" si="0"/>
        <v xml:space="preserve"> </v>
      </c>
    </row>
    <row r="9" spans="1:13" x14ac:dyDescent="0.3">
      <c r="M9" s="26" t="str">
        <f t="shared" si="0"/>
        <v xml:space="preserve"> </v>
      </c>
    </row>
    <row r="10" spans="1:13" x14ac:dyDescent="0.3">
      <c r="M10" s="26" t="str">
        <f t="shared" si="0"/>
        <v xml:space="preserve"> </v>
      </c>
    </row>
    <row r="11" spans="1:13" x14ac:dyDescent="0.3">
      <c r="M11" s="26" t="str">
        <f t="shared" si="0"/>
        <v xml:space="preserve"> </v>
      </c>
    </row>
    <row r="12" spans="1:13" x14ac:dyDescent="0.3">
      <c r="M12" s="26" t="str">
        <f t="shared" si="0"/>
        <v xml:space="preserve"> </v>
      </c>
    </row>
    <row r="13" spans="1:13" x14ac:dyDescent="0.3">
      <c r="M13" s="26" t="str">
        <f t="shared" si="0"/>
        <v xml:space="preserve"> </v>
      </c>
    </row>
    <row r="14" spans="1:13" x14ac:dyDescent="0.3">
      <c r="M14" s="26" t="str">
        <f t="shared" si="0"/>
        <v xml:space="preserve"> </v>
      </c>
    </row>
    <row r="15" spans="1:13" x14ac:dyDescent="0.3">
      <c r="M15" s="26" t="str">
        <f t="shared" si="0"/>
        <v xml:space="preserve"> </v>
      </c>
    </row>
    <row r="16" spans="1:13" x14ac:dyDescent="0.3">
      <c r="M16" s="26" t="str">
        <f t="shared" si="0"/>
        <v xml:space="preserve"> </v>
      </c>
    </row>
    <row r="17" spans="13:13" x14ac:dyDescent="0.3">
      <c r="M17" s="26" t="str">
        <f t="shared" si="0"/>
        <v xml:space="preserve"> </v>
      </c>
    </row>
    <row r="18" spans="13:13" x14ac:dyDescent="0.3">
      <c r="M18" s="26" t="str">
        <f t="shared" si="0"/>
        <v xml:space="preserve"> </v>
      </c>
    </row>
    <row r="19" spans="13:13" x14ac:dyDescent="0.3">
      <c r="M19" s="26" t="str">
        <f t="shared" si="0"/>
        <v xml:space="preserve"> </v>
      </c>
    </row>
    <row r="20" spans="13:13" x14ac:dyDescent="0.3">
      <c r="M20" s="26" t="str">
        <f t="shared" si="0"/>
        <v xml:space="preserve"> </v>
      </c>
    </row>
    <row r="21" spans="13:13" x14ac:dyDescent="0.3">
      <c r="M21" s="26" t="str">
        <f t="shared" si="0"/>
        <v xml:space="preserve"> </v>
      </c>
    </row>
    <row r="22" spans="13:13" x14ac:dyDescent="0.3">
      <c r="M22" s="26" t="str">
        <f t="shared" si="0"/>
        <v xml:space="preserve"> </v>
      </c>
    </row>
    <row r="23" spans="13:13" x14ac:dyDescent="0.3">
      <c r="M23" s="26" t="str">
        <f t="shared" si="0"/>
        <v xml:space="preserve"> </v>
      </c>
    </row>
    <row r="24" spans="13:13" x14ac:dyDescent="0.3">
      <c r="M24" s="26" t="str">
        <f t="shared" si="0"/>
        <v xml:space="preserve"> </v>
      </c>
    </row>
    <row r="25" spans="13:13" x14ac:dyDescent="0.3">
      <c r="M25" s="26" t="str">
        <f t="shared" si="0"/>
        <v xml:space="preserve"> </v>
      </c>
    </row>
    <row r="26" spans="13:13" x14ac:dyDescent="0.3">
      <c r="M26" s="26" t="str">
        <f t="shared" si="0"/>
        <v xml:space="preserve"> </v>
      </c>
    </row>
    <row r="27" spans="13:13" x14ac:dyDescent="0.3">
      <c r="M27" s="26" t="str">
        <f t="shared" si="0"/>
        <v xml:space="preserve"> </v>
      </c>
    </row>
    <row r="28" spans="13:13" x14ac:dyDescent="0.3">
      <c r="M28" s="26" t="str">
        <f t="shared" si="0"/>
        <v xml:space="preserve"> </v>
      </c>
    </row>
    <row r="29" spans="13:13" x14ac:dyDescent="0.3">
      <c r="M29" s="26" t="str">
        <f t="shared" si="0"/>
        <v xml:space="preserve"> </v>
      </c>
    </row>
    <row r="30" spans="13:13" x14ac:dyDescent="0.3">
      <c r="M30" s="26" t="str">
        <f t="shared" si="0"/>
        <v xml:space="preserve"> </v>
      </c>
    </row>
    <row r="31" spans="13:13" x14ac:dyDescent="0.3">
      <c r="M31" s="26" t="str">
        <f t="shared" si="0"/>
        <v xml:space="preserve"> </v>
      </c>
    </row>
    <row r="32" spans="13:13" x14ac:dyDescent="0.3">
      <c r="M32" s="26" t="str">
        <f t="shared" si="0"/>
        <v xml:space="preserve"> </v>
      </c>
    </row>
    <row r="33" spans="13:13" x14ac:dyDescent="0.3">
      <c r="M33" s="26" t="str">
        <f t="shared" si="0"/>
        <v xml:space="preserve"> </v>
      </c>
    </row>
    <row r="34" spans="13:13" x14ac:dyDescent="0.3">
      <c r="M34" s="26" t="str">
        <f t="shared" si="0"/>
        <v xml:space="preserve"> </v>
      </c>
    </row>
    <row r="35" spans="13:13" x14ac:dyDescent="0.3">
      <c r="M35" s="26" t="str">
        <f t="shared" si="0"/>
        <v xml:space="preserve"> </v>
      </c>
    </row>
    <row r="36" spans="13:13" x14ac:dyDescent="0.3">
      <c r="M36" s="26" t="str">
        <f t="shared" si="0"/>
        <v xml:space="preserve"> </v>
      </c>
    </row>
    <row r="37" spans="13:13" x14ac:dyDescent="0.3">
      <c r="M37" s="26" t="str">
        <f t="shared" si="0"/>
        <v xml:space="preserve"> </v>
      </c>
    </row>
    <row r="38" spans="13:13" x14ac:dyDescent="0.3">
      <c r="M38" s="26" t="str">
        <f t="shared" si="0"/>
        <v xml:space="preserve"> </v>
      </c>
    </row>
    <row r="39" spans="13:13" x14ac:dyDescent="0.3">
      <c r="M39" s="26" t="str">
        <f t="shared" si="0"/>
        <v xml:space="preserve"> </v>
      </c>
    </row>
    <row r="40" spans="13:13" x14ac:dyDescent="0.3">
      <c r="M40" s="26" t="str">
        <f t="shared" si="0"/>
        <v xml:space="preserve"> </v>
      </c>
    </row>
    <row r="41" spans="13:13" x14ac:dyDescent="0.3">
      <c r="M41" s="26" t="str">
        <f t="shared" si="0"/>
        <v xml:space="preserve"> </v>
      </c>
    </row>
    <row r="42" spans="13:13" x14ac:dyDescent="0.3">
      <c r="M42" s="26" t="str">
        <f t="shared" si="0"/>
        <v xml:space="preserve"> </v>
      </c>
    </row>
    <row r="43" spans="13:13" x14ac:dyDescent="0.3">
      <c r="M43" s="26" t="str">
        <f t="shared" si="0"/>
        <v xml:space="preserve"> </v>
      </c>
    </row>
    <row r="44" spans="13:13" x14ac:dyDescent="0.3">
      <c r="M44" s="26" t="str">
        <f t="shared" si="0"/>
        <v xml:space="preserve"> </v>
      </c>
    </row>
    <row r="45" spans="13:13" x14ac:dyDescent="0.3">
      <c r="M45" s="26" t="str">
        <f t="shared" si="0"/>
        <v xml:space="preserve"> </v>
      </c>
    </row>
    <row r="46" spans="13:13" x14ac:dyDescent="0.3">
      <c r="M46" s="26" t="str">
        <f t="shared" si="0"/>
        <v xml:space="preserve"> </v>
      </c>
    </row>
    <row r="47" spans="13:13" x14ac:dyDescent="0.3">
      <c r="M47" s="26" t="str">
        <f t="shared" si="0"/>
        <v xml:space="preserve"> </v>
      </c>
    </row>
    <row r="48" spans="13:13" x14ac:dyDescent="0.3">
      <c r="M48" s="26" t="str">
        <f t="shared" si="0"/>
        <v xml:space="preserve"> </v>
      </c>
    </row>
    <row r="49" spans="13:13" x14ac:dyDescent="0.3">
      <c r="M49" s="26" t="str">
        <f t="shared" si="0"/>
        <v xml:space="preserve"> </v>
      </c>
    </row>
    <row r="50" spans="13:13" x14ac:dyDescent="0.3">
      <c r="M50" s="26" t="str">
        <f t="shared" si="0"/>
        <v xml:space="preserve"> </v>
      </c>
    </row>
    <row r="51" spans="13:13" x14ac:dyDescent="0.3">
      <c r="M51" s="26" t="str">
        <f t="shared" si="0"/>
        <v xml:space="preserve"> </v>
      </c>
    </row>
    <row r="52" spans="13:13" x14ac:dyDescent="0.3">
      <c r="M52" s="26" t="str">
        <f t="shared" si="0"/>
        <v xml:space="preserve"> </v>
      </c>
    </row>
    <row r="53" spans="13:13" x14ac:dyDescent="0.3">
      <c r="M53" s="26" t="str">
        <f t="shared" si="0"/>
        <v xml:space="preserve"> </v>
      </c>
    </row>
    <row r="54" spans="13:13" x14ac:dyDescent="0.3">
      <c r="M54" s="26" t="str">
        <f t="shared" si="0"/>
        <v xml:space="preserve"> </v>
      </c>
    </row>
    <row r="55" spans="13:13" x14ac:dyDescent="0.3">
      <c r="M55" s="26" t="str">
        <f t="shared" si="0"/>
        <v xml:space="preserve"> </v>
      </c>
    </row>
    <row r="56" spans="13:13" x14ac:dyDescent="0.3">
      <c r="M56" s="26" t="str">
        <f t="shared" si="0"/>
        <v xml:space="preserve"> </v>
      </c>
    </row>
    <row r="57" spans="13:13" x14ac:dyDescent="0.3">
      <c r="M57" s="26" t="str">
        <f t="shared" si="0"/>
        <v xml:space="preserve"> </v>
      </c>
    </row>
    <row r="58" spans="13:13" x14ac:dyDescent="0.3">
      <c r="M58" s="26" t="str">
        <f t="shared" si="0"/>
        <v xml:space="preserve"> </v>
      </c>
    </row>
    <row r="59" spans="13:13" x14ac:dyDescent="0.3">
      <c r="M59" s="26" t="str">
        <f t="shared" si="0"/>
        <v xml:space="preserve"> </v>
      </c>
    </row>
    <row r="60" spans="13:13" x14ac:dyDescent="0.3">
      <c r="M60" s="26" t="str">
        <f t="shared" si="0"/>
        <v xml:space="preserve"> </v>
      </c>
    </row>
    <row r="61" spans="13:13" x14ac:dyDescent="0.3">
      <c r="M61" s="26" t="str">
        <f t="shared" si="0"/>
        <v xml:space="preserve"> </v>
      </c>
    </row>
    <row r="62" spans="13:13" x14ac:dyDescent="0.3">
      <c r="M62" s="26" t="str">
        <f t="shared" si="0"/>
        <v xml:space="preserve"> </v>
      </c>
    </row>
    <row r="63" spans="13:13" x14ac:dyDescent="0.3">
      <c r="M63" s="26" t="str">
        <f t="shared" si="0"/>
        <v xml:space="preserve"> </v>
      </c>
    </row>
    <row r="64" spans="13:13" x14ac:dyDescent="0.3">
      <c r="M64" s="26" t="str">
        <f t="shared" si="0"/>
        <v xml:space="preserve"> </v>
      </c>
    </row>
    <row r="65" spans="13:13" x14ac:dyDescent="0.3">
      <c r="M65" s="26" t="str">
        <f t="shared" si="0"/>
        <v xml:space="preserve"> </v>
      </c>
    </row>
    <row r="66" spans="13:13" x14ac:dyDescent="0.3">
      <c r="M66" s="26" t="str">
        <f t="shared" ref="M66:M129" si="1">_xlfn.CONCAT(L66," ",F66)</f>
        <v xml:space="preserve"> </v>
      </c>
    </row>
    <row r="67" spans="13:13" x14ac:dyDescent="0.3">
      <c r="M67" s="26" t="str">
        <f t="shared" si="1"/>
        <v xml:space="preserve"> </v>
      </c>
    </row>
    <row r="68" spans="13:13" x14ac:dyDescent="0.3">
      <c r="M68" s="26" t="str">
        <f t="shared" si="1"/>
        <v xml:space="preserve"> </v>
      </c>
    </row>
    <row r="69" spans="13:13" x14ac:dyDescent="0.3">
      <c r="M69" s="26" t="str">
        <f t="shared" si="1"/>
        <v xml:space="preserve"> </v>
      </c>
    </row>
    <row r="70" spans="13:13" x14ac:dyDescent="0.3">
      <c r="M70" s="26" t="str">
        <f t="shared" si="1"/>
        <v xml:space="preserve"> </v>
      </c>
    </row>
    <row r="71" spans="13:13" x14ac:dyDescent="0.3">
      <c r="M71" s="26" t="str">
        <f t="shared" si="1"/>
        <v xml:space="preserve"> </v>
      </c>
    </row>
    <row r="72" spans="13:13" x14ac:dyDescent="0.3">
      <c r="M72" s="26" t="str">
        <f t="shared" si="1"/>
        <v xml:space="preserve"> </v>
      </c>
    </row>
    <row r="73" spans="13:13" x14ac:dyDescent="0.3">
      <c r="M73" s="26" t="str">
        <f t="shared" si="1"/>
        <v xml:space="preserve"> </v>
      </c>
    </row>
    <row r="74" spans="13:13" x14ac:dyDescent="0.3">
      <c r="M74" s="26" t="str">
        <f t="shared" si="1"/>
        <v xml:space="preserve"> </v>
      </c>
    </row>
    <row r="75" spans="13:13" x14ac:dyDescent="0.3">
      <c r="M75" s="26" t="str">
        <f t="shared" si="1"/>
        <v xml:space="preserve"> </v>
      </c>
    </row>
    <row r="76" spans="13:13" x14ac:dyDescent="0.3">
      <c r="M76" s="26" t="str">
        <f t="shared" si="1"/>
        <v xml:space="preserve"> </v>
      </c>
    </row>
    <row r="77" spans="13:13" x14ac:dyDescent="0.3">
      <c r="M77" s="26" t="str">
        <f t="shared" si="1"/>
        <v xml:space="preserve"> </v>
      </c>
    </row>
    <row r="78" spans="13:13" x14ac:dyDescent="0.3">
      <c r="M78" s="26" t="str">
        <f t="shared" si="1"/>
        <v xml:space="preserve"> </v>
      </c>
    </row>
    <row r="79" spans="13:13" x14ac:dyDescent="0.3">
      <c r="M79" s="26" t="str">
        <f t="shared" si="1"/>
        <v xml:space="preserve"> </v>
      </c>
    </row>
    <row r="80" spans="13:13" x14ac:dyDescent="0.3">
      <c r="M80" s="26" t="str">
        <f t="shared" si="1"/>
        <v xml:space="preserve"> </v>
      </c>
    </row>
    <row r="81" spans="13:13" x14ac:dyDescent="0.3">
      <c r="M81" s="26" t="str">
        <f t="shared" si="1"/>
        <v xml:space="preserve"> </v>
      </c>
    </row>
    <row r="82" spans="13:13" x14ac:dyDescent="0.3">
      <c r="M82" s="26" t="str">
        <f t="shared" si="1"/>
        <v xml:space="preserve"> </v>
      </c>
    </row>
    <row r="83" spans="13:13" x14ac:dyDescent="0.3">
      <c r="M83" s="26" t="str">
        <f t="shared" si="1"/>
        <v xml:space="preserve"> </v>
      </c>
    </row>
    <row r="84" spans="13:13" x14ac:dyDescent="0.3">
      <c r="M84" s="26" t="str">
        <f t="shared" si="1"/>
        <v xml:space="preserve"> </v>
      </c>
    </row>
    <row r="85" spans="13:13" x14ac:dyDescent="0.3">
      <c r="M85" s="26" t="str">
        <f t="shared" si="1"/>
        <v xml:space="preserve"> </v>
      </c>
    </row>
    <row r="86" spans="13:13" x14ac:dyDescent="0.3">
      <c r="M86" s="26" t="str">
        <f t="shared" si="1"/>
        <v xml:space="preserve"> </v>
      </c>
    </row>
    <row r="87" spans="13:13" x14ac:dyDescent="0.3">
      <c r="M87" s="26" t="str">
        <f t="shared" si="1"/>
        <v xml:space="preserve"> </v>
      </c>
    </row>
    <row r="88" spans="13:13" x14ac:dyDescent="0.3">
      <c r="M88" s="26" t="str">
        <f t="shared" si="1"/>
        <v xml:space="preserve"> </v>
      </c>
    </row>
    <row r="89" spans="13:13" x14ac:dyDescent="0.3">
      <c r="M89" s="26" t="str">
        <f t="shared" si="1"/>
        <v xml:space="preserve"> </v>
      </c>
    </row>
    <row r="90" spans="13:13" x14ac:dyDescent="0.3">
      <c r="M90" s="26" t="str">
        <f t="shared" si="1"/>
        <v xml:space="preserve"> </v>
      </c>
    </row>
    <row r="91" spans="13:13" x14ac:dyDescent="0.3">
      <c r="M91" s="26" t="str">
        <f t="shared" si="1"/>
        <v xml:space="preserve"> </v>
      </c>
    </row>
    <row r="92" spans="13:13" x14ac:dyDescent="0.3">
      <c r="M92" s="26" t="str">
        <f t="shared" si="1"/>
        <v xml:space="preserve"> </v>
      </c>
    </row>
    <row r="93" spans="13:13" x14ac:dyDescent="0.3">
      <c r="M93" s="26" t="str">
        <f t="shared" si="1"/>
        <v xml:space="preserve"> </v>
      </c>
    </row>
    <row r="94" spans="13:13" x14ac:dyDescent="0.3">
      <c r="M94" s="26" t="str">
        <f t="shared" si="1"/>
        <v xml:space="preserve"> </v>
      </c>
    </row>
    <row r="95" spans="13:13" x14ac:dyDescent="0.3">
      <c r="M95" s="26" t="str">
        <f t="shared" si="1"/>
        <v xml:space="preserve"> </v>
      </c>
    </row>
    <row r="96" spans="13:13" x14ac:dyDescent="0.3">
      <c r="M96" s="26" t="str">
        <f t="shared" si="1"/>
        <v xml:space="preserve"> </v>
      </c>
    </row>
    <row r="97" spans="13:13" x14ac:dyDescent="0.3">
      <c r="M97" s="26" t="str">
        <f t="shared" si="1"/>
        <v xml:space="preserve"> </v>
      </c>
    </row>
    <row r="98" spans="13:13" x14ac:dyDescent="0.3">
      <c r="M98" s="26" t="str">
        <f t="shared" si="1"/>
        <v xml:space="preserve"> </v>
      </c>
    </row>
    <row r="99" spans="13:13" x14ac:dyDescent="0.3">
      <c r="M99" s="26" t="str">
        <f t="shared" si="1"/>
        <v xml:space="preserve"> </v>
      </c>
    </row>
    <row r="100" spans="13:13" x14ac:dyDescent="0.3">
      <c r="M100" s="26" t="str">
        <f t="shared" si="1"/>
        <v xml:space="preserve"> </v>
      </c>
    </row>
    <row r="101" spans="13:13" x14ac:dyDescent="0.3">
      <c r="M101" s="26" t="str">
        <f t="shared" si="1"/>
        <v xml:space="preserve"> </v>
      </c>
    </row>
    <row r="102" spans="13:13" x14ac:dyDescent="0.3">
      <c r="M102" s="26" t="str">
        <f t="shared" si="1"/>
        <v xml:space="preserve"> </v>
      </c>
    </row>
    <row r="103" spans="13:13" x14ac:dyDescent="0.3">
      <c r="M103" s="26" t="str">
        <f t="shared" si="1"/>
        <v xml:space="preserve"> </v>
      </c>
    </row>
    <row r="104" spans="13:13" x14ac:dyDescent="0.3">
      <c r="M104" s="26" t="str">
        <f t="shared" si="1"/>
        <v xml:space="preserve"> </v>
      </c>
    </row>
    <row r="105" spans="13:13" x14ac:dyDescent="0.3">
      <c r="M105" s="26" t="str">
        <f t="shared" si="1"/>
        <v xml:space="preserve"> </v>
      </c>
    </row>
    <row r="106" spans="13:13" x14ac:dyDescent="0.3">
      <c r="M106" s="26" t="str">
        <f t="shared" si="1"/>
        <v xml:space="preserve"> </v>
      </c>
    </row>
    <row r="107" spans="13:13" x14ac:dyDescent="0.3">
      <c r="M107" s="26" t="str">
        <f t="shared" si="1"/>
        <v xml:space="preserve"> </v>
      </c>
    </row>
    <row r="108" spans="13:13" x14ac:dyDescent="0.3">
      <c r="M108" s="26" t="str">
        <f t="shared" si="1"/>
        <v xml:space="preserve"> </v>
      </c>
    </row>
    <row r="109" spans="13:13" x14ac:dyDescent="0.3">
      <c r="M109" s="26" t="str">
        <f t="shared" si="1"/>
        <v xml:space="preserve"> </v>
      </c>
    </row>
    <row r="110" spans="13:13" x14ac:dyDescent="0.3">
      <c r="M110" s="26" t="str">
        <f t="shared" si="1"/>
        <v xml:space="preserve"> </v>
      </c>
    </row>
    <row r="111" spans="13:13" x14ac:dyDescent="0.3">
      <c r="M111" s="26" t="str">
        <f t="shared" si="1"/>
        <v xml:space="preserve"> </v>
      </c>
    </row>
    <row r="112" spans="13:13" x14ac:dyDescent="0.3">
      <c r="M112" s="26" t="str">
        <f t="shared" si="1"/>
        <v xml:space="preserve"> </v>
      </c>
    </row>
    <row r="113" spans="13:13" x14ac:dyDescent="0.3">
      <c r="M113" s="26" t="str">
        <f t="shared" si="1"/>
        <v xml:space="preserve"> </v>
      </c>
    </row>
    <row r="114" spans="13:13" x14ac:dyDescent="0.3">
      <c r="M114" s="26" t="str">
        <f t="shared" si="1"/>
        <v xml:space="preserve"> </v>
      </c>
    </row>
    <row r="115" spans="13:13" x14ac:dyDescent="0.3">
      <c r="M115" s="26" t="str">
        <f t="shared" si="1"/>
        <v xml:space="preserve"> </v>
      </c>
    </row>
    <row r="116" spans="13:13" x14ac:dyDescent="0.3">
      <c r="M116" s="26" t="str">
        <f t="shared" si="1"/>
        <v xml:space="preserve"> </v>
      </c>
    </row>
    <row r="117" spans="13:13" x14ac:dyDescent="0.3">
      <c r="M117" s="26" t="str">
        <f t="shared" si="1"/>
        <v xml:space="preserve"> </v>
      </c>
    </row>
    <row r="118" spans="13:13" x14ac:dyDescent="0.3">
      <c r="M118" s="26" t="str">
        <f t="shared" si="1"/>
        <v xml:space="preserve"> </v>
      </c>
    </row>
    <row r="119" spans="13:13" x14ac:dyDescent="0.3">
      <c r="M119" s="26" t="str">
        <f t="shared" si="1"/>
        <v xml:space="preserve"> </v>
      </c>
    </row>
    <row r="120" spans="13:13" x14ac:dyDescent="0.3">
      <c r="M120" s="26" t="str">
        <f t="shared" si="1"/>
        <v xml:space="preserve"> </v>
      </c>
    </row>
    <row r="121" spans="13:13" x14ac:dyDescent="0.3">
      <c r="M121" s="26" t="str">
        <f t="shared" si="1"/>
        <v xml:space="preserve"> </v>
      </c>
    </row>
    <row r="122" spans="13:13" x14ac:dyDescent="0.3">
      <c r="M122" s="26" t="str">
        <f t="shared" si="1"/>
        <v xml:space="preserve"> </v>
      </c>
    </row>
    <row r="123" spans="13:13" x14ac:dyDescent="0.3">
      <c r="M123" s="26" t="str">
        <f t="shared" si="1"/>
        <v xml:space="preserve"> </v>
      </c>
    </row>
    <row r="124" spans="13:13" x14ac:dyDescent="0.3">
      <c r="M124" s="26" t="str">
        <f t="shared" si="1"/>
        <v xml:space="preserve"> </v>
      </c>
    </row>
    <row r="125" spans="13:13" x14ac:dyDescent="0.3">
      <c r="M125" s="26" t="str">
        <f t="shared" si="1"/>
        <v xml:space="preserve"> </v>
      </c>
    </row>
    <row r="126" spans="13:13" x14ac:dyDescent="0.3">
      <c r="M126" s="26" t="str">
        <f t="shared" si="1"/>
        <v xml:space="preserve"> </v>
      </c>
    </row>
    <row r="127" spans="13:13" x14ac:dyDescent="0.3">
      <c r="M127" s="26" t="str">
        <f t="shared" si="1"/>
        <v xml:space="preserve"> </v>
      </c>
    </row>
    <row r="128" spans="13:13" x14ac:dyDescent="0.3">
      <c r="M128" s="26" t="str">
        <f t="shared" si="1"/>
        <v xml:space="preserve"> </v>
      </c>
    </row>
    <row r="129" spans="13:13" x14ac:dyDescent="0.3">
      <c r="M129" s="26" t="str">
        <f t="shared" si="1"/>
        <v xml:space="preserve"> </v>
      </c>
    </row>
    <row r="130" spans="13:13" x14ac:dyDescent="0.3">
      <c r="M130" s="26" t="str">
        <f t="shared" ref="M130:M193" si="2">_xlfn.CONCAT(L130," ",F130)</f>
        <v xml:space="preserve"> </v>
      </c>
    </row>
    <row r="131" spans="13:13" x14ac:dyDescent="0.3">
      <c r="M131" s="26" t="str">
        <f t="shared" si="2"/>
        <v xml:space="preserve"> </v>
      </c>
    </row>
    <row r="132" spans="13:13" x14ac:dyDescent="0.3">
      <c r="M132" s="26" t="str">
        <f t="shared" si="2"/>
        <v xml:space="preserve"> </v>
      </c>
    </row>
    <row r="133" spans="13:13" x14ac:dyDescent="0.3">
      <c r="M133" s="26" t="str">
        <f t="shared" si="2"/>
        <v xml:space="preserve"> </v>
      </c>
    </row>
    <row r="134" spans="13:13" x14ac:dyDescent="0.3">
      <c r="M134" s="26" t="str">
        <f t="shared" si="2"/>
        <v xml:space="preserve"> </v>
      </c>
    </row>
    <row r="135" spans="13:13" x14ac:dyDescent="0.3">
      <c r="M135" s="26" t="str">
        <f t="shared" si="2"/>
        <v xml:space="preserve"> </v>
      </c>
    </row>
    <row r="136" spans="13:13" x14ac:dyDescent="0.3">
      <c r="M136" s="26" t="str">
        <f t="shared" si="2"/>
        <v xml:space="preserve"> </v>
      </c>
    </row>
    <row r="137" spans="13:13" x14ac:dyDescent="0.3">
      <c r="M137" s="26" t="str">
        <f t="shared" si="2"/>
        <v xml:space="preserve"> </v>
      </c>
    </row>
    <row r="138" spans="13:13" x14ac:dyDescent="0.3">
      <c r="M138" s="26" t="str">
        <f t="shared" si="2"/>
        <v xml:space="preserve"> </v>
      </c>
    </row>
    <row r="139" spans="13:13" x14ac:dyDescent="0.3">
      <c r="M139" s="26" t="str">
        <f t="shared" si="2"/>
        <v xml:space="preserve"> </v>
      </c>
    </row>
    <row r="140" spans="13:13" x14ac:dyDescent="0.3">
      <c r="M140" s="26" t="str">
        <f t="shared" si="2"/>
        <v xml:space="preserve"> </v>
      </c>
    </row>
    <row r="141" spans="13:13" x14ac:dyDescent="0.3">
      <c r="M141" s="26" t="str">
        <f t="shared" si="2"/>
        <v xml:space="preserve"> </v>
      </c>
    </row>
    <row r="142" spans="13:13" x14ac:dyDescent="0.3">
      <c r="M142" s="26" t="str">
        <f t="shared" si="2"/>
        <v xml:space="preserve"> </v>
      </c>
    </row>
    <row r="143" spans="13:13" x14ac:dyDescent="0.3">
      <c r="M143" s="26" t="str">
        <f t="shared" si="2"/>
        <v xml:space="preserve"> </v>
      </c>
    </row>
    <row r="144" spans="13:13" x14ac:dyDescent="0.3">
      <c r="M144" s="26" t="str">
        <f t="shared" si="2"/>
        <v xml:space="preserve"> </v>
      </c>
    </row>
    <row r="145" spans="13:13" x14ac:dyDescent="0.3">
      <c r="M145" s="26" t="str">
        <f t="shared" si="2"/>
        <v xml:space="preserve"> </v>
      </c>
    </row>
    <row r="146" spans="13:13" x14ac:dyDescent="0.3">
      <c r="M146" s="26" t="str">
        <f t="shared" si="2"/>
        <v xml:space="preserve"> </v>
      </c>
    </row>
    <row r="147" spans="13:13" x14ac:dyDescent="0.3">
      <c r="M147" s="26" t="str">
        <f t="shared" si="2"/>
        <v xml:space="preserve"> </v>
      </c>
    </row>
    <row r="148" spans="13:13" x14ac:dyDescent="0.3">
      <c r="M148" s="26" t="str">
        <f t="shared" si="2"/>
        <v xml:space="preserve"> </v>
      </c>
    </row>
    <row r="149" spans="13:13" x14ac:dyDescent="0.3">
      <c r="M149" s="26" t="str">
        <f t="shared" si="2"/>
        <v xml:space="preserve"> </v>
      </c>
    </row>
    <row r="150" spans="13:13" x14ac:dyDescent="0.3">
      <c r="M150" s="26" t="str">
        <f t="shared" si="2"/>
        <v xml:space="preserve"> </v>
      </c>
    </row>
    <row r="151" spans="13:13" x14ac:dyDescent="0.3">
      <c r="M151" s="26" t="str">
        <f t="shared" si="2"/>
        <v xml:space="preserve"> </v>
      </c>
    </row>
    <row r="152" spans="13:13" x14ac:dyDescent="0.3">
      <c r="M152" s="26" t="str">
        <f t="shared" si="2"/>
        <v xml:space="preserve"> </v>
      </c>
    </row>
    <row r="153" spans="13:13" x14ac:dyDescent="0.3">
      <c r="M153" s="26" t="str">
        <f t="shared" si="2"/>
        <v xml:space="preserve"> </v>
      </c>
    </row>
    <row r="154" spans="13:13" x14ac:dyDescent="0.3">
      <c r="M154" s="26" t="str">
        <f t="shared" si="2"/>
        <v xml:space="preserve"> </v>
      </c>
    </row>
    <row r="155" spans="13:13" x14ac:dyDescent="0.3">
      <c r="M155" s="26" t="str">
        <f t="shared" si="2"/>
        <v xml:space="preserve"> </v>
      </c>
    </row>
    <row r="156" spans="13:13" x14ac:dyDescent="0.3">
      <c r="M156" s="26" t="str">
        <f t="shared" si="2"/>
        <v xml:space="preserve"> </v>
      </c>
    </row>
    <row r="157" spans="13:13" x14ac:dyDescent="0.3">
      <c r="M157" s="26" t="str">
        <f t="shared" si="2"/>
        <v xml:space="preserve"> </v>
      </c>
    </row>
    <row r="158" spans="13:13" x14ac:dyDescent="0.3">
      <c r="M158" s="26" t="str">
        <f t="shared" si="2"/>
        <v xml:space="preserve"> </v>
      </c>
    </row>
    <row r="159" spans="13:13" x14ac:dyDescent="0.3">
      <c r="M159" s="26" t="str">
        <f t="shared" si="2"/>
        <v xml:space="preserve"> </v>
      </c>
    </row>
    <row r="160" spans="13:13" x14ac:dyDescent="0.3">
      <c r="M160" s="26" t="str">
        <f t="shared" si="2"/>
        <v xml:space="preserve"> </v>
      </c>
    </row>
    <row r="161" spans="13:13" x14ac:dyDescent="0.3">
      <c r="M161" s="26" t="str">
        <f t="shared" si="2"/>
        <v xml:space="preserve"> </v>
      </c>
    </row>
    <row r="162" spans="13:13" x14ac:dyDescent="0.3">
      <c r="M162" s="26" t="str">
        <f t="shared" si="2"/>
        <v xml:space="preserve"> </v>
      </c>
    </row>
    <row r="163" spans="13:13" x14ac:dyDescent="0.3">
      <c r="M163" s="26" t="str">
        <f t="shared" si="2"/>
        <v xml:space="preserve"> </v>
      </c>
    </row>
    <row r="164" spans="13:13" x14ac:dyDescent="0.3">
      <c r="M164" s="26" t="str">
        <f t="shared" si="2"/>
        <v xml:space="preserve"> </v>
      </c>
    </row>
    <row r="165" spans="13:13" x14ac:dyDescent="0.3">
      <c r="M165" s="26" t="str">
        <f t="shared" si="2"/>
        <v xml:space="preserve"> </v>
      </c>
    </row>
    <row r="166" spans="13:13" x14ac:dyDescent="0.3">
      <c r="M166" s="26" t="str">
        <f t="shared" si="2"/>
        <v xml:space="preserve"> </v>
      </c>
    </row>
    <row r="167" spans="13:13" x14ac:dyDescent="0.3">
      <c r="M167" s="26" t="str">
        <f t="shared" si="2"/>
        <v xml:space="preserve"> </v>
      </c>
    </row>
    <row r="168" spans="13:13" x14ac:dyDescent="0.3">
      <c r="M168" s="26" t="str">
        <f t="shared" si="2"/>
        <v xml:space="preserve"> </v>
      </c>
    </row>
    <row r="169" spans="13:13" x14ac:dyDescent="0.3">
      <c r="M169" s="26" t="str">
        <f t="shared" si="2"/>
        <v xml:space="preserve"> </v>
      </c>
    </row>
    <row r="170" spans="13:13" x14ac:dyDescent="0.3">
      <c r="M170" s="26" t="str">
        <f t="shared" si="2"/>
        <v xml:space="preserve"> </v>
      </c>
    </row>
    <row r="171" spans="13:13" x14ac:dyDescent="0.3">
      <c r="M171" s="26" t="str">
        <f t="shared" si="2"/>
        <v xml:space="preserve"> </v>
      </c>
    </row>
    <row r="172" spans="13:13" x14ac:dyDescent="0.3">
      <c r="M172" s="26" t="str">
        <f t="shared" si="2"/>
        <v xml:space="preserve"> </v>
      </c>
    </row>
    <row r="173" spans="13:13" x14ac:dyDescent="0.3">
      <c r="M173" s="26" t="str">
        <f t="shared" si="2"/>
        <v xml:space="preserve"> </v>
      </c>
    </row>
    <row r="174" spans="13:13" x14ac:dyDescent="0.3">
      <c r="M174" s="26" t="str">
        <f t="shared" si="2"/>
        <v xml:space="preserve"> </v>
      </c>
    </row>
    <row r="175" spans="13:13" x14ac:dyDescent="0.3">
      <c r="M175" s="26" t="str">
        <f t="shared" si="2"/>
        <v xml:space="preserve"> </v>
      </c>
    </row>
    <row r="176" spans="13:13" x14ac:dyDescent="0.3">
      <c r="M176" s="26" t="str">
        <f t="shared" si="2"/>
        <v xml:space="preserve"> </v>
      </c>
    </row>
    <row r="177" spans="13:13" x14ac:dyDescent="0.3">
      <c r="M177" s="26" t="str">
        <f t="shared" si="2"/>
        <v xml:space="preserve"> </v>
      </c>
    </row>
    <row r="178" spans="13:13" x14ac:dyDescent="0.3">
      <c r="M178" s="26" t="str">
        <f t="shared" si="2"/>
        <v xml:space="preserve"> </v>
      </c>
    </row>
    <row r="179" spans="13:13" x14ac:dyDescent="0.3">
      <c r="M179" s="26" t="str">
        <f t="shared" si="2"/>
        <v xml:space="preserve"> </v>
      </c>
    </row>
    <row r="180" spans="13:13" x14ac:dyDescent="0.3">
      <c r="M180" s="26" t="str">
        <f t="shared" si="2"/>
        <v xml:space="preserve"> </v>
      </c>
    </row>
    <row r="181" spans="13:13" x14ac:dyDescent="0.3">
      <c r="M181" s="26" t="str">
        <f t="shared" si="2"/>
        <v xml:space="preserve"> </v>
      </c>
    </row>
    <row r="182" spans="13:13" x14ac:dyDescent="0.3">
      <c r="M182" s="26" t="str">
        <f t="shared" si="2"/>
        <v xml:space="preserve"> </v>
      </c>
    </row>
    <row r="183" spans="13:13" x14ac:dyDescent="0.3">
      <c r="M183" s="26" t="str">
        <f t="shared" si="2"/>
        <v xml:space="preserve"> </v>
      </c>
    </row>
    <row r="184" spans="13:13" x14ac:dyDescent="0.3">
      <c r="M184" s="26" t="str">
        <f t="shared" si="2"/>
        <v xml:space="preserve"> </v>
      </c>
    </row>
    <row r="185" spans="13:13" x14ac:dyDescent="0.3">
      <c r="M185" s="26" t="str">
        <f t="shared" si="2"/>
        <v xml:space="preserve"> </v>
      </c>
    </row>
    <row r="186" spans="13:13" x14ac:dyDescent="0.3">
      <c r="M186" s="26" t="str">
        <f t="shared" si="2"/>
        <v xml:space="preserve"> </v>
      </c>
    </row>
    <row r="187" spans="13:13" x14ac:dyDescent="0.3">
      <c r="M187" s="26" t="str">
        <f t="shared" si="2"/>
        <v xml:space="preserve"> </v>
      </c>
    </row>
    <row r="188" spans="13:13" x14ac:dyDescent="0.3">
      <c r="M188" s="26" t="str">
        <f t="shared" si="2"/>
        <v xml:space="preserve"> </v>
      </c>
    </row>
    <row r="189" spans="13:13" x14ac:dyDescent="0.3">
      <c r="M189" s="26" t="str">
        <f t="shared" si="2"/>
        <v xml:space="preserve"> </v>
      </c>
    </row>
    <row r="190" spans="13:13" x14ac:dyDescent="0.3">
      <c r="M190" s="26" t="str">
        <f t="shared" si="2"/>
        <v xml:space="preserve"> </v>
      </c>
    </row>
    <row r="191" spans="13:13" x14ac:dyDescent="0.3">
      <c r="M191" s="26" t="str">
        <f t="shared" si="2"/>
        <v xml:space="preserve"> </v>
      </c>
    </row>
    <row r="192" spans="13:13" x14ac:dyDescent="0.3">
      <c r="M192" s="26" t="str">
        <f t="shared" si="2"/>
        <v xml:space="preserve"> </v>
      </c>
    </row>
    <row r="193" spans="13:13" x14ac:dyDescent="0.3">
      <c r="M193" s="26" t="str">
        <f t="shared" si="2"/>
        <v xml:space="preserve"> </v>
      </c>
    </row>
    <row r="194" spans="13:13" x14ac:dyDescent="0.3">
      <c r="M194" s="26" t="str">
        <f t="shared" ref="M194:M257" si="3">_xlfn.CONCAT(L194," ",F194)</f>
        <v xml:space="preserve"> </v>
      </c>
    </row>
    <row r="195" spans="13:13" x14ac:dyDescent="0.3">
      <c r="M195" s="26" t="str">
        <f t="shared" si="3"/>
        <v xml:space="preserve"> </v>
      </c>
    </row>
    <row r="196" spans="13:13" x14ac:dyDescent="0.3">
      <c r="M196" s="26" t="str">
        <f t="shared" si="3"/>
        <v xml:space="preserve"> </v>
      </c>
    </row>
    <row r="197" spans="13:13" x14ac:dyDescent="0.3">
      <c r="M197" s="26" t="str">
        <f t="shared" si="3"/>
        <v xml:space="preserve"> </v>
      </c>
    </row>
    <row r="198" spans="13:13" x14ac:dyDescent="0.3">
      <c r="M198" s="26" t="str">
        <f t="shared" si="3"/>
        <v xml:space="preserve"> </v>
      </c>
    </row>
    <row r="199" spans="13:13" x14ac:dyDescent="0.3">
      <c r="M199" s="26" t="str">
        <f t="shared" si="3"/>
        <v xml:space="preserve"> </v>
      </c>
    </row>
    <row r="200" spans="13:13" x14ac:dyDescent="0.3">
      <c r="M200" s="26" t="str">
        <f t="shared" si="3"/>
        <v xml:space="preserve"> </v>
      </c>
    </row>
    <row r="201" spans="13:13" x14ac:dyDescent="0.3">
      <c r="M201" s="26" t="str">
        <f t="shared" si="3"/>
        <v xml:space="preserve"> </v>
      </c>
    </row>
    <row r="202" spans="13:13" x14ac:dyDescent="0.3">
      <c r="M202" s="26" t="str">
        <f t="shared" si="3"/>
        <v xml:space="preserve"> </v>
      </c>
    </row>
    <row r="203" spans="13:13" x14ac:dyDescent="0.3">
      <c r="M203" s="26" t="str">
        <f t="shared" si="3"/>
        <v xml:space="preserve"> </v>
      </c>
    </row>
    <row r="204" spans="13:13" x14ac:dyDescent="0.3">
      <c r="M204" s="26" t="str">
        <f t="shared" si="3"/>
        <v xml:space="preserve"> </v>
      </c>
    </row>
    <row r="205" spans="13:13" x14ac:dyDescent="0.3">
      <c r="M205" s="26" t="str">
        <f t="shared" si="3"/>
        <v xml:space="preserve"> </v>
      </c>
    </row>
    <row r="206" spans="13:13" x14ac:dyDescent="0.3">
      <c r="M206" s="26" t="str">
        <f t="shared" si="3"/>
        <v xml:space="preserve"> </v>
      </c>
    </row>
    <row r="207" spans="13:13" x14ac:dyDescent="0.3">
      <c r="M207" s="26" t="str">
        <f t="shared" si="3"/>
        <v xml:space="preserve"> </v>
      </c>
    </row>
    <row r="208" spans="13:13" x14ac:dyDescent="0.3">
      <c r="M208" s="26" t="str">
        <f t="shared" si="3"/>
        <v xml:space="preserve"> </v>
      </c>
    </row>
    <row r="209" spans="13:13" x14ac:dyDescent="0.3">
      <c r="M209" s="26" t="str">
        <f t="shared" si="3"/>
        <v xml:space="preserve"> </v>
      </c>
    </row>
    <row r="210" spans="13:13" x14ac:dyDescent="0.3">
      <c r="M210" s="26" t="str">
        <f t="shared" si="3"/>
        <v xml:space="preserve"> </v>
      </c>
    </row>
    <row r="211" spans="13:13" x14ac:dyDescent="0.3">
      <c r="M211" s="26" t="str">
        <f t="shared" si="3"/>
        <v xml:space="preserve"> </v>
      </c>
    </row>
    <row r="212" spans="13:13" x14ac:dyDescent="0.3">
      <c r="M212" s="26" t="str">
        <f t="shared" si="3"/>
        <v xml:space="preserve"> </v>
      </c>
    </row>
    <row r="213" spans="13:13" x14ac:dyDescent="0.3">
      <c r="M213" s="26" t="str">
        <f t="shared" si="3"/>
        <v xml:space="preserve"> </v>
      </c>
    </row>
    <row r="214" spans="13:13" x14ac:dyDescent="0.3">
      <c r="M214" s="26" t="str">
        <f t="shared" si="3"/>
        <v xml:space="preserve"> </v>
      </c>
    </row>
    <row r="215" spans="13:13" x14ac:dyDescent="0.3">
      <c r="M215" s="26" t="str">
        <f t="shared" si="3"/>
        <v xml:space="preserve"> </v>
      </c>
    </row>
    <row r="216" spans="13:13" x14ac:dyDescent="0.3">
      <c r="M216" s="26" t="str">
        <f t="shared" si="3"/>
        <v xml:space="preserve"> </v>
      </c>
    </row>
    <row r="217" spans="13:13" x14ac:dyDescent="0.3">
      <c r="M217" s="26" t="str">
        <f t="shared" si="3"/>
        <v xml:space="preserve"> </v>
      </c>
    </row>
    <row r="218" spans="13:13" x14ac:dyDescent="0.3">
      <c r="M218" s="26" t="str">
        <f t="shared" si="3"/>
        <v xml:space="preserve"> </v>
      </c>
    </row>
    <row r="219" spans="13:13" x14ac:dyDescent="0.3">
      <c r="M219" s="26" t="str">
        <f t="shared" si="3"/>
        <v xml:space="preserve"> </v>
      </c>
    </row>
    <row r="220" spans="13:13" x14ac:dyDescent="0.3">
      <c r="M220" s="26" t="str">
        <f t="shared" si="3"/>
        <v xml:space="preserve"> </v>
      </c>
    </row>
    <row r="221" spans="13:13" x14ac:dyDescent="0.3">
      <c r="M221" s="26" t="str">
        <f t="shared" si="3"/>
        <v xml:space="preserve"> </v>
      </c>
    </row>
    <row r="222" spans="13:13" x14ac:dyDescent="0.3">
      <c r="M222" s="26" t="str">
        <f t="shared" si="3"/>
        <v xml:space="preserve"> </v>
      </c>
    </row>
    <row r="223" spans="13:13" x14ac:dyDescent="0.3">
      <c r="M223" s="26" t="str">
        <f t="shared" si="3"/>
        <v xml:space="preserve"> </v>
      </c>
    </row>
    <row r="224" spans="13:13" x14ac:dyDescent="0.3">
      <c r="M224" s="26" t="str">
        <f t="shared" si="3"/>
        <v xml:space="preserve"> </v>
      </c>
    </row>
    <row r="225" spans="13:13" x14ac:dyDescent="0.3">
      <c r="M225" s="26" t="str">
        <f t="shared" si="3"/>
        <v xml:space="preserve"> </v>
      </c>
    </row>
    <row r="226" spans="13:13" x14ac:dyDescent="0.3">
      <c r="M226" s="26" t="str">
        <f t="shared" si="3"/>
        <v xml:space="preserve"> </v>
      </c>
    </row>
    <row r="227" spans="13:13" x14ac:dyDescent="0.3">
      <c r="M227" s="26" t="str">
        <f t="shared" si="3"/>
        <v xml:space="preserve"> </v>
      </c>
    </row>
    <row r="228" spans="13:13" x14ac:dyDescent="0.3">
      <c r="M228" s="26" t="str">
        <f t="shared" si="3"/>
        <v xml:space="preserve"> </v>
      </c>
    </row>
    <row r="229" spans="13:13" x14ac:dyDescent="0.3">
      <c r="M229" s="26" t="str">
        <f t="shared" si="3"/>
        <v xml:space="preserve"> </v>
      </c>
    </row>
    <row r="230" spans="13:13" x14ac:dyDescent="0.3">
      <c r="M230" s="26" t="str">
        <f t="shared" si="3"/>
        <v xml:space="preserve"> </v>
      </c>
    </row>
    <row r="231" spans="13:13" x14ac:dyDescent="0.3">
      <c r="M231" s="26" t="str">
        <f t="shared" si="3"/>
        <v xml:space="preserve"> </v>
      </c>
    </row>
    <row r="232" spans="13:13" x14ac:dyDescent="0.3">
      <c r="M232" s="26" t="str">
        <f t="shared" si="3"/>
        <v xml:space="preserve"> </v>
      </c>
    </row>
    <row r="233" spans="13:13" x14ac:dyDescent="0.3">
      <c r="M233" s="26" t="str">
        <f t="shared" si="3"/>
        <v xml:space="preserve"> </v>
      </c>
    </row>
    <row r="234" spans="13:13" x14ac:dyDescent="0.3">
      <c r="M234" s="26" t="str">
        <f t="shared" si="3"/>
        <v xml:space="preserve"> </v>
      </c>
    </row>
    <row r="235" spans="13:13" x14ac:dyDescent="0.3">
      <c r="M235" s="26" t="str">
        <f t="shared" si="3"/>
        <v xml:space="preserve"> </v>
      </c>
    </row>
    <row r="236" spans="13:13" x14ac:dyDescent="0.3">
      <c r="M236" s="26" t="str">
        <f t="shared" si="3"/>
        <v xml:space="preserve"> </v>
      </c>
    </row>
    <row r="237" spans="13:13" x14ac:dyDescent="0.3">
      <c r="M237" s="26" t="str">
        <f t="shared" si="3"/>
        <v xml:space="preserve"> </v>
      </c>
    </row>
    <row r="238" spans="13:13" x14ac:dyDescent="0.3">
      <c r="M238" s="26" t="str">
        <f t="shared" si="3"/>
        <v xml:space="preserve"> </v>
      </c>
    </row>
    <row r="239" spans="13:13" x14ac:dyDescent="0.3">
      <c r="M239" s="26" t="str">
        <f t="shared" si="3"/>
        <v xml:space="preserve"> </v>
      </c>
    </row>
    <row r="240" spans="13:13" x14ac:dyDescent="0.3">
      <c r="M240" s="26" t="str">
        <f t="shared" si="3"/>
        <v xml:space="preserve"> </v>
      </c>
    </row>
    <row r="241" spans="13:13" x14ac:dyDescent="0.3">
      <c r="M241" s="26" t="str">
        <f t="shared" si="3"/>
        <v xml:space="preserve"> </v>
      </c>
    </row>
    <row r="242" spans="13:13" x14ac:dyDescent="0.3">
      <c r="M242" s="26" t="str">
        <f t="shared" si="3"/>
        <v xml:space="preserve"> </v>
      </c>
    </row>
    <row r="243" spans="13:13" x14ac:dyDescent="0.3">
      <c r="M243" s="26" t="str">
        <f t="shared" si="3"/>
        <v xml:space="preserve"> </v>
      </c>
    </row>
    <row r="244" spans="13:13" x14ac:dyDescent="0.3">
      <c r="M244" s="26" t="str">
        <f t="shared" si="3"/>
        <v xml:space="preserve"> </v>
      </c>
    </row>
    <row r="245" spans="13:13" x14ac:dyDescent="0.3">
      <c r="M245" s="26" t="str">
        <f t="shared" si="3"/>
        <v xml:space="preserve"> </v>
      </c>
    </row>
    <row r="246" spans="13:13" x14ac:dyDescent="0.3">
      <c r="M246" s="26" t="str">
        <f t="shared" si="3"/>
        <v xml:space="preserve"> </v>
      </c>
    </row>
    <row r="247" spans="13:13" x14ac:dyDescent="0.3">
      <c r="M247" s="26" t="str">
        <f t="shared" si="3"/>
        <v xml:space="preserve"> </v>
      </c>
    </row>
    <row r="248" spans="13:13" x14ac:dyDescent="0.3">
      <c r="M248" s="26" t="str">
        <f t="shared" si="3"/>
        <v xml:space="preserve"> </v>
      </c>
    </row>
    <row r="249" spans="13:13" x14ac:dyDescent="0.3">
      <c r="M249" s="26" t="str">
        <f t="shared" si="3"/>
        <v xml:space="preserve"> </v>
      </c>
    </row>
    <row r="250" spans="13:13" x14ac:dyDescent="0.3">
      <c r="M250" s="26" t="str">
        <f t="shared" si="3"/>
        <v xml:space="preserve"> </v>
      </c>
    </row>
    <row r="251" spans="13:13" x14ac:dyDescent="0.3">
      <c r="M251" s="26" t="str">
        <f t="shared" si="3"/>
        <v xml:space="preserve"> </v>
      </c>
    </row>
    <row r="252" spans="13:13" x14ac:dyDescent="0.3">
      <c r="M252" s="26" t="str">
        <f t="shared" si="3"/>
        <v xml:space="preserve"> </v>
      </c>
    </row>
    <row r="253" spans="13:13" x14ac:dyDescent="0.3">
      <c r="M253" s="26" t="str">
        <f t="shared" si="3"/>
        <v xml:space="preserve"> </v>
      </c>
    </row>
    <row r="254" spans="13:13" x14ac:dyDescent="0.3">
      <c r="M254" s="26" t="str">
        <f t="shared" si="3"/>
        <v xml:space="preserve"> </v>
      </c>
    </row>
    <row r="255" spans="13:13" x14ac:dyDescent="0.3">
      <c r="M255" s="26" t="str">
        <f t="shared" si="3"/>
        <v xml:space="preserve"> </v>
      </c>
    </row>
    <row r="256" spans="13:13" x14ac:dyDescent="0.3">
      <c r="M256" s="26" t="str">
        <f t="shared" si="3"/>
        <v xml:space="preserve"> </v>
      </c>
    </row>
    <row r="257" spans="13:13" x14ac:dyDescent="0.3">
      <c r="M257" s="26" t="str">
        <f t="shared" si="3"/>
        <v xml:space="preserve"> </v>
      </c>
    </row>
    <row r="258" spans="13:13" x14ac:dyDescent="0.3">
      <c r="M258" s="26" t="str">
        <f t="shared" ref="M258:M321" si="4">_xlfn.CONCAT(L258," ",F258)</f>
        <v xml:space="preserve"> </v>
      </c>
    </row>
    <row r="259" spans="13:13" x14ac:dyDescent="0.3">
      <c r="M259" s="26" t="str">
        <f t="shared" si="4"/>
        <v xml:space="preserve"> </v>
      </c>
    </row>
    <row r="260" spans="13:13" x14ac:dyDescent="0.3">
      <c r="M260" s="26" t="str">
        <f t="shared" si="4"/>
        <v xml:space="preserve"> </v>
      </c>
    </row>
    <row r="261" spans="13:13" x14ac:dyDescent="0.3">
      <c r="M261" s="26" t="str">
        <f t="shared" si="4"/>
        <v xml:space="preserve"> </v>
      </c>
    </row>
    <row r="262" spans="13:13" x14ac:dyDescent="0.3">
      <c r="M262" s="26" t="str">
        <f t="shared" si="4"/>
        <v xml:space="preserve"> </v>
      </c>
    </row>
    <row r="263" spans="13:13" x14ac:dyDescent="0.3">
      <c r="M263" s="26" t="str">
        <f t="shared" si="4"/>
        <v xml:space="preserve"> </v>
      </c>
    </row>
    <row r="264" spans="13:13" x14ac:dyDescent="0.3">
      <c r="M264" s="26" t="str">
        <f t="shared" si="4"/>
        <v xml:space="preserve"> </v>
      </c>
    </row>
    <row r="265" spans="13:13" x14ac:dyDescent="0.3">
      <c r="M265" s="26" t="str">
        <f t="shared" si="4"/>
        <v xml:space="preserve"> </v>
      </c>
    </row>
    <row r="266" spans="13:13" x14ac:dyDescent="0.3">
      <c r="M266" s="26" t="str">
        <f t="shared" si="4"/>
        <v xml:space="preserve"> </v>
      </c>
    </row>
    <row r="267" spans="13:13" x14ac:dyDescent="0.3">
      <c r="M267" s="26" t="str">
        <f t="shared" si="4"/>
        <v xml:space="preserve"> </v>
      </c>
    </row>
    <row r="268" spans="13:13" x14ac:dyDescent="0.3">
      <c r="M268" s="26" t="str">
        <f t="shared" si="4"/>
        <v xml:space="preserve"> </v>
      </c>
    </row>
    <row r="269" spans="13:13" x14ac:dyDescent="0.3">
      <c r="M269" s="26" t="str">
        <f t="shared" si="4"/>
        <v xml:space="preserve"> </v>
      </c>
    </row>
    <row r="270" spans="13:13" x14ac:dyDescent="0.3">
      <c r="M270" s="26" t="str">
        <f t="shared" si="4"/>
        <v xml:space="preserve"> </v>
      </c>
    </row>
    <row r="271" spans="13:13" x14ac:dyDescent="0.3">
      <c r="M271" s="26" t="str">
        <f t="shared" si="4"/>
        <v xml:space="preserve"> </v>
      </c>
    </row>
    <row r="272" spans="13:13" x14ac:dyDescent="0.3">
      <c r="M272" s="26" t="str">
        <f t="shared" si="4"/>
        <v xml:space="preserve"> </v>
      </c>
    </row>
    <row r="273" spans="13:13" x14ac:dyDescent="0.3">
      <c r="M273" s="26" t="str">
        <f t="shared" si="4"/>
        <v xml:space="preserve"> </v>
      </c>
    </row>
    <row r="274" spans="13:13" x14ac:dyDescent="0.3">
      <c r="M274" s="26" t="str">
        <f t="shared" si="4"/>
        <v xml:space="preserve"> </v>
      </c>
    </row>
    <row r="275" spans="13:13" x14ac:dyDescent="0.3">
      <c r="M275" s="26" t="str">
        <f t="shared" si="4"/>
        <v xml:space="preserve"> </v>
      </c>
    </row>
    <row r="276" spans="13:13" x14ac:dyDescent="0.3">
      <c r="M276" s="26" t="str">
        <f t="shared" si="4"/>
        <v xml:space="preserve"> </v>
      </c>
    </row>
    <row r="277" spans="13:13" x14ac:dyDescent="0.3">
      <c r="M277" s="26" t="str">
        <f t="shared" si="4"/>
        <v xml:space="preserve"> </v>
      </c>
    </row>
    <row r="278" spans="13:13" x14ac:dyDescent="0.3">
      <c r="M278" s="26" t="str">
        <f t="shared" si="4"/>
        <v xml:space="preserve"> </v>
      </c>
    </row>
    <row r="279" spans="13:13" x14ac:dyDescent="0.3">
      <c r="M279" s="26" t="str">
        <f t="shared" si="4"/>
        <v xml:space="preserve"> </v>
      </c>
    </row>
    <row r="280" spans="13:13" x14ac:dyDescent="0.3">
      <c r="M280" s="26" t="str">
        <f t="shared" si="4"/>
        <v xml:space="preserve"> </v>
      </c>
    </row>
    <row r="281" spans="13:13" x14ac:dyDescent="0.3">
      <c r="M281" s="26" t="str">
        <f t="shared" si="4"/>
        <v xml:space="preserve"> </v>
      </c>
    </row>
    <row r="282" spans="13:13" x14ac:dyDescent="0.3">
      <c r="M282" s="26" t="str">
        <f t="shared" si="4"/>
        <v xml:space="preserve"> </v>
      </c>
    </row>
    <row r="283" spans="13:13" x14ac:dyDescent="0.3">
      <c r="M283" s="26" t="str">
        <f t="shared" si="4"/>
        <v xml:space="preserve"> </v>
      </c>
    </row>
    <row r="284" spans="13:13" x14ac:dyDescent="0.3">
      <c r="M284" s="26" t="str">
        <f t="shared" si="4"/>
        <v xml:space="preserve"> </v>
      </c>
    </row>
    <row r="285" spans="13:13" x14ac:dyDescent="0.3">
      <c r="M285" s="26" t="str">
        <f t="shared" si="4"/>
        <v xml:space="preserve"> </v>
      </c>
    </row>
    <row r="286" spans="13:13" x14ac:dyDescent="0.3">
      <c r="M286" s="26" t="str">
        <f t="shared" si="4"/>
        <v xml:space="preserve"> </v>
      </c>
    </row>
    <row r="287" spans="13:13" x14ac:dyDescent="0.3">
      <c r="M287" s="26" t="str">
        <f t="shared" si="4"/>
        <v xml:space="preserve"> </v>
      </c>
    </row>
    <row r="288" spans="13:13" x14ac:dyDescent="0.3">
      <c r="M288" s="26" t="str">
        <f t="shared" si="4"/>
        <v xml:space="preserve"> </v>
      </c>
    </row>
    <row r="289" spans="13:13" x14ac:dyDescent="0.3">
      <c r="M289" s="26" t="str">
        <f t="shared" si="4"/>
        <v xml:space="preserve"> </v>
      </c>
    </row>
    <row r="290" spans="13:13" x14ac:dyDescent="0.3">
      <c r="M290" s="26" t="str">
        <f t="shared" si="4"/>
        <v xml:space="preserve"> </v>
      </c>
    </row>
    <row r="291" spans="13:13" x14ac:dyDescent="0.3">
      <c r="M291" s="26" t="str">
        <f t="shared" si="4"/>
        <v xml:space="preserve"> </v>
      </c>
    </row>
    <row r="292" spans="13:13" x14ac:dyDescent="0.3">
      <c r="M292" s="26" t="str">
        <f t="shared" si="4"/>
        <v xml:space="preserve"> </v>
      </c>
    </row>
    <row r="293" spans="13:13" x14ac:dyDescent="0.3">
      <c r="M293" s="26" t="str">
        <f t="shared" si="4"/>
        <v xml:space="preserve"> </v>
      </c>
    </row>
    <row r="294" spans="13:13" x14ac:dyDescent="0.3">
      <c r="M294" s="26" t="str">
        <f t="shared" si="4"/>
        <v xml:space="preserve"> </v>
      </c>
    </row>
    <row r="295" spans="13:13" x14ac:dyDescent="0.3">
      <c r="M295" s="26" t="str">
        <f t="shared" si="4"/>
        <v xml:space="preserve"> </v>
      </c>
    </row>
    <row r="296" spans="13:13" x14ac:dyDescent="0.3">
      <c r="M296" s="26" t="str">
        <f t="shared" si="4"/>
        <v xml:space="preserve"> </v>
      </c>
    </row>
    <row r="297" spans="13:13" x14ac:dyDescent="0.3">
      <c r="M297" s="26" t="str">
        <f t="shared" si="4"/>
        <v xml:space="preserve"> </v>
      </c>
    </row>
    <row r="298" spans="13:13" x14ac:dyDescent="0.3">
      <c r="M298" s="26" t="str">
        <f t="shared" si="4"/>
        <v xml:space="preserve"> </v>
      </c>
    </row>
    <row r="299" spans="13:13" x14ac:dyDescent="0.3">
      <c r="M299" s="26" t="str">
        <f t="shared" si="4"/>
        <v xml:space="preserve"> </v>
      </c>
    </row>
    <row r="300" spans="13:13" x14ac:dyDescent="0.3">
      <c r="M300" s="26" t="str">
        <f t="shared" si="4"/>
        <v xml:space="preserve"> </v>
      </c>
    </row>
    <row r="301" spans="13:13" x14ac:dyDescent="0.3">
      <c r="M301" s="26" t="str">
        <f t="shared" si="4"/>
        <v xml:space="preserve"> </v>
      </c>
    </row>
    <row r="302" spans="13:13" x14ac:dyDescent="0.3">
      <c r="M302" s="26" t="str">
        <f t="shared" si="4"/>
        <v xml:space="preserve"> </v>
      </c>
    </row>
    <row r="303" spans="13:13" x14ac:dyDescent="0.3">
      <c r="M303" s="26" t="str">
        <f t="shared" si="4"/>
        <v xml:space="preserve"> </v>
      </c>
    </row>
    <row r="304" spans="13:13" x14ac:dyDescent="0.3">
      <c r="M304" s="26" t="str">
        <f t="shared" si="4"/>
        <v xml:space="preserve"> </v>
      </c>
    </row>
    <row r="305" spans="13:13" x14ac:dyDescent="0.3">
      <c r="M305" s="26" t="str">
        <f t="shared" si="4"/>
        <v xml:space="preserve"> </v>
      </c>
    </row>
    <row r="306" spans="13:13" x14ac:dyDescent="0.3">
      <c r="M306" s="26" t="str">
        <f t="shared" si="4"/>
        <v xml:space="preserve"> </v>
      </c>
    </row>
    <row r="307" spans="13:13" x14ac:dyDescent="0.3">
      <c r="M307" s="26" t="str">
        <f t="shared" si="4"/>
        <v xml:space="preserve"> </v>
      </c>
    </row>
    <row r="308" spans="13:13" x14ac:dyDescent="0.3">
      <c r="M308" s="26" t="str">
        <f t="shared" si="4"/>
        <v xml:space="preserve"> </v>
      </c>
    </row>
    <row r="309" spans="13:13" x14ac:dyDescent="0.3">
      <c r="M309" s="26" t="str">
        <f t="shared" si="4"/>
        <v xml:space="preserve"> </v>
      </c>
    </row>
    <row r="310" spans="13:13" x14ac:dyDescent="0.3">
      <c r="M310" s="26" t="str">
        <f t="shared" si="4"/>
        <v xml:space="preserve"> </v>
      </c>
    </row>
    <row r="311" spans="13:13" x14ac:dyDescent="0.3">
      <c r="M311" s="26" t="str">
        <f t="shared" si="4"/>
        <v xml:space="preserve"> </v>
      </c>
    </row>
    <row r="312" spans="13:13" x14ac:dyDescent="0.3">
      <c r="M312" s="26" t="str">
        <f t="shared" si="4"/>
        <v xml:space="preserve"> </v>
      </c>
    </row>
    <row r="313" spans="13:13" x14ac:dyDescent="0.3">
      <c r="M313" s="26" t="str">
        <f t="shared" si="4"/>
        <v xml:space="preserve"> </v>
      </c>
    </row>
    <row r="314" spans="13:13" x14ac:dyDescent="0.3">
      <c r="M314" s="26" t="str">
        <f t="shared" si="4"/>
        <v xml:space="preserve"> </v>
      </c>
    </row>
    <row r="315" spans="13:13" x14ac:dyDescent="0.3">
      <c r="M315" s="26" t="str">
        <f t="shared" si="4"/>
        <v xml:space="preserve"> </v>
      </c>
    </row>
    <row r="316" spans="13:13" x14ac:dyDescent="0.3">
      <c r="M316" s="26" t="str">
        <f t="shared" si="4"/>
        <v xml:space="preserve"> </v>
      </c>
    </row>
    <row r="317" spans="13:13" x14ac:dyDescent="0.3">
      <c r="M317" s="26" t="str">
        <f t="shared" si="4"/>
        <v xml:space="preserve"> </v>
      </c>
    </row>
    <row r="318" spans="13:13" x14ac:dyDescent="0.3">
      <c r="M318" s="26" t="str">
        <f t="shared" si="4"/>
        <v xml:space="preserve"> </v>
      </c>
    </row>
    <row r="319" spans="13:13" x14ac:dyDescent="0.3">
      <c r="M319" s="26" t="str">
        <f t="shared" si="4"/>
        <v xml:space="preserve"> </v>
      </c>
    </row>
    <row r="320" spans="13:13" x14ac:dyDescent="0.3">
      <c r="M320" s="26" t="str">
        <f t="shared" si="4"/>
        <v xml:space="preserve"> </v>
      </c>
    </row>
    <row r="321" spans="13:13" x14ac:dyDescent="0.3">
      <c r="M321" s="26" t="str">
        <f t="shared" si="4"/>
        <v xml:space="preserve"> </v>
      </c>
    </row>
    <row r="322" spans="13:13" x14ac:dyDescent="0.3">
      <c r="M322" s="26" t="str">
        <f t="shared" ref="M322:M385" si="5">_xlfn.CONCAT(L322," ",F322)</f>
        <v xml:space="preserve"> </v>
      </c>
    </row>
    <row r="323" spans="13:13" x14ac:dyDescent="0.3">
      <c r="M323" s="26" t="str">
        <f t="shared" si="5"/>
        <v xml:space="preserve"> </v>
      </c>
    </row>
    <row r="324" spans="13:13" x14ac:dyDescent="0.3">
      <c r="M324" s="26" t="str">
        <f t="shared" si="5"/>
        <v xml:space="preserve"> </v>
      </c>
    </row>
    <row r="325" spans="13:13" x14ac:dyDescent="0.3">
      <c r="M325" s="26" t="str">
        <f t="shared" si="5"/>
        <v xml:space="preserve"> </v>
      </c>
    </row>
    <row r="326" spans="13:13" x14ac:dyDescent="0.3">
      <c r="M326" s="26" t="str">
        <f t="shared" si="5"/>
        <v xml:space="preserve"> </v>
      </c>
    </row>
    <row r="327" spans="13:13" x14ac:dyDescent="0.3">
      <c r="M327" s="26" t="str">
        <f t="shared" si="5"/>
        <v xml:space="preserve"> </v>
      </c>
    </row>
    <row r="328" spans="13:13" x14ac:dyDescent="0.3">
      <c r="M328" s="26" t="str">
        <f t="shared" si="5"/>
        <v xml:space="preserve"> </v>
      </c>
    </row>
    <row r="329" spans="13:13" x14ac:dyDescent="0.3">
      <c r="M329" s="26" t="str">
        <f t="shared" si="5"/>
        <v xml:space="preserve"> </v>
      </c>
    </row>
    <row r="330" spans="13:13" x14ac:dyDescent="0.3">
      <c r="M330" s="26" t="str">
        <f t="shared" si="5"/>
        <v xml:space="preserve"> </v>
      </c>
    </row>
    <row r="331" spans="13:13" x14ac:dyDescent="0.3">
      <c r="M331" s="26" t="str">
        <f t="shared" si="5"/>
        <v xml:space="preserve"> </v>
      </c>
    </row>
    <row r="332" spans="13:13" x14ac:dyDescent="0.3">
      <c r="M332" s="26" t="str">
        <f t="shared" si="5"/>
        <v xml:space="preserve"> </v>
      </c>
    </row>
    <row r="333" spans="13:13" x14ac:dyDescent="0.3">
      <c r="M333" s="26" t="str">
        <f t="shared" si="5"/>
        <v xml:space="preserve"> </v>
      </c>
    </row>
    <row r="334" spans="13:13" x14ac:dyDescent="0.3">
      <c r="M334" s="26" t="str">
        <f t="shared" si="5"/>
        <v xml:space="preserve"> </v>
      </c>
    </row>
    <row r="335" spans="13:13" x14ac:dyDescent="0.3">
      <c r="M335" s="26" t="str">
        <f t="shared" si="5"/>
        <v xml:space="preserve"> </v>
      </c>
    </row>
    <row r="336" spans="13:13" x14ac:dyDescent="0.3">
      <c r="M336" s="26" t="str">
        <f t="shared" si="5"/>
        <v xml:space="preserve"> </v>
      </c>
    </row>
    <row r="337" spans="13:13" x14ac:dyDescent="0.3">
      <c r="M337" s="26" t="str">
        <f t="shared" si="5"/>
        <v xml:space="preserve"> </v>
      </c>
    </row>
    <row r="338" spans="13:13" x14ac:dyDescent="0.3">
      <c r="M338" s="26" t="str">
        <f t="shared" si="5"/>
        <v xml:space="preserve"> </v>
      </c>
    </row>
    <row r="339" spans="13:13" x14ac:dyDescent="0.3">
      <c r="M339" s="26" t="str">
        <f t="shared" si="5"/>
        <v xml:space="preserve"> </v>
      </c>
    </row>
    <row r="340" spans="13:13" x14ac:dyDescent="0.3">
      <c r="M340" s="26" t="str">
        <f t="shared" si="5"/>
        <v xml:space="preserve"> </v>
      </c>
    </row>
    <row r="341" spans="13:13" x14ac:dyDescent="0.3">
      <c r="M341" s="26" t="str">
        <f t="shared" si="5"/>
        <v xml:space="preserve"> </v>
      </c>
    </row>
    <row r="342" spans="13:13" x14ac:dyDescent="0.3">
      <c r="M342" s="26" t="str">
        <f t="shared" si="5"/>
        <v xml:space="preserve"> </v>
      </c>
    </row>
    <row r="343" spans="13:13" x14ac:dyDescent="0.3">
      <c r="M343" s="26" t="str">
        <f t="shared" si="5"/>
        <v xml:space="preserve"> </v>
      </c>
    </row>
    <row r="344" spans="13:13" x14ac:dyDescent="0.3">
      <c r="M344" s="26" t="str">
        <f t="shared" si="5"/>
        <v xml:space="preserve"> </v>
      </c>
    </row>
    <row r="345" spans="13:13" x14ac:dyDescent="0.3">
      <c r="M345" s="26" t="str">
        <f t="shared" si="5"/>
        <v xml:space="preserve"> </v>
      </c>
    </row>
    <row r="346" spans="13:13" x14ac:dyDescent="0.3">
      <c r="M346" s="26" t="str">
        <f t="shared" si="5"/>
        <v xml:space="preserve"> </v>
      </c>
    </row>
    <row r="347" spans="13:13" x14ac:dyDescent="0.3">
      <c r="M347" s="26" t="str">
        <f t="shared" si="5"/>
        <v xml:space="preserve"> </v>
      </c>
    </row>
    <row r="348" spans="13:13" x14ac:dyDescent="0.3">
      <c r="M348" s="26" t="str">
        <f t="shared" si="5"/>
        <v xml:space="preserve"> </v>
      </c>
    </row>
    <row r="349" spans="13:13" x14ac:dyDescent="0.3">
      <c r="M349" s="26" t="str">
        <f t="shared" si="5"/>
        <v xml:space="preserve"> </v>
      </c>
    </row>
    <row r="350" spans="13:13" x14ac:dyDescent="0.3">
      <c r="M350" s="26" t="str">
        <f t="shared" si="5"/>
        <v xml:space="preserve"> </v>
      </c>
    </row>
    <row r="351" spans="13:13" x14ac:dyDescent="0.3">
      <c r="M351" s="26" t="str">
        <f t="shared" si="5"/>
        <v xml:space="preserve"> </v>
      </c>
    </row>
    <row r="352" spans="13:13" x14ac:dyDescent="0.3">
      <c r="M352" s="26" t="str">
        <f t="shared" si="5"/>
        <v xml:space="preserve"> </v>
      </c>
    </row>
    <row r="353" spans="13:13" x14ac:dyDescent="0.3">
      <c r="M353" s="26" t="str">
        <f t="shared" si="5"/>
        <v xml:space="preserve"> </v>
      </c>
    </row>
    <row r="354" spans="13:13" x14ac:dyDescent="0.3">
      <c r="M354" s="26" t="str">
        <f t="shared" si="5"/>
        <v xml:space="preserve"> </v>
      </c>
    </row>
    <row r="355" spans="13:13" x14ac:dyDescent="0.3">
      <c r="M355" s="26" t="str">
        <f t="shared" si="5"/>
        <v xml:space="preserve"> </v>
      </c>
    </row>
    <row r="356" spans="13:13" x14ac:dyDescent="0.3">
      <c r="M356" s="26" t="str">
        <f t="shared" si="5"/>
        <v xml:space="preserve"> </v>
      </c>
    </row>
    <row r="357" spans="13:13" x14ac:dyDescent="0.3">
      <c r="M357" s="26" t="str">
        <f t="shared" si="5"/>
        <v xml:space="preserve"> </v>
      </c>
    </row>
    <row r="358" spans="13:13" x14ac:dyDescent="0.3">
      <c r="M358" s="26" t="str">
        <f t="shared" si="5"/>
        <v xml:space="preserve"> </v>
      </c>
    </row>
    <row r="359" spans="13:13" x14ac:dyDescent="0.3">
      <c r="M359" s="26" t="str">
        <f t="shared" si="5"/>
        <v xml:space="preserve"> </v>
      </c>
    </row>
    <row r="360" spans="13:13" x14ac:dyDescent="0.3">
      <c r="M360" s="26" t="str">
        <f t="shared" si="5"/>
        <v xml:space="preserve"> </v>
      </c>
    </row>
    <row r="361" spans="13:13" x14ac:dyDescent="0.3">
      <c r="M361" s="26" t="str">
        <f t="shared" si="5"/>
        <v xml:space="preserve"> </v>
      </c>
    </row>
    <row r="362" spans="13:13" x14ac:dyDescent="0.3">
      <c r="M362" s="26" t="str">
        <f t="shared" si="5"/>
        <v xml:space="preserve"> </v>
      </c>
    </row>
    <row r="363" spans="13:13" x14ac:dyDescent="0.3">
      <c r="M363" s="26" t="str">
        <f t="shared" si="5"/>
        <v xml:space="preserve"> </v>
      </c>
    </row>
    <row r="364" spans="13:13" x14ac:dyDescent="0.3">
      <c r="M364" s="26" t="str">
        <f t="shared" si="5"/>
        <v xml:space="preserve"> </v>
      </c>
    </row>
    <row r="365" spans="13:13" x14ac:dyDescent="0.3">
      <c r="M365" s="26" t="str">
        <f t="shared" si="5"/>
        <v xml:space="preserve"> </v>
      </c>
    </row>
    <row r="366" spans="13:13" x14ac:dyDescent="0.3">
      <c r="M366" s="26" t="str">
        <f t="shared" si="5"/>
        <v xml:space="preserve"> </v>
      </c>
    </row>
    <row r="367" spans="13:13" x14ac:dyDescent="0.3">
      <c r="M367" s="26" t="str">
        <f t="shared" si="5"/>
        <v xml:space="preserve"> </v>
      </c>
    </row>
    <row r="368" spans="13:13" x14ac:dyDescent="0.3">
      <c r="M368" s="26" t="str">
        <f t="shared" si="5"/>
        <v xml:space="preserve"> </v>
      </c>
    </row>
    <row r="369" spans="13:13" x14ac:dyDescent="0.3">
      <c r="M369" s="26" t="str">
        <f t="shared" si="5"/>
        <v xml:space="preserve"> </v>
      </c>
    </row>
    <row r="370" spans="13:13" x14ac:dyDescent="0.3">
      <c r="M370" s="26" t="str">
        <f t="shared" si="5"/>
        <v xml:space="preserve"> </v>
      </c>
    </row>
    <row r="371" spans="13:13" x14ac:dyDescent="0.3">
      <c r="M371" s="26" t="str">
        <f t="shared" si="5"/>
        <v xml:space="preserve"> </v>
      </c>
    </row>
    <row r="372" spans="13:13" x14ac:dyDescent="0.3">
      <c r="M372" s="26" t="str">
        <f t="shared" si="5"/>
        <v xml:space="preserve"> </v>
      </c>
    </row>
    <row r="373" spans="13:13" x14ac:dyDescent="0.3">
      <c r="M373" s="26" t="str">
        <f t="shared" si="5"/>
        <v xml:space="preserve"> </v>
      </c>
    </row>
    <row r="374" spans="13:13" x14ac:dyDescent="0.3">
      <c r="M374" s="26" t="str">
        <f t="shared" si="5"/>
        <v xml:space="preserve"> </v>
      </c>
    </row>
    <row r="375" spans="13:13" x14ac:dyDescent="0.3">
      <c r="M375" s="26" t="str">
        <f t="shared" si="5"/>
        <v xml:space="preserve"> </v>
      </c>
    </row>
    <row r="376" spans="13:13" x14ac:dyDescent="0.3">
      <c r="M376" s="26" t="str">
        <f t="shared" si="5"/>
        <v xml:space="preserve"> </v>
      </c>
    </row>
    <row r="377" spans="13:13" x14ac:dyDescent="0.3">
      <c r="M377" s="26" t="str">
        <f t="shared" si="5"/>
        <v xml:space="preserve"> </v>
      </c>
    </row>
    <row r="378" spans="13:13" x14ac:dyDescent="0.3">
      <c r="M378" s="26" t="str">
        <f t="shared" si="5"/>
        <v xml:space="preserve"> </v>
      </c>
    </row>
    <row r="379" spans="13:13" x14ac:dyDescent="0.3">
      <c r="M379" s="26" t="str">
        <f t="shared" si="5"/>
        <v xml:space="preserve"> </v>
      </c>
    </row>
    <row r="380" spans="13:13" x14ac:dyDescent="0.3">
      <c r="M380" s="26" t="str">
        <f t="shared" si="5"/>
        <v xml:space="preserve"> </v>
      </c>
    </row>
    <row r="381" spans="13:13" x14ac:dyDescent="0.3">
      <c r="M381" s="26" t="str">
        <f t="shared" si="5"/>
        <v xml:space="preserve"> </v>
      </c>
    </row>
    <row r="382" spans="13:13" x14ac:dyDescent="0.3">
      <c r="M382" s="26" t="str">
        <f t="shared" si="5"/>
        <v xml:space="preserve"> </v>
      </c>
    </row>
    <row r="383" spans="13:13" x14ac:dyDescent="0.3">
      <c r="M383" s="26" t="str">
        <f t="shared" si="5"/>
        <v xml:space="preserve"> </v>
      </c>
    </row>
    <row r="384" spans="13:13" x14ac:dyDescent="0.3">
      <c r="M384" s="26" t="str">
        <f t="shared" si="5"/>
        <v xml:space="preserve"> </v>
      </c>
    </row>
    <row r="385" spans="13:13" x14ac:dyDescent="0.3">
      <c r="M385" s="26" t="str">
        <f t="shared" si="5"/>
        <v xml:space="preserve"> </v>
      </c>
    </row>
    <row r="386" spans="13:13" x14ac:dyDescent="0.3">
      <c r="M386" s="26" t="str">
        <f t="shared" ref="M386:M449" si="6">_xlfn.CONCAT(L386," ",F386)</f>
        <v xml:space="preserve"> </v>
      </c>
    </row>
    <row r="387" spans="13:13" x14ac:dyDescent="0.3">
      <c r="M387" s="26" t="str">
        <f t="shared" si="6"/>
        <v xml:space="preserve"> </v>
      </c>
    </row>
    <row r="388" spans="13:13" x14ac:dyDescent="0.3">
      <c r="M388" s="26" t="str">
        <f t="shared" si="6"/>
        <v xml:space="preserve"> </v>
      </c>
    </row>
    <row r="389" spans="13:13" x14ac:dyDescent="0.3">
      <c r="M389" s="26" t="str">
        <f t="shared" si="6"/>
        <v xml:space="preserve"> </v>
      </c>
    </row>
    <row r="390" spans="13:13" x14ac:dyDescent="0.3">
      <c r="M390" s="26" t="str">
        <f t="shared" si="6"/>
        <v xml:space="preserve"> </v>
      </c>
    </row>
    <row r="391" spans="13:13" x14ac:dyDescent="0.3">
      <c r="M391" s="26" t="str">
        <f t="shared" si="6"/>
        <v xml:space="preserve"> </v>
      </c>
    </row>
    <row r="392" spans="13:13" x14ac:dyDescent="0.3">
      <c r="M392" s="26" t="str">
        <f t="shared" si="6"/>
        <v xml:space="preserve"> </v>
      </c>
    </row>
    <row r="393" spans="13:13" x14ac:dyDescent="0.3">
      <c r="M393" s="26" t="str">
        <f t="shared" si="6"/>
        <v xml:space="preserve"> </v>
      </c>
    </row>
    <row r="394" spans="13:13" x14ac:dyDescent="0.3">
      <c r="M394" s="26" t="str">
        <f t="shared" si="6"/>
        <v xml:space="preserve"> </v>
      </c>
    </row>
    <row r="395" spans="13:13" x14ac:dyDescent="0.3">
      <c r="M395" s="26" t="str">
        <f t="shared" si="6"/>
        <v xml:space="preserve"> </v>
      </c>
    </row>
    <row r="396" spans="13:13" x14ac:dyDescent="0.3">
      <c r="M396" s="26" t="str">
        <f t="shared" si="6"/>
        <v xml:space="preserve"> </v>
      </c>
    </row>
    <row r="397" spans="13:13" x14ac:dyDescent="0.3">
      <c r="M397" s="26" t="str">
        <f t="shared" si="6"/>
        <v xml:space="preserve"> </v>
      </c>
    </row>
    <row r="398" spans="13:13" x14ac:dyDescent="0.3">
      <c r="M398" s="26" t="str">
        <f t="shared" si="6"/>
        <v xml:space="preserve"> </v>
      </c>
    </row>
    <row r="399" spans="13:13" x14ac:dyDescent="0.3">
      <c r="M399" s="26" t="str">
        <f t="shared" si="6"/>
        <v xml:space="preserve"> </v>
      </c>
    </row>
    <row r="400" spans="13:13" x14ac:dyDescent="0.3">
      <c r="M400" s="26" t="str">
        <f t="shared" si="6"/>
        <v xml:space="preserve"> </v>
      </c>
    </row>
    <row r="401" spans="13:13" x14ac:dyDescent="0.3">
      <c r="M401" s="26" t="str">
        <f t="shared" si="6"/>
        <v xml:space="preserve"> </v>
      </c>
    </row>
    <row r="402" spans="13:13" x14ac:dyDescent="0.3">
      <c r="M402" s="26" t="str">
        <f t="shared" si="6"/>
        <v xml:space="preserve"> </v>
      </c>
    </row>
    <row r="403" spans="13:13" x14ac:dyDescent="0.3">
      <c r="M403" s="26" t="str">
        <f t="shared" si="6"/>
        <v xml:space="preserve"> </v>
      </c>
    </row>
    <row r="404" spans="13:13" x14ac:dyDescent="0.3">
      <c r="M404" s="26" t="str">
        <f t="shared" si="6"/>
        <v xml:space="preserve"> </v>
      </c>
    </row>
    <row r="405" spans="13:13" x14ac:dyDescent="0.3">
      <c r="M405" s="26" t="str">
        <f t="shared" si="6"/>
        <v xml:space="preserve"> </v>
      </c>
    </row>
    <row r="406" spans="13:13" x14ac:dyDescent="0.3">
      <c r="M406" s="26" t="str">
        <f t="shared" si="6"/>
        <v xml:space="preserve"> </v>
      </c>
    </row>
    <row r="407" spans="13:13" x14ac:dyDescent="0.3">
      <c r="M407" s="26" t="str">
        <f t="shared" si="6"/>
        <v xml:space="preserve"> </v>
      </c>
    </row>
    <row r="408" spans="13:13" x14ac:dyDescent="0.3">
      <c r="M408" s="26" t="str">
        <f t="shared" si="6"/>
        <v xml:space="preserve"> </v>
      </c>
    </row>
    <row r="409" spans="13:13" x14ac:dyDescent="0.3">
      <c r="M409" s="26" t="str">
        <f t="shared" si="6"/>
        <v xml:space="preserve"> </v>
      </c>
    </row>
    <row r="410" spans="13:13" x14ac:dyDescent="0.3">
      <c r="M410" s="26" t="str">
        <f t="shared" si="6"/>
        <v xml:space="preserve"> </v>
      </c>
    </row>
    <row r="411" spans="13:13" x14ac:dyDescent="0.3">
      <c r="M411" s="26" t="str">
        <f t="shared" si="6"/>
        <v xml:space="preserve"> </v>
      </c>
    </row>
    <row r="412" spans="13:13" x14ac:dyDescent="0.3">
      <c r="M412" s="26" t="str">
        <f t="shared" si="6"/>
        <v xml:space="preserve"> </v>
      </c>
    </row>
    <row r="413" spans="13:13" x14ac:dyDescent="0.3">
      <c r="M413" s="26" t="str">
        <f t="shared" si="6"/>
        <v xml:space="preserve"> </v>
      </c>
    </row>
    <row r="414" spans="13:13" x14ac:dyDescent="0.3">
      <c r="M414" s="26" t="str">
        <f t="shared" si="6"/>
        <v xml:space="preserve"> </v>
      </c>
    </row>
    <row r="415" spans="13:13" x14ac:dyDescent="0.3">
      <c r="M415" s="26" t="str">
        <f t="shared" si="6"/>
        <v xml:space="preserve"> </v>
      </c>
    </row>
    <row r="416" spans="13:13" x14ac:dyDescent="0.3">
      <c r="M416" s="26" t="str">
        <f t="shared" si="6"/>
        <v xml:space="preserve"> </v>
      </c>
    </row>
    <row r="417" spans="13:13" x14ac:dyDescent="0.3">
      <c r="M417" s="26" t="str">
        <f t="shared" si="6"/>
        <v xml:space="preserve"> </v>
      </c>
    </row>
    <row r="418" spans="13:13" x14ac:dyDescent="0.3">
      <c r="M418" s="26" t="str">
        <f t="shared" si="6"/>
        <v xml:space="preserve"> </v>
      </c>
    </row>
    <row r="419" spans="13:13" x14ac:dyDescent="0.3">
      <c r="M419" s="26" t="str">
        <f t="shared" si="6"/>
        <v xml:space="preserve"> </v>
      </c>
    </row>
    <row r="420" spans="13:13" x14ac:dyDescent="0.3">
      <c r="M420" s="26" t="str">
        <f t="shared" si="6"/>
        <v xml:space="preserve"> </v>
      </c>
    </row>
    <row r="421" spans="13:13" x14ac:dyDescent="0.3">
      <c r="M421" s="26" t="str">
        <f t="shared" si="6"/>
        <v xml:space="preserve"> </v>
      </c>
    </row>
    <row r="422" spans="13:13" x14ac:dyDescent="0.3">
      <c r="M422" s="26" t="str">
        <f t="shared" si="6"/>
        <v xml:space="preserve"> </v>
      </c>
    </row>
    <row r="423" spans="13:13" x14ac:dyDescent="0.3">
      <c r="M423" s="26" t="str">
        <f t="shared" si="6"/>
        <v xml:space="preserve"> </v>
      </c>
    </row>
    <row r="424" spans="13:13" x14ac:dyDescent="0.3">
      <c r="M424" s="26" t="str">
        <f t="shared" si="6"/>
        <v xml:space="preserve"> </v>
      </c>
    </row>
    <row r="425" spans="13:13" x14ac:dyDescent="0.3">
      <c r="M425" s="26" t="str">
        <f t="shared" si="6"/>
        <v xml:space="preserve"> </v>
      </c>
    </row>
    <row r="426" spans="13:13" x14ac:dyDescent="0.3">
      <c r="M426" s="26" t="str">
        <f t="shared" si="6"/>
        <v xml:space="preserve"> </v>
      </c>
    </row>
    <row r="427" spans="13:13" x14ac:dyDescent="0.3">
      <c r="M427" s="26" t="str">
        <f t="shared" si="6"/>
        <v xml:space="preserve"> </v>
      </c>
    </row>
    <row r="428" spans="13:13" x14ac:dyDescent="0.3">
      <c r="M428" s="26" t="str">
        <f t="shared" si="6"/>
        <v xml:space="preserve"> </v>
      </c>
    </row>
    <row r="429" spans="13:13" x14ac:dyDescent="0.3">
      <c r="M429" s="26" t="str">
        <f t="shared" si="6"/>
        <v xml:space="preserve"> </v>
      </c>
    </row>
    <row r="430" spans="13:13" x14ac:dyDescent="0.3">
      <c r="M430" s="26" t="str">
        <f t="shared" si="6"/>
        <v xml:space="preserve"> </v>
      </c>
    </row>
    <row r="431" spans="13:13" x14ac:dyDescent="0.3">
      <c r="M431" s="26" t="str">
        <f t="shared" si="6"/>
        <v xml:space="preserve"> </v>
      </c>
    </row>
    <row r="432" spans="13:13" x14ac:dyDescent="0.3">
      <c r="M432" s="26" t="str">
        <f t="shared" si="6"/>
        <v xml:space="preserve"> </v>
      </c>
    </row>
    <row r="433" spans="13:13" x14ac:dyDescent="0.3">
      <c r="M433" s="26" t="str">
        <f t="shared" si="6"/>
        <v xml:space="preserve"> </v>
      </c>
    </row>
    <row r="434" spans="13:13" x14ac:dyDescent="0.3">
      <c r="M434" s="26" t="str">
        <f t="shared" si="6"/>
        <v xml:space="preserve"> </v>
      </c>
    </row>
    <row r="435" spans="13:13" x14ac:dyDescent="0.3">
      <c r="M435" s="26" t="str">
        <f t="shared" si="6"/>
        <v xml:space="preserve"> </v>
      </c>
    </row>
    <row r="436" spans="13:13" x14ac:dyDescent="0.3">
      <c r="M436" s="26" t="str">
        <f t="shared" si="6"/>
        <v xml:space="preserve"> </v>
      </c>
    </row>
    <row r="437" spans="13:13" x14ac:dyDescent="0.3">
      <c r="M437" s="26" t="str">
        <f t="shared" si="6"/>
        <v xml:space="preserve"> </v>
      </c>
    </row>
    <row r="438" spans="13:13" x14ac:dyDescent="0.3">
      <c r="M438" s="26" t="str">
        <f t="shared" si="6"/>
        <v xml:space="preserve"> </v>
      </c>
    </row>
    <row r="439" spans="13:13" x14ac:dyDescent="0.3">
      <c r="M439" s="26" t="str">
        <f t="shared" si="6"/>
        <v xml:space="preserve"> </v>
      </c>
    </row>
    <row r="440" spans="13:13" x14ac:dyDescent="0.3">
      <c r="M440" s="26" t="str">
        <f t="shared" si="6"/>
        <v xml:space="preserve"> </v>
      </c>
    </row>
    <row r="441" spans="13:13" x14ac:dyDescent="0.3">
      <c r="M441" s="26" t="str">
        <f t="shared" si="6"/>
        <v xml:space="preserve"> </v>
      </c>
    </row>
    <row r="442" spans="13:13" x14ac:dyDescent="0.3">
      <c r="M442" s="26" t="str">
        <f t="shared" si="6"/>
        <v xml:space="preserve"> </v>
      </c>
    </row>
    <row r="443" spans="13:13" x14ac:dyDescent="0.3">
      <c r="M443" s="26" t="str">
        <f t="shared" si="6"/>
        <v xml:space="preserve"> </v>
      </c>
    </row>
    <row r="444" spans="13:13" x14ac:dyDescent="0.3">
      <c r="M444" s="26" t="str">
        <f t="shared" si="6"/>
        <v xml:space="preserve"> </v>
      </c>
    </row>
    <row r="445" spans="13:13" x14ac:dyDescent="0.3">
      <c r="M445" s="26" t="str">
        <f t="shared" si="6"/>
        <v xml:space="preserve"> </v>
      </c>
    </row>
    <row r="446" spans="13:13" x14ac:dyDescent="0.3">
      <c r="M446" s="26" t="str">
        <f t="shared" si="6"/>
        <v xml:space="preserve"> </v>
      </c>
    </row>
    <row r="447" spans="13:13" x14ac:dyDescent="0.3">
      <c r="M447" s="26" t="str">
        <f t="shared" si="6"/>
        <v xml:space="preserve"> </v>
      </c>
    </row>
    <row r="448" spans="13:13" x14ac:dyDescent="0.3">
      <c r="M448" s="26" t="str">
        <f t="shared" si="6"/>
        <v xml:space="preserve"> </v>
      </c>
    </row>
    <row r="449" spans="13:13" x14ac:dyDescent="0.3">
      <c r="M449" s="26" t="str">
        <f t="shared" si="6"/>
        <v xml:space="preserve"> </v>
      </c>
    </row>
    <row r="450" spans="13:13" x14ac:dyDescent="0.3">
      <c r="M450" s="26" t="str">
        <f t="shared" ref="M450:M513" si="7">_xlfn.CONCAT(L450," ",F450)</f>
        <v xml:space="preserve"> </v>
      </c>
    </row>
    <row r="451" spans="13:13" x14ac:dyDescent="0.3">
      <c r="M451" s="26" t="str">
        <f t="shared" si="7"/>
        <v xml:space="preserve"> </v>
      </c>
    </row>
    <row r="452" spans="13:13" x14ac:dyDescent="0.3">
      <c r="M452" s="26" t="str">
        <f t="shared" si="7"/>
        <v xml:space="preserve"> </v>
      </c>
    </row>
    <row r="453" spans="13:13" x14ac:dyDescent="0.3">
      <c r="M453" s="26" t="str">
        <f t="shared" si="7"/>
        <v xml:space="preserve"> </v>
      </c>
    </row>
    <row r="454" spans="13:13" x14ac:dyDescent="0.3">
      <c r="M454" s="26" t="str">
        <f t="shared" si="7"/>
        <v xml:space="preserve"> </v>
      </c>
    </row>
    <row r="455" spans="13:13" x14ac:dyDescent="0.3">
      <c r="M455" s="26" t="str">
        <f t="shared" si="7"/>
        <v xml:space="preserve"> </v>
      </c>
    </row>
    <row r="456" spans="13:13" x14ac:dyDescent="0.3">
      <c r="M456" s="26" t="str">
        <f t="shared" si="7"/>
        <v xml:space="preserve"> </v>
      </c>
    </row>
    <row r="457" spans="13:13" x14ac:dyDescent="0.3">
      <c r="M457" s="26" t="str">
        <f t="shared" si="7"/>
        <v xml:space="preserve"> </v>
      </c>
    </row>
    <row r="458" spans="13:13" x14ac:dyDescent="0.3">
      <c r="M458" s="26" t="str">
        <f t="shared" si="7"/>
        <v xml:space="preserve"> </v>
      </c>
    </row>
    <row r="459" spans="13:13" x14ac:dyDescent="0.3">
      <c r="M459" s="26" t="str">
        <f t="shared" si="7"/>
        <v xml:space="preserve"> </v>
      </c>
    </row>
    <row r="460" spans="13:13" x14ac:dyDescent="0.3">
      <c r="M460" s="26" t="str">
        <f t="shared" si="7"/>
        <v xml:space="preserve"> </v>
      </c>
    </row>
    <row r="461" spans="13:13" x14ac:dyDescent="0.3">
      <c r="M461" s="26" t="str">
        <f t="shared" si="7"/>
        <v xml:space="preserve"> </v>
      </c>
    </row>
    <row r="462" spans="13:13" x14ac:dyDescent="0.3">
      <c r="M462" s="26" t="str">
        <f t="shared" si="7"/>
        <v xml:space="preserve"> </v>
      </c>
    </row>
    <row r="463" spans="13:13" x14ac:dyDescent="0.3">
      <c r="M463" s="26" t="str">
        <f t="shared" si="7"/>
        <v xml:space="preserve"> </v>
      </c>
    </row>
    <row r="464" spans="13:13" x14ac:dyDescent="0.3">
      <c r="M464" s="26" t="str">
        <f t="shared" si="7"/>
        <v xml:space="preserve"> </v>
      </c>
    </row>
    <row r="465" spans="13:13" x14ac:dyDescent="0.3">
      <c r="M465" s="26" t="str">
        <f t="shared" si="7"/>
        <v xml:space="preserve"> </v>
      </c>
    </row>
    <row r="466" spans="13:13" x14ac:dyDescent="0.3">
      <c r="M466" s="26" t="str">
        <f t="shared" si="7"/>
        <v xml:space="preserve"> </v>
      </c>
    </row>
    <row r="467" spans="13:13" x14ac:dyDescent="0.3">
      <c r="M467" s="26" t="str">
        <f t="shared" si="7"/>
        <v xml:space="preserve"> </v>
      </c>
    </row>
    <row r="468" spans="13:13" x14ac:dyDescent="0.3">
      <c r="M468" s="26" t="str">
        <f t="shared" si="7"/>
        <v xml:space="preserve"> </v>
      </c>
    </row>
    <row r="469" spans="13:13" x14ac:dyDescent="0.3">
      <c r="M469" s="26" t="str">
        <f t="shared" si="7"/>
        <v xml:space="preserve"> </v>
      </c>
    </row>
    <row r="470" spans="13:13" x14ac:dyDescent="0.3">
      <c r="M470" s="26" t="str">
        <f t="shared" si="7"/>
        <v xml:space="preserve"> </v>
      </c>
    </row>
    <row r="471" spans="13:13" x14ac:dyDescent="0.3">
      <c r="M471" s="26" t="str">
        <f t="shared" si="7"/>
        <v xml:space="preserve"> </v>
      </c>
    </row>
    <row r="472" spans="13:13" x14ac:dyDescent="0.3">
      <c r="M472" s="26" t="str">
        <f t="shared" si="7"/>
        <v xml:space="preserve"> </v>
      </c>
    </row>
    <row r="473" spans="13:13" x14ac:dyDescent="0.3">
      <c r="M473" s="26" t="str">
        <f t="shared" si="7"/>
        <v xml:space="preserve"> </v>
      </c>
    </row>
    <row r="474" spans="13:13" x14ac:dyDescent="0.3">
      <c r="M474" s="26" t="str">
        <f t="shared" si="7"/>
        <v xml:space="preserve"> </v>
      </c>
    </row>
    <row r="475" spans="13:13" x14ac:dyDescent="0.3">
      <c r="M475" s="26" t="str">
        <f t="shared" si="7"/>
        <v xml:space="preserve"> </v>
      </c>
    </row>
    <row r="476" spans="13:13" x14ac:dyDescent="0.3">
      <c r="M476" s="26" t="str">
        <f t="shared" si="7"/>
        <v xml:space="preserve"> </v>
      </c>
    </row>
    <row r="477" spans="13:13" x14ac:dyDescent="0.3">
      <c r="M477" s="26" t="str">
        <f t="shared" si="7"/>
        <v xml:space="preserve"> </v>
      </c>
    </row>
    <row r="478" spans="13:13" x14ac:dyDescent="0.3">
      <c r="M478" s="26" t="str">
        <f t="shared" si="7"/>
        <v xml:space="preserve"> </v>
      </c>
    </row>
    <row r="479" spans="13:13" x14ac:dyDescent="0.3">
      <c r="M479" s="26" t="str">
        <f t="shared" si="7"/>
        <v xml:space="preserve"> </v>
      </c>
    </row>
    <row r="480" spans="13:13" x14ac:dyDescent="0.3">
      <c r="M480" s="26" t="str">
        <f t="shared" si="7"/>
        <v xml:space="preserve"> </v>
      </c>
    </row>
    <row r="481" spans="13:13" x14ac:dyDescent="0.3">
      <c r="M481" s="26" t="str">
        <f t="shared" si="7"/>
        <v xml:space="preserve"> </v>
      </c>
    </row>
    <row r="482" spans="13:13" x14ac:dyDescent="0.3">
      <c r="M482" s="26" t="str">
        <f t="shared" si="7"/>
        <v xml:space="preserve"> </v>
      </c>
    </row>
    <row r="483" spans="13:13" x14ac:dyDescent="0.3">
      <c r="M483" s="26" t="str">
        <f t="shared" si="7"/>
        <v xml:space="preserve"> </v>
      </c>
    </row>
    <row r="484" spans="13:13" x14ac:dyDescent="0.3">
      <c r="M484" s="26" t="str">
        <f t="shared" si="7"/>
        <v xml:space="preserve"> </v>
      </c>
    </row>
    <row r="485" spans="13:13" x14ac:dyDescent="0.3">
      <c r="M485" s="26" t="str">
        <f t="shared" si="7"/>
        <v xml:space="preserve"> </v>
      </c>
    </row>
    <row r="486" spans="13:13" x14ac:dyDescent="0.3">
      <c r="M486" s="26" t="str">
        <f t="shared" si="7"/>
        <v xml:space="preserve"> </v>
      </c>
    </row>
    <row r="487" spans="13:13" x14ac:dyDescent="0.3">
      <c r="M487" s="26" t="str">
        <f t="shared" si="7"/>
        <v xml:space="preserve"> </v>
      </c>
    </row>
    <row r="488" spans="13:13" x14ac:dyDescent="0.3">
      <c r="M488" s="26" t="str">
        <f t="shared" si="7"/>
        <v xml:space="preserve"> </v>
      </c>
    </row>
    <row r="489" spans="13:13" x14ac:dyDescent="0.3">
      <c r="M489" s="26" t="str">
        <f t="shared" si="7"/>
        <v xml:space="preserve"> </v>
      </c>
    </row>
    <row r="490" spans="13:13" x14ac:dyDescent="0.3">
      <c r="M490" s="26" t="str">
        <f t="shared" si="7"/>
        <v xml:space="preserve"> </v>
      </c>
    </row>
    <row r="491" spans="13:13" x14ac:dyDescent="0.3">
      <c r="M491" s="26" t="str">
        <f t="shared" si="7"/>
        <v xml:space="preserve"> </v>
      </c>
    </row>
    <row r="492" spans="13:13" x14ac:dyDescent="0.3">
      <c r="M492" s="26" t="str">
        <f t="shared" si="7"/>
        <v xml:space="preserve"> </v>
      </c>
    </row>
    <row r="493" spans="13:13" x14ac:dyDescent="0.3">
      <c r="M493" s="26" t="str">
        <f t="shared" si="7"/>
        <v xml:space="preserve"> </v>
      </c>
    </row>
    <row r="494" spans="13:13" x14ac:dyDescent="0.3">
      <c r="M494" s="26" t="str">
        <f t="shared" si="7"/>
        <v xml:space="preserve"> </v>
      </c>
    </row>
    <row r="495" spans="13:13" x14ac:dyDescent="0.3">
      <c r="M495" s="26" t="str">
        <f t="shared" si="7"/>
        <v xml:space="preserve"> </v>
      </c>
    </row>
    <row r="496" spans="13:13" x14ac:dyDescent="0.3">
      <c r="M496" s="26" t="str">
        <f t="shared" si="7"/>
        <v xml:space="preserve"> </v>
      </c>
    </row>
    <row r="497" spans="13:13" x14ac:dyDescent="0.3">
      <c r="M497" s="26" t="str">
        <f t="shared" si="7"/>
        <v xml:space="preserve"> </v>
      </c>
    </row>
    <row r="498" spans="13:13" x14ac:dyDescent="0.3">
      <c r="M498" s="26" t="str">
        <f t="shared" si="7"/>
        <v xml:space="preserve"> </v>
      </c>
    </row>
    <row r="499" spans="13:13" x14ac:dyDescent="0.3">
      <c r="M499" s="26" t="str">
        <f t="shared" si="7"/>
        <v xml:space="preserve"> </v>
      </c>
    </row>
    <row r="500" spans="13:13" x14ac:dyDescent="0.3">
      <c r="M500" s="26" t="str">
        <f t="shared" si="7"/>
        <v xml:space="preserve"> </v>
      </c>
    </row>
    <row r="501" spans="13:13" x14ac:dyDescent="0.3">
      <c r="M501" s="26" t="str">
        <f t="shared" si="7"/>
        <v xml:space="preserve"> </v>
      </c>
    </row>
    <row r="502" spans="13:13" x14ac:dyDescent="0.3">
      <c r="M502" s="26" t="str">
        <f t="shared" si="7"/>
        <v xml:space="preserve"> </v>
      </c>
    </row>
    <row r="503" spans="13:13" x14ac:dyDescent="0.3">
      <c r="M503" s="26" t="str">
        <f t="shared" si="7"/>
        <v xml:space="preserve"> </v>
      </c>
    </row>
    <row r="504" spans="13:13" x14ac:dyDescent="0.3">
      <c r="M504" s="26" t="str">
        <f t="shared" si="7"/>
        <v xml:space="preserve"> </v>
      </c>
    </row>
    <row r="505" spans="13:13" x14ac:dyDescent="0.3">
      <c r="M505" s="26" t="str">
        <f t="shared" si="7"/>
        <v xml:space="preserve"> </v>
      </c>
    </row>
    <row r="506" spans="13:13" x14ac:dyDescent="0.3">
      <c r="M506" s="26" t="str">
        <f t="shared" si="7"/>
        <v xml:space="preserve"> </v>
      </c>
    </row>
    <row r="507" spans="13:13" x14ac:dyDescent="0.3">
      <c r="M507" s="26" t="str">
        <f t="shared" si="7"/>
        <v xml:space="preserve"> </v>
      </c>
    </row>
    <row r="508" spans="13:13" x14ac:dyDescent="0.3">
      <c r="M508" s="26" t="str">
        <f t="shared" si="7"/>
        <v xml:space="preserve"> </v>
      </c>
    </row>
    <row r="509" spans="13:13" x14ac:dyDescent="0.3">
      <c r="M509" s="26" t="str">
        <f t="shared" si="7"/>
        <v xml:space="preserve"> </v>
      </c>
    </row>
    <row r="510" spans="13:13" x14ac:dyDescent="0.3">
      <c r="M510" s="26" t="str">
        <f t="shared" si="7"/>
        <v xml:space="preserve"> </v>
      </c>
    </row>
    <row r="511" spans="13:13" x14ac:dyDescent="0.3">
      <c r="M511" s="26" t="str">
        <f t="shared" si="7"/>
        <v xml:space="preserve"> </v>
      </c>
    </row>
    <row r="512" spans="13:13" x14ac:dyDescent="0.3">
      <c r="M512" s="26" t="str">
        <f t="shared" si="7"/>
        <v xml:space="preserve"> </v>
      </c>
    </row>
    <row r="513" spans="13:13" x14ac:dyDescent="0.3">
      <c r="M513" s="26" t="str">
        <f t="shared" si="7"/>
        <v xml:space="preserve"> </v>
      </c>
    </row>
    <row r="514" spans="13:13" x14ac:dyDescent="0.3">
      <c r="M514" s="26" t="str">
        <f t="shared" ref="M514:M577" si="8">_xlfn.CONCAT(L514," ",F514)</f>
        <v xml:space="preserve"> </v>
      </c>
    </row>
    <row r="515" spans="13:13" x14ac:dyDescent="0.3">
      <c r="M515" s="26" t="str">
        <f t="shared" si="8"/>
        <v xml:space="preserve"> </v>
      </c>
    </row>
    <row r="516" spans="13:13" x14ac:dyDescent="0.3">
      <c r="M516" s="26" t="str">
        <f t="shared" si="8"/>
        <v xml:space="preserve"> </v>
      </c>
    </row>
    <row r="517" spans="13:13" x14ac:dyDescent="0.3">
      <c r="M517" s="26" t="str">
        <f t="shared" si="8"/>
        <v xml:space="preserve"> </v>
      </c>
    </row>
    <row r="518" spans="13:13" x14ac:dyDescent="0.3">
      <c r="M518" s="26" t="str">
        <f t="shared" si="8"/>
        <v xml:space="preserve"> </v>
      </c>
    </row>
    <row r="519" spans="13:13" x14ac:dyDescent="0.3">
      <c r="M519" s="26" t="str">
        <f t="shared" si="8"/>
        <v xml:space="preserve"> </v>
      </c>
    </row>
    <row r="520" spans="13:13" x14ac:dyDescent="0.3">
      <c r="M520" s="26" t="str">
        <f t="shared" si="8"/>
        <v xml:space="preserve"> </v>
      </c>
    </row>
    <row r="521" spans="13:13" x14ac:dyDescent="0.3">
      <c r="M521" s="26" t="str">
        <f t="shared" si="8"/>
        <v xml:space="preserve"> </v>
      </c>
    </row>
    <row r="522" spans="13:13" x14ac:dyDescent="0.3">
      <c r="M522" s="26" t="str">
        <f t="shared" si="8"/>
        <v xml:space="preserve"> </v>
      </c>
    </row>
    <row r="523" spans="13:13" x14ac:dyDescent="0.3">
      <c r="M523" s="26" t="str">
        <f t="shared" si="8"/>
        <v xml:space="preserve"> </v>
      </c>
    </row>
    <row r="524" spans="13:13" x14ac:dyDescent="0.3">
      <c r="M524" s="26" t="str">
        <f t="shared" si="8"/>
        <v xml:space="preserve"> </v>
      </c>
    </row>
    <row r="525" spans="13:13" x14ac:dyDescent="0.3">
      <c r="M525" s="26" t="str">
        <f t="shared" si="8"/>
        <v xml:space="preserve"> </v>
      </c>
    </row>
    <row r="526" spans="13:13" x14ac:dyDescent="0.3">
      <c r="M526" s="26" t="str">
        <f t="shared" si="8"/>
        <v xml:space="preserve"> </v>
      </c>
    </row>
    <row r="527" spans="13:13" x14ac:dyDescent="0.3">
      <c r="M527" s="26" t="str">
        <f t="shared" si="8"/>
        <v xml:space="preserve"> </v>
      </c>
    </row>
    <row r="528" spans="13:13" x14ac:dyDescent="0.3">
      <c r="M528" s="26" t="str">
        <f t="shared" si="8"/>
        <v xml:space="preserve"> </v>
      </c>
    </row>
    <row r="529" spans="13:13" x14ac:dyDescent="0.3">
      <c r="M529" s="26" t="str">
        <f t="shared" si="8"/>
        <v xml:space="preserve"> </v>
      </c>
    </row>
    <row r="530" spans="13:13" x14ac:dyDescent="0.3">
      <c r="M530" s="26" t="str">
        <f t="shared" si="8"/>
        <v xml:space="preserve"> </v>
      </c>
    </row>
    <row r="531" spans="13:13" x14ac:dyDescent="0.3">
      <c r="M531" s="26" t="str">
        <f t="shared" si="8"/>
        <v xml:space="preserve"> </v>
      </c>
    </row>
    <row r="532" spans="13:13" x14ac:dyDescent="0.3">
      <c r="M532" s="26" t="str">
        <f t="shared" si="8"/>
        <v xml:space="preserve"> </v>
      </c>
    </row>
    <row r="533" spans="13:13" x14ac:dyDescent="0.3">
      <c r="M533" s="26" t="str">
        <f t="shared" si="8"/>
        <v xml:space="preserve"> </v>
      </c>
    </row>
    <row r="534" spans="13:13" x14ac:dyDescent="0.3">
      <c r="M534" s="26" t="str">
        <f t="shared" si="8"/>
        <v xml:space="preserve"> </v>
      </c>
    </row>
    <row r="535" spans="13:13" x14ac:dyDescent="0.3">
      <c r="M535" s="26" t="str">
        <f t="shared" si="8"/>
        <v xml:space="preserve"> </v>
      </c>
    </row>
    <row r="536" spans="13:13" x14ac:dyDescent="0.3">
      <c r="M536" s="26" t="str">
        <f t="shared" si="8"/>
        <v xml:space="preserve"> </v>
      </c>
    </row>
    <row r="537" spans="13:13" x14ac:dyDescent="0.3">
      <c r="M537" s="26" t="str">
        <f t="shared" si="8"/>
        <v xml:space="preserve"> </v>
      </c>
    </row>
    <row r="538" spans="13:13" x14ac:dyDescent="0.3">
      <c r="M538" s="26" t="str">
        <f t="shared" si="8"/>
        <v xml:space="preserve"> </v>
      </c>
    </row>
    <row r="539" spans="13:13" x14ac:dyDescent="0.3">
      <c r="M539" s="26" t="str">
        <f t="shared" si="8"/>
        <v xml:space="preserve"> </v>
      </c>
    </row>
    <row r="540" spans="13:13" x14ac:dyDescent="0.3">
      <c r="M540" s="26" t="str">
        <f t="shared" si="8"/>
        <v xml:space="preserve"> </v>
      </c>
    </row>
    <row r="541" spans="13:13" x14ac:dyDescent="0.3">
      <c r="M541" s="26" t="str">
        <f t="shared" si="8"/>
        <v xml:space="preserve"> </v>
      </c>
    </row>
    <row r="542" spans="13:13" x14ac:dyDescent="0.3">
      <c r="M542" s="26" t="str">
        <f t="shared" si="8"/>
        <v xml:space="preserve"> </v>
      </c>
    </row>
    <row r="543" spans="13:13" x14ac:dyDescent="0.3">
      <c r="M543" s="26" t="str">
        <f t="shared" si="8"/>
        <v xml:space="preserve"> </v>
      </c>
    </row>
    <row r="544" spans="13:13" x14ac:dyDescent="0.3">
      <c r="M544" s="26" t="str">
        <f t="shared" si="8"/>
        <v xml:space="preserve"> </v>
      </c>
    </row>
    <row r="545" spans="13:13" x14ac:dyDescent="0.3">
      <c r="M545" s="26" t="str">
        <f t="shared" si="8"/>
        <v xml:space="preserve"> </v>
      </c>
    </row>
    <row r="546" spans="13:13" x14ac:dyDescent="0.3">
      <c r="M546" s="26" t="str">
        <f t="shared" si="8"/>
        <v xml:space="preserve"> </v>
      </c>
    </row>
    <row r="547" spans="13:13" x14ac:dyDescent="0.3">
      <c r="M547" s="26" t="str">
        <f t="shared" si="8"/>
        <v xml:space="preserve"> </v>
      </c>
    </row>
    <row r="548" spans="13:13" x14ac:dyDescent="0.3">
      <c r="M548" s="26" t="str">
        <f t="shared" si="8"/>
        <v xml:space="preserve"> </v>
      </c>
    </row>
    <row r="549" spans="13:13" x14ac:dyDescent="0.3">
      <c r="M549" s="26" t="str">
        <f t="shared" si="8"/>
        <v xml:space="preserve"> </v>
      </c>
    </row>
    <row r="550" spans="13:13" x14ac:dyDescent="0.3">
      <c r="M550" s="26" t="str">
        <f t="shared" si="8"/>
        <v xml:space="preserve"> </v>
      </c>
    </row>
    <row r="551" spans="13:13" x14ac:dyDescent="0.3">
      <c r="M551" s="26" t="str">
        <f t="shared" si="8"/>
        <v xml:space="preserve"> </v>
      </c>
    </row>
    <row r="552" spans="13:13" x14ac:dyDescent="0.3">
      <c r="M552" s="26" t="str">
        <f t="shared" si="8"/>
        <v xml:space="preserve"> </v>
      </c>
    </row>
    <row r="553" spans="13:13" x14ac:dyDescent="0.3">
      <c r="M553" s="26" t="str">
        <f t="shared" si="8"/>
        <v xml:space="preserve"> </v>
      </c>
    </row>
    <row r="554" spans="13:13" x14ac:dyDescent="0.3">
      <c r="M554" s="26" t="str">
        <f t="shared" si="8"/>
        <v xml:space="preserve"> </v>
      </c>
    </row>
    <row r="555" spans="13:13" x14ac:dyDescent="0.3">
      <c r="M555" s="26" t="str">
        <f t="shared" si="8"/>
        <v xml:space="preserve"> </v>
      </c>
    </row>
    <row r="556" spans="13:13" x14ac:dyDescent="0.3">
      <c r="M556" s="26" t="str">
        <f t="shared" si="8"/>
        <v xml:space="preserve"> </v>
      </c>
    </row>
    <row r="557" spans="13:13" x14ac:dyDescent="0.3">
      <c r="M557" s="26" t="str">
        <f t="shared" si="8"/>
        <v xml:space="preserve"> </v>
      </c>
    </row>
    <row r="558" spans="13:13" x14ac:dyDescent="0.3">
      <c r="M558" s="26" t="str">
        <f t="shared" si="8"/>
        <v xml:space="preserve"> </v>
      </c>
    </row>
    <row r="559" spans="13:13" x14ac:dyDescent="0.3">
      <c r="M559" s="26" t="str">
        <f t="shared" si="8"/>
        <v xml:space="preserve"> </v>
      </c>
    </row>
    <row r="560" spans="13:13" x14ac:dyDescent="0.3">
      <c r="M560" s="26" t="str">
        <f t="shared" si="8"/>
        <v xml:space="preserve"> </v>
      </c>
    </row>
    <row r="561" spans="13:13" x14ac:dyDescent="0.3">
      <c r="M561" s="26" t="str">
        <f t="shared" si="8"/>
        <v xml:space="preserve"> </v>
      </c>
    </row>
    <row r="562" spans="13:13" x14ac:dyDescent="0.3">
      <c r="M562" s="26" t="str">
        <f t="shared" si="8"/>
        <v xml:space="preserve"> </v>
      </c>
    </row>
    <row r="563" spans="13:13" x14ac:dyDescent="0.3">
      <c r="M563" s="26" t="str">
        <f t="shared" si="8"/>
        <v xml:space="preserve"> </v>
      </c>
    </row>
    <row r="564" spans="13:13" x14ac:dyDescent="0.3">
      <c r="M564" s="26" t="str">
        <f t="shared" si="8"/>
        <v xml:space="preserve"> </v>
      </c>
    </row>
    <row r="565" spans="13:13" x14ac:dyDescent="0.3">
      <c r="M565" s="26" t="str">
        <f t="shared" si="8"/>
        <v xml:space="preserve"> </v>
      </c>
    </row>
    <row r="566" spans="13:13" x14ac:dyDescent="0.3">
      <c r="M566" s="26" t="str">
        <f t="shared" si="8"/>
        <v xml:space="preserve"> </v>
      </c>
    </row>
    <row r="567" spans="13:13" x14ac:dyDescent="0.3">
      <c r="M567" s="26" t="str">
        <f t="shared" si="8"/>
        <v xml:space="preserve"> </v>
      </c>
    </row>
    <row r="568" spans="13:13" x14ac:dyDescent="0.3">
      <c r="M568" s="26" t="str">
        <f t="shared" si="8"/>
        <v xml:space="preserve"> </v>
      </c>
    </row>
    <row r="569" spans="13:13" x14ac:dyDescent="0.3">
      <c r="M569" s="26" t="str">
        <f t="shared" si="8"/>
        <v xml:space="preserve"> </v>
      </c>
    </row>
    <row r="570" spans="13:13" x14ac:dyDescent="0.3">
      <c r="M570" s="26" t="str">
        <f t="shared" si="8"/>
        <v xml:space="preserve"> </v>
      </c>
    </row>
    <row r="571" spans="13:13" x14ac:dyDescent="0.3">
      <c r="M571" s="26" t="str">
        <f t="shared" si="8"/>
        <v xml:space="preserve"> </v>
      </c>
    </row>
    <row r="572" spans="13:13" x14ac:dyDescent="0.3">
      <c r="M572" s="26" t="str">
        <f t="shared" si="8"/>
        <v xml:space="preserve"> </v>
      </c>
    </row>
    <row r="573" spans="13:13" x14ac:dyDescent="0.3">
      <c r="M573" s="26" t="str">
        <f t="shared" si="8"/>
        <v xml:space="preserve"> </v>
      </c>
    </row>
    <row r="574" spans="13:13" x14ac:dyDescent="0.3">
      <c r="M574" s="26" t="str">
        <f t="shared" si="8"/>
        <v xml:space="preserve"> </v>
      </c>
    </row>
    <row r="575" spans="13:13" x14ac:dyDescent="0.3">
      <c r="M575" s="26" t="str">
        <f t="shared" si="8"/>
        <v xml:space="preserve"> </v>
      </c>
    </row>
    <row r="576" spans="13:13" x14ac:dyDescent="0.3">
      <c r="M576" s="26" t="str">
        <f t="shared" si="8"/>
        <v xml:space="preserve"> </v>
      </c>
    </row>
    <row r="577" spans="13:13" x14ac:dyDescent="0.3">
      <c r="M577" s="26" t="str">
        <f t="shared" si="8"/>
        <v xml:space="preserve"> </v>
      </c>
    </row>
    <row r="578" spans="13:13" x14ac:dyDescent="0.3">
      <c r="M578" s="26" t="str">
        <f t="shared" ref="M578:M641" si="9">_xlfn.CONCAT(L578," ",F578)</f>
        <v xml:space="preserve"> </v>
      </c>
    </row>
    <row r="579" spans="13:13" x14ac:dyDescent="0.3">
      <c r="M579" s="26" t="str">
        <f t="shared" si="9"/>
        <v xml:space="preserve"> </v>
      </c>
    </row>
    <row r="580" spans="13:13" x14ac:dyDescent="0.3">
      <c r="M580" s="26" t="str">
        <f t="shared" si="9"/>
        <v xml:space="preserve"> </v>
      </c>
    </row>
    <row r="581" spans="13:13" x14ac:dyDescent="0.3">
      <c r="M581" s="26" t="str">
        <f t="shared" si="9"/>
        <v xml:space="preserve"> </v>
      </c>
    </row>
    <row r="582" spans="13:13" x14ac:dyDescent="0.3">
      <c r="M582" s="26" t="str">
        <f t="shared" si="9"/>
        <v xml:space="preserve"> </v>
      </c>
    </row>
    <row r="583" spans="13:13" x14ac:dyDescent="0.3">
      <c r="M583" s="26" t="str">
        <f t="shared" si="9"/>
        <v xml:space="preserve"> </v>
      </c>
    </row>
    <row r="584" spans="13:13" x14ac:dyDescent="0.3">
      <c r="M584" s="26" t="str">
        <f t="shared" si="9"/>
        <v xml:space="preserve"> </v>
      </c>
    </row>
    <row r="585" spans="13:13" x14ac:dyDescent="0.3">
      <c r="M585" s="26" t="str">
        <f t="shared" si="9"/>
        <v xml:space="preserve"> </v>
      </c>
    </row>
    <row r="586" spans="13:13" x14ac:dyDescent="0.3">
      <c r="M586" s="26" t="str">
        <f t="shared" si="9"/>
        <v xml:space="preserve"> </v>
      </c>
    </row>
    <row r="587" spans="13:13" x14ac:dyDescent="0.3">
      <c r="M587" s="26" t="str">
        <f t="shared" si="9"/>
        <v xml:space="preserve"> </v>
      </c>
    </row>
    <row r="588" spans="13:13" x14ac:dyDescent="0.3">
      <c r="M588" s="26" t="str">
        <f t="shared" si="9"/>
        <v xml:space="preserve"> </v>
      </c>
    </row>
    <row r="589" spans="13:13" x14ac:dyDescent="0.3">
      <c r="M589" s="26" t="str">
        <f t="shared" si="9"/>
        <v xml:space="preserve"> </v>
      </c>
    </row>
    <row r="590" spans="13:13" x14ac:dyDescent="0.3">
      <c r="M590" s="26" t="str">
        <f t="shared" si="9"/>
        <v xml:space="preserve"> </v>
      </c>
    </row>
    <row r="591" spans="13:13" x14ac:dyDescent="0.3">
      <c r="M591" s="26" t="str">
        <f t="shared" si="9"/>
        <v xml:space="preserve"> </v>
      </c>
    </row>
    <row r="592" spans="13:13" x14ac:dyDescent="0.3">
      <c r="M592" s="26" t="str">
        <f t="shared" si="9"/>
        <v xml:space="preserve"> </v>
      </c>
    </row>
    <row r="593" spans="13:13" x14ac:dyDescent="0.3">
      <c r="M593" s="26" t="str">
        <f t="shared" si="9"/>
        <v xml:space="preserve"> </v>
      </c>
    </row>
    <row r="594" spans="13:13" x14ac:dyDescent="0.3">
      <c r="M594" s="26" t="str">
        <f t="shared" si="9"/>
        <v xml:space="preserve"> </v>
      </c>
    </row>
    <row r="595" spans="13:13" x14ac:dyDescent="0.3">
      <c r="M595" s="26" t="str">
        <f t="shared" si="9"/>
        <v xml:space="preserve"> </v>
      </c>
    </row>
    <row r="596" spans="13:13" x14ac:dyDescent="0.3">
      <c r="M596" s="26" t="str">
        <f t="shared" si="9"/>
        <v xml:space="preserve"> </v>
      </c>
    </row>
    <row r="597" spans="13:13" x14ac:dyDescent="0.3">
      <c r="M597" s="26" t="str">
        <f t="shared" si="9"/>
        <v xml:space="preserve"> </v>
      </c>
    </row>
    <row r="598" spans="13:13" x14ac:dyDescent="0.3">
      <c r="M598" s="26" t="str">
        <f t="shared" si="9"/>
        <v xml:space="preserve"> </v>
      </c>
    </row>
    <row r="599" spans="13:13" x14ac:dyDescent="0.3">
      <c r="M599" s="26" t="str">
        <f t="shared" si="9"/>
        <v xml:space="preserve"> </v>
      </c>
    </row>
    <row r="600" spans="13:13" x14ac:dyDescent="0.3">
      <c r="M600" s="26" t="str">
        <f t="shared" si="9"/>
        <v xml:space="preserve"> </v>
      </c>
    </row>
    <row r="601" spans="13:13" x14ac:dyDescent="0.3">
      <c r="M601" s="26" t="str">
        <f t="shared" si="9"/>
        <v xml:space="preserve"> </v>
      </c>
    </row>
    <row r="602" spans="13:13" x14ac:dyDescent="0.3">
      <c r="M602" s="26" t="str">
        <f t="shared" si="9"/>
        <v xml:space="preserve"> </v>
      </c>
    </row>
    <row r="603" spans="13:13" x14ac:dyDescent="0.3">
      <c r="M603" s="26" t="str">
        <f t="shared" si="9"/>
        <v xml:space="preserve"> </v>
      </c>
    </row>
    <row r="604" spans="13:13" x14ac:dyDescent="0.3">
      <c r="M604" s="26" t="str">
        <f t="shared" si="9"/>
        <v xml:space="preserve"> </v>
      </c>
    </row>
    <row r="605" spans="13:13" x14ac:dyDescent="0.3">
      <c r="M605" s="26" t="str">
        <f t="shared" si="9"/>
        <v xml:space="preserve"> </v>
      </c>
    </row>
    <row r="606" spans="13:13" x14ac:dyDescent="0.3">
      <c r="M606" s="26" t="str">
        <f t="shared" si="9"/>
        <v xml:space="preserve"> </v>
      </c>
    </row>
    <row r="607" spans="13:13" x14ac:dyDescent="0.3">
      <c r="M607" s="26" t="str">
        <f t="shared" si="9"/>
        <v xml:space="preserve"> </v>
      </c>
    </row>
    <row r="608" spans="13:13" x14ac:dyDescent="0.3">
      <c r="M608" s="26" t="str">
        <f t="shared" si="9"/>
        <v xml:space="preserve"> </v>
      </c>
    </row>
    <row r="609" spans="13:13" x14ac:dyDescent="0.3">
      <c r="M609" s="26" t="str">
        <f t="shared" si="9"/>
        <v xml:space="preserve"> </v>
      </c>
    </row>
    <row r="610" spans="13:13" x14ac:dyDescent="0.3">
      <c r="M610" s="26" t="str">
        <f t="shared" si="9"/>
        <v xml:space="preserve"> </v>
      </c>
    </row>
    <row r="611" spans="13:13" x14ac:dyDescent="0.3">
      <c r="M611" s="26" t="str">
        <f t="shared" si="9"/>
        <v xml:space="preserve"> </v>
      </c>
    </row>
    <row r="612" spans="13:13" x14ac:dyDescent="0.3">
      <c r="M612" s="26" t="str">
        <f t="shared" si="9"/>
        <v xml:space="preserve"> </v>
      </c>
    </row>
    <row r="613" spans="13:13" x14ac:dyDescent="0.3">
      <c r="M613" s="26" t="str">
        <f t="shared" si="9"/>
        <v xml:space="preserve"> </v>
      </c>
    </row>
    <row r="614" spans="13:13" x14ac:dyDescent="0.3">
      <c r="M614" s="26" t="str">
        <f t="shared" si="9"/>
        <v xml:space="preserve"> </v>
      </c>
    </row>
    <row r="615" spans="13:13" x14ac:dyDescent="0.3">
      <c r="M615" s="26" t="str">
        <f t="shared" si="9"/>
        <v xml:space="preserve"> </v>
      </c>
    </row>
    <row r="616" spans="13:13" x14ac:dyDescent="0.3">
      <c r="M616" s="26" t="str">
        <f t="shared" si="9"/>
        <v xml:space="preserve"> </v>
      </c>
    </row>
    <row r="617" spans="13:13" x14ac:dyDescent="0.3">
      <c r="M617" s="26" t="str">
        <f t="shared" si="9"/>
        <v xml:space="preserve"> </v>
      </c>
    </row>
    <row r="618" spans="13:13" x14ac:dyDescent="0.3">
      <c r="M618" s="26" t="str">
        <f t="shared" si="9"/>
        <v xml:space="preserve"> </v>
      </c>
    </row>
    <row r="619" spans="13:13" x14ac:dyDescent="0.3">
      <c r="M619" s="26" t="str">
        <f t="shared" si="9"/>
        <v xml:space="preserve"> </v>
      </c>
    </row>
    <row r="620" spans="13:13" x14ac:dyDescent="0.3">
      <c r="M620" s="26" t="str">
        <f t="shared" si="9"/>
        <v xml:space="preserve"> </v>
      </c>
    </row>
    <row r="621" spans="13:13" x14ac:dyDescent="0.3">
      <c r="M621" s="26" t="str">
        <f t="shared" si="9"/>
        <v xml:space="preserve"> </v>
      </c>
    </row>
    <row r="622" spans="13:13" x14ac:dyDescent="0.3">
      <c r="M622" s="26" t="str">
        <f t="shared" si="9"/>
        <v xml:space="preserve"> </v>
      </c>
    </row>
    <row r="623" spans="13:13" x14ac:dyDescent="0.3">
      <c r="M623" s="26" t="str">
        <f t="shared" si="9"/>
        <v xml:space="preserve"> </v>
      </c>
    </row>
    <row r="624" spans="13:13" x14ac:dyDescent="0.3">
      <c r="M624" s="26" t="str">
        <f t="shared" si="9"/>
        <v xml:space="preserve"> </v>
      </c>
    </row>
    <row r="625" spans="13:13" x14ac:dyDescent="0.3">
      <c r="M625" s="26" t="str">
        <f t="shared" si="9"/>
        <v xml:space="preserve"> </v>
      </c>
    </row>
    <row r="626" spans="13:13" x14ac:dyDescent="0.3">
      <c r="M626" s="26" t="str">
        <f t="shared" si="9"/>
        <v xml:space="preserve"> </v>
      </c>
    </row>
    <row r="627" spans="13:13" x14ac:dyDescent="0.3">
      <c r="M627" s="26" t="str">
        <f t="shared" si="9"/>
        <v xml:space="preserve"> </v>
      </c>
    </row>
    <row r="628" spans="13:13" x14ac:dyDescent="0.3">
      <c r="M628" s="26" t="str">
        <f t="shared" si="9"/>
        <v xml:space="preserve"> </v>
      </c>
    </row>
    <row r="629" spans="13:13" x14ac:dyDescent="0.3">
      <c r="M629" s="26" t="str">
        <f t="shared" si="9"/>
        <v xml:space="preserve"> </v>
      </c>
    </row>
    <row r="630" spans="13:13" x14ac:dyDescent="0.3">
      <c r="M630" s="26" t="str">
        <f t="shared" si="9"/>
        <v xml:space="preserve"> </v>
      </c>
    </row>
    <row r="631" spans="13:13" x14ac:dyDescent="0.3">
      <c r="M631" s="26" t="str">
        <f t="shared" si="9"/>
        <v xml:space="preserve"> </v>
      </c>
    </row>
    <row r="632" spans="13:13" x14ac:dyDescent="0.3">
      <c r="M632" s="26" t="str">
        <f t="shared" si="9"/>
        <v xml:space="preserve"> </v>
      </c>
    </row>
    <row r="633" spans="13:13" x14ac:dyDescent="0.3">
      <c r="M633" s="26" t="str">
        <f t="shared" si="9"/>
        <v xml:space="preserve"> </v>
      </c>
    </row>
    <row r="634" spans="13:13" x14ac:dyDescent="0.3">
      <c r="M634" s="26" t="str">
        <f t="shared" si="9"/>
        <v xml:space="preserve"> </v>
      </c>
    </row>
    <row r="635" spans="13:13" x14ac:dyDescent="0.3">
      <c r="M635" s="26" t="str">
        <f t="shared" si="9"/>
        <v xml:space="preserve"> </v>
      </c>
    </row>
    <row r="636" spans="13:13" x14ac:dyDescent="0.3">
      <c r="M636" s="26" t="str">
        <f t="shared" si="9"/>
        <v xml:space="preserve"> </v>
      </c>
    </row>
    <row r="637" spans="13:13" x14ac:dyDescent="0.3">
      <c r="M637" s="26" t="str">
        <f t="shared" si="9"/>
        <v xml:space="preserve"> </v>
      </c>
    </row>
    <row r="638" spans="13:13" x14ac:dyDescent="0.3">
      <c r="M638" s="26" t="str">
        <f t="shared" si="9"/>
        <v xml:space="preserve"> </v>
      </c>
    </row>
    <row r="639" spans="13:13" x14ac:dyDescent="0.3">
      <c r="M639" s="26" t="str">
        <f t="shared" si="9"/>
        <v xml:space="preserve"> </v>
      </c>
    </row>
    <row r="640" spans="13:13" x14ac:dyDescent="0.3">
      <c r="M640" s="26" t="str">
        <f t="shared" si="9"/>
        <v xml:space="preserve"> </v>
      </c>
    </row>
    <row r="641" spans="13:13" x14ac:dyDescent="0.3">
      <c r="M641" s="26" t="str">
        <f t="shared" si="9"/>
        <v xml:space="preserve"> </v>
      </c>
    </row>
    <row r="642" spans="13:13" x14ac:dyDescent="0.3">
      <c r="M642" s="26" t="str">
        <f t="shared" ref="M642:M705" si="10">_xlfn.CONCAT(L642," ",F642)</f>
        <v xml:space="preserve"> </v>
      </c>
    </row>
    <row r="643" spans="13:13" x14ac:dyDescent="0.3">
      <c r="M643" s="26" t="str">
        <f t="shared" si="10"/>
        <v xml:space="preserve"> </v>
      </c>
    </row>
    <row r="644" spans="13:13" x14ac:dyDescent="0.3">
      <c r="M644" s="26" t="str">
        <f t="shared" si="10"/>
        <v xml:space="preserve"> </v>
      </c>
    </row>
    <row r="645" spans="13:13" x14ac:dyDescent="0.3">
      <c r="M645" s="26" t="str">
        <f t="shared" si="10"/>
        <v xml:space="preserve"> </v>
      </c>
    </row>
    <row r="646" spans="13:13" x14ac:dyDescent="0.3">
      <c r="M646" s="26" t="str">
        <f t="shared" si="10"/>
        <v xml:space="preserve"> </v>
      </c>
    </row>
    <row r="647" spans="13:13" x14ac:dyDescent="0.3">
      <c r="M647" s="26" t="str">
        <f t="shared" si="10"/>
        <v xml:space="preserve"> </v>
      </c>
    </row>
    <row r="648" spans="13:13" x14ac:dyDescent="0.3">
      <c r="M648" s="26" t="str">
        <f t="shared" si="10"/>
        <v xml:space="preserve"> </v>
      </c>
    </row>
    <row r="649" spans="13:13" x14ac:dyDescent="0.3">
      <c r="M649" s="26" t="str">
        <f t="shared" si="10"/>
        <v xml:space="preserve"> </v>
      </c>
    </row>
    <row r="650" spans="13:13" x14ac:dyDescent="0.3">
      <c r="M650" s="26" t="str">
        <f t="shared" si="10"/>
        <v xml:space="preserve"> </v>
      </c>
    </row>
    <row r="651" spans="13:13" x14ac:dyDescent="0.3">
      <c r="M651" s="26" t="str">
        <f t="shared" si="10"/>
        <v xml:space="preserve"> </v>
      </c>
    </row>
    <row r="652" spans="13:13" x14ac:dyDescent="0.3">
      <c r="M652" s="26" t="str">
        <f t="shared" si="10"/>
        <v xml:space="preserve"> </v>
      </c>
    </row>
    <row r="653" spans="13:13" x14ac:dyDescent="0.3">
      <c r="M653" s="26" t="str">
        <f t="shared" si="10"/>
        <v xml:space="preserve"> </v>
      </c>
    </row>
    <row r="654" spans="13:13" x14ac:dyDescent="0.3">
      <c r="M654" s="26" t="str">
        <f t="shared" si="10"/>
        <v xml:space="preserve"> </v>
      </c>
    </row>
    <row r="655" spans="13:13" x14ac:dyDescent="0.3">
      <c r="M655" s="26" t="str">
        <f t="shared" si="10"/>
        <v xml:space="preserve"> </v>
      </c>
    </row>
    <row r="656" spans="13:13" x14ac:dyDescent="0.3">
      <c r="M656" s="26" t="str">
        <f t="shared" si="10"/>
        <v xml:space="preserve"> </v>
      </c>
    </row>
    <row r="657" spans="13:13" x14ac:dyDescent="0.3">
      <c r="M657" s="26" t="str">
        <f t="shared" si="10"/>
        <v xml:space="preserve"> </v>
      </c>
    </row>
    <row r="658" spans="13:13" x14ac:dyDescent="0.3">
      <c r="M658" s="26" t="str">
        <f t="shared" si="10"/>
        <v xml:space="preserve"> </v>
      </c>
    </row>
    <row r="659" spans="13:13" x14ac:dyDescent="0.3">
      <c r="M659" s="26" t="str">
        <f t="shared" si="10"/>
        <v xml:space="preserve"> </v>
      </c>
    </row>
    <row r="660" spans="13:13" x14ac:dyDescent="0.3">
      <c r="M660" s="26" t="str">
        <f t="shared" si="10"/>
        <v xml:space="preserve"> </v>
      </c>
    </row>
    <row r="661" spans="13:13" x14ac:dyDescent="0.3">
      <c r="M661" s="26" t="str">
        <f t="shared" si="10"/>
        <v xml:space="preserve"> </v>
      </c>
    </row>
    <row r="662" spans="13:13" x14ac:dyDescent="0.3">
      <c r="M662" s="26" t="str">
        <f t="shared" si="10"/>
        <v xml:space="preserve"> </v>
      </c>
    </row>
    <row r="663" spans="13:13" x14ac:dyDescent="0.3">
      <c r="M663" s="26" t="str">
        <f t="shared" si="10"/>
        <v xml:space="preserve"> </v>
      </c>
    </row>
    <row r="664" spans="13:13" x14ac:dyDescent="0.3">
      <c r="M664" s="26" t="str">
        <f t="shared" si="10"/>
        <v xml:space="preserve"> </v>
      </c>
    </row>
    <row r="665" spans="13:13" x14ac:dyDescent="0.3">
      <c r="M665" s="26" t="str">
        <f t="shared" si="10"/>
        <v xml:space="preserve"> </v>
      </c>
    </row>
    <row r="666" spans="13:13" x14ac:dyDescent="0.3">
      <c r="M666" s="26" t="str">
        <f t="shared" si="10"/>
        <v xml:space="preserve"> </v>
      </c>
    </row>
    <row r="667" spans="13:13" x14ac:dyDescent="0.3">
      <c r="M667" s="26" t="str">
        <f t="shared" si="10"/>
        <v xml:space="preserve"> </v>
      </c>
    </row>
    <row r="668" spans="13:13" x14ac:dyDescent="0.3">
      <c r="M668" s="26" t="str">
        <f t="shared" si="10"/>
        <v xml:space="preserve"> </v>
      </c>
    </row>
    <row r="669" spans="13:13" x14ac:dyDescent="0.3">
      <c r="M669" s="26" t="str">
        <f t="shared" si="10"/>
        <v xml:space="preserve"> </v>
      </c>
    </row>
    <row r="670" spans="13:13" x14ac:dyDescent="0.3">
      <c r="M670" s="26" t="str">
        <f t="shared" si="10"/>
        <v xml:space="preserve"> </v>
      </c>
    </row>
    <row r="671" spans="13:13" x14ac:dyDescent="0.3">
      <c r="M671" s="26" t="str">
        <f t="shared" si="10"/>
        <v xml:space="preserve"> </v>
      </c>
    </row>
    <row r="672" spans="13:13" x14ac:dyDescent="0.3">
      <c r="M672" s="26" t="str">
        <f t="shared" si="10"/>
        <v xml:space="preserve"> </v>
      </c>
    </row>
    <row r="673" spans="13:13" x14ac:dyDescent="0.3">
      <c r="M673" s="26" t="str">
        <f t="shared" si="10"/>
        <v xml:space="preserve"> </v>
      </c>
    </row>
    <row r="674" spans="13:13" x14ac:dyDescent="0.3">
      <c r="M674" s="26" t="str">
        <f t="shared" si="10"/>
        <v xml:space="preserve"> </v>
      </c>
    </row>
    <row r="675" spans="13:13" x14ac:dyDescent="0.3">
      <c r="M675" s="26" t="str">
        <f t="shared" si="10"/>
        <v xml:space="preserve"> </v>
      </c>
    </row>
    <row r="676" spans="13:13" x14ac:dyDescent="0.3">
      <c r="M676" s="26" t="str">
        <f t="shared" si="10"/>
        <v xml:space="preserve"> </v>
      </c>
    </row>
    <row r="677" spans="13:13" x14ac:dyDescent="0.3">
      <c r="M677" s="26" t="str">
        <f t="shared" si="10"/>
        <v xml:space="preserve"> </v>
      </c>
    </row>
    <row r="678" spans="13:13" x14ac:dyDescent="0.3">
      <c r="M678" s="26" t="str">
        <f t="shared" si="10"/>
        <v xml:space="preserve"> </v>
      </c>
    </row>
    <row r="679" spans="13:13" x14ac:dyDescent="0.3">
      <c r="M679" s="26" t="str">
        <f t="shared" si="10"/>
        <v xml:space="preserve"> </v>
      </c>
    </row>
    <row r="680" spans="13:13" x14ac:dyDescent="0.3">
      <c r="M680" s="26" t="str">
        <f t="shared" si="10"/>
        <v xml:space="preserve"> </v>
      </c>
    </row>
    <row r="681" spans="13:13" x14ac:dyDescent="0.3">
      <c r="M681" s="26" t="str">
        <f t="shared" si="10"/>
        <v xml:space="preserve"> </v>
      </c>
    </row>
    <row r="682" spans="13:13" x14ac:dyDescent="0.3">
      <c r="M682" s="26" t="str">
        <f t="shared" si="10"/>
        <v xml:space="preserve"> </v>
      </c>
    </row>
    <row r="683" spans="13:13" x14ac:dyDescent="0.3">
      <c r="M683" s="26" t="str">
        <f t="shared" si="10"/>
        <v xml:space="preserve"> </v>
      </c>
    </row>
    <row r="684" spans="13:13" x14ac:dyDescent="0.3">
      <c r="M684" s="26" t="str">
        <f t="shared" si="10"/>
        <v xml:space="preserve"> </v>
      </c>
    </row>
    <row r="685" spans="13:13" x14ac:dyDescent="0.3">
      <c r="M685" s="26" t="str">
        <f t="shared" si="10"/>
        <v xml:space="preserve"> </v>
      </c>
    </row>
    <row r="686" spans="13:13" x14ac:dyDescent="0.3">
      <c r="M686" s="26" t="str">
        <f t="shared" si="10"/>
        <v xml:space="preserve"> </v>
      </c>
    </row>
    <row r="687" spans="13:13" x14ac:dyDescent="0.3">
      <c r="M687" s="26" t="str">
        <f t="shared" si="10"/>
        <v xml:space="preserve"> </v>
      </c>
    </row>
    <row r="688" spans="13:13" x14ac:dyDescent="0.3">
      <c r="M688" s="26" t="str">
        <f t="shared" si="10"/>
        <v xml:space="preserve"> </v>
      </c>
    </row>
    <row r="689" spans="13:13" x14ac:dyDescent="0.3">
      <c r="M689" s="26" t="str">
        <f t="shared" si="10"/>
        <v xml:space="preserve"> </v>
      </c>
    </row>
    <row r="690" spans="13:13" x14ac:dyDescent="0.3">
      <c r="M690" s="26" t="str">
        <f t="shared" si="10"/>
        <v xml:space="preserve"> </v>
      </c>
    </row>
    <row r="691" spans="13:13" x14ac:dyDescent="0.3">
      <c r="M691" s="26" t="str">
        <f t="shared" si="10"/>
        <v xml:space="preserve"> </v>
      </c>
    </row>
    <row r="692" spans="13:13" x14ac:dyDescent="0.3">
      <c r="M692" s="26" t="str">
        <f t="shared" si="10"/>
        <v xml:space="preserve"> </v>
      </c>
    </row>
    <row r="693" spans="13:13" x14ac:dyDescent="0.3">
      <c r="M693" s="26" t="str">
        <f t="shared" si="10"/>
        <v xml:space="preserve"> </v>
      </c>
    </row>
    <row r="694" spans="13:13" x14ac:dyDescent="0.3">
      <c r="M694" s="26" t="str">
        <f t="shared" si="10"/>
        <v xml:space="preserve"> </v>
      </c>
    </row>
    <row r="695" spans="13:13" x14ac:dyDescent="0.3">
      <c r="M695" s="26" t="str">
        <f t="shared" si="10"/>
        <v xml:space="preserve"> </v>
      </c>
    </row>
    <row r="696" spans="13:13" x14ac:dyDescent="0.3">
      <c r="M696" s="26" t="str">
        <f t="shared" si="10"/>
        <v xml:space="preserve"> </v>
      </c>
    </row>
    <row r="697" spans="13:13" x14ac:dyDescent="0.3">
      <c r="M697" s="26" t="str">
        <f t="shared" si="10"/>
        <v xml:space="preserve"> </v>
      </c>
    </row>
    <row r="698" spans="13:13" x14ac:dyDescent="0.3">
      <c r="M698" s="26" t="str">
        <f t="shared" si="10"/>
        <v xml:space="preserve"> </v>
      </c>
    </row>
    <row r="699" spans="13:13" x14ac:dyDescent="0.3">
      <c r="M699" s="26" t="str">
        <f t="shared" si="10"/>
        <v xml:space="preserve"> </v>
      </c>
    </row>
    <row r="700" spans="13:13" x14ac:dyDescent="0.3">
      <c r="M700" s="26" t="str">
        <f t="shared" si="10"/>
        <v xml:space="preserve"> </v>
      </c>
    </row>
    <row r="701" spans="13:13" x14ac:dyDescent="0.3">
      <c r="M701" s="26" t="str">
        <f t="shared" si="10"/>
        <v xml:space="preserve"> </v>
      </c>
    </row>
    <row r="702" spans="13:13" x14ac:dyDescent="0.3">
      <c r="M702" s="26" t="str">
        <f t="shared" si="10"/>
        <v xml:space="preserve"> </v>
      </c>
    </row>
    <row r="703" spans="13:13" x14ac:dyDescent="0.3">
      <c r="M703" s="26" t="str">
        <f t="shared" si="10"/>
        <v xml:space="preserve"> </v>
      </c>
    </row>
    <row r="704" spans="13:13" x14ac:dyDescent="0.3">
      <c r="M704" s="26" t="str">
        <f t="shared" si="10"/>
        <v xml:space="preserve"> </v>
      </c>
    </row>
    <row r="705" spans="13:13" x14ac:dyDescent="0.3">
      <c r="M705" s="26" t="str">
        <f t="shared" si="10"/>
        <v xml:space="preserve"> </v>
      </c>
    </row>
    <row r="706" spans="13:13" x14ac:dyDescent="0.3">
      <c r="M706" s="26" t="str">
        <f t="shared" ref="M706:M769" si="11">_xlfn.CONCAT(L706," ",F706)</f>
        <v xml:space="preserve"> </v>
      </c>
    </row>
    <row r="707" spans="13:13" x14ac:dyDescent="0.3">
      <c r="M707" s="26" t="str">
        <f t="shared" si="11"/>
        <v xml:space="preserve"> </v>
      </c>
    </row>
    <row r="708" spans="13:13" x14ac:dyDescent="0.3">
      <c r="M708" s="26" t="str">
        <f t="shared" si="11"/>
        <v xml:space="preserve"> </v>
      </c>
    </row>
    <row r="709" spans="13:13" x14ac:dyDescent="0.3">
      <c r="M709" s="26" t="str">
        <f t="shared" si="11"/>
        <v xml:space="preserve"> </v>
      </c>
    </row>
    <row r="710" spans="13:13" x14ac:dyDescent="0.3">
      <c r="M710" s="26" t="str">
        <f t="shared" si="11"/>
        <v xml:space="preserve"> </v>
      </c>
    </row>
    <row r="711" spans="13:13" x14ac:dyDescent="0.3">
      <c r="M711" s="26" t="str">
        <f t="shared" si="11"/>
        <v xml:space="preserve"> </v>
      </c>
    </row>
    <row r="712" spans="13:13" x14ac:dyDescent="0.3">
      <c r="M712" s="26" t="str">
        <f t="shared" si="11"/>
        <v xml:space="preserve"> </v>
      </c>
    </row>
    <row r="713" spans="13:13" x14ac:dyDescent="0.3">
      <c r="M713" s="26" t="str">
        <f t="shared" si="11"/>
        <v xml:space="preserve"> </v>
      </c>
    </row>
    <row r="714" spans="13:13" x14ac:dyDescent="0.3">
      <c r="M714" s="26" t="str">
        <f t="shared" si="11"/>
        <v xml:space="preserve"> </v>
      </c>
    </row>
    <row r="715" spans="13:13" x14ac:dyDescent="0.3">
      <c r="M715" s="26" t="str">
        <f t="shared" si="11"/>
        <v xml:space="preserve"> </v>
      </c>
    </row>
    <row r="716" spans="13:13" x14ac:dyDescent="0.3">
      <c r="M716" s="26" t="str">
        <f t="shared" si="11"/>
        <v xml:space="preserve"> </v>
      </c>
    </row>
    <row r="717" spans="13:13" x14ac:dyDescent="0.3">
      <c r="M717" s="26" t="str">
        <f t="shared" si="11"/>
        <v xml:space="preserve"> </v>
      </c>
    </row>
    <row r="718" spans="13:13" x14ac:dyDescent="0.3">
      <c r="M718" s="26" t="str">
        <f t="shared" si="11"/>
        <v xml:space="preserve"> </v>
      </c>
    </row>
    <row r="719" spans="13:13" x14ac:dyDescent="0.3">
      <c r="M719" s="26" t="str">
        <f t="shared" si="11"/>
        <v xml:space="preserve"> </v>
      </c>
    </row>
    <row r="720" spans="13:13" x14ac:dyDescent="0.3">
      <c r="M720" s="26" t="str">
        <f t="shared" si="11"/>
        <v xml:space="preserve"> </v>
      </c>
    </row>
    <row r="721" spans="13:13" x14ac:dyDescent="0.3">
      <c r="M721" s="26" t="str">
        <f t="shared" si="11"/>
        <v xml:space="preserve"> </v>
      </c>
    </row>
    <row r="722" spans="13:13" x14ac:dyDescent="0.3">
      <c r="M722" s="26" t="str">
        <f t="shared" si="11"/>
        <v xml:space="preserve"> </v>
      </c>
    </row>
    <row r="723" spans="13:13" x14ac:dyDescent="0.3">
      <c r="M723" s="26" t="str">
        <f t="shared" si="11"/>
        <v xml:space="preserve"> </v>
      </c>
    </row>
    <row r="724" spans="13:13" x14ac:dyDescent="0.3">
      <c r="M724" s="26" t="str">
        <f t="shared" si="11"/>
        <v xml:space="preserve"> </v>
      </c>
    </row>
    <row r="725" spans="13:13" x14ac:dyDescent="0.3">
      <c r="M725" s="26" t="str">
        <f t="shared" si="11"/>
        <v xml:space="preserve"> </v>
      </c>
    </row>
    <row r="726" spans="13:13" x14ac:dyDescent="0.3">
      <c r="M726" s="26" t="str">
        <f t="shared" si="11"/>
        <v xml:space="preserve"> </v>
      </c>
    </row>
    <row r="727" spans="13:13" x14ac:dyDescent="0.3">
      <c r="M727" s="26" t="str">
        <f t="shared" si="11"/>
        <v xml:space="preserve"> </v>
      </c>
    </row>
    <row r="728" spans="13:13" x14ac:dyDescent="0.3">
      <c r="M728" s="26" t="str">
        <f t="shared" si="11"/>
        <v xml:space="preserve"> </v>
      </c>
    </row>
    <row r="729" spans="13:13" x14ac:dyDescent="0.3">
      <c r="M729" s="26" t="str">
        <f t="shared" si="11"/>
        <v xml:space="preserve"> </v>
      </c>
    </row>
    <row r="730" spans="13:13" x14ac:dyDescent="0.3">
      <c r="M730" s="26" t="str">
        <f t="shared" si="11"/>
        <v xml:space="preserve"> </v>
      </c>
    </row>
    <row r="731" spans="13:13" x14ac:dyDescent="0.3">
      <c r="M731" s="26" t="str">
        <f t="shared" si="11"/>
        <v xml:space="preserve"> </v>
      </c>
    </row>
    <row r="732" spans="13:13" x14ac:dyDescent="0.3">
      <c r="M732" s="26" t="str">
        <f t="shared" si="11"/>
        <v xml:space="preserve"> </v>
      </c>
    </row>
    <row r="733" spans="13:13" x14ac:dyDescent="0.3">
      <c r="M733" s="26" t="str">
        <f t="shared" si="11"/>
        <v xml:space="preserve"> </v>
      </c>
    </row>
    <row r="734" spans="13:13" x14ac:dyDescent="0.3">
      <c r="M734" s="26" t="str">
        <f t="shared" si="11"/>
        <v xml:space="preserve"> </v>
      </c>
    </row>
    <row r="735" spans="13:13" x14ac:dyDescent="0.3">
      <c r="M735" s="26" t="str">
        <f t="shared" si="11"/>
        <v xml:space="preserve"> </v>
      </c>
    </row>
    <row r="736" spans="13:13" x14ac:dyDescent="0.3">
      <c r="M736" s="26" t="str">
        <f t="shared" si="11"/>
        <v xml:space="preserve"> </v>
      </c>
    </row>
    <row r="737" spans="13:13" x14ac:dyDescent="0.3">
      <c r="M737" s="26" t="str">
        <f t="shared" si="11"/>
        <v xml:space="preserve"> </v>
      </c>
    </row>
    <row r="738" spans="13:13" x14ac:dyDescent="0.3">
      <c r="M738" s="26" t="str">
        <f t="shared" si="11"/>
        <v xml:space="preserve"> </v>
      </c>
    </row>
    <row r="739" spans="13:13" x14ac:dyDescent="0.3">
      <c r="M739" s="26" t="str">
        <f t="shared" si="11"/>
        <v xml:space="preserve"> </v>
      </c>
    </row>
    <row r="740" spans="13:13" x14ac:dyDescent="0.3">
      <c r="M740" s="26" t="str">
        <f t="shared" si="11"/>
        <v xml:space="preserve"> </v>
      </c>
    </row>
    <row r="741" spans="13:13" x14ac:dyDescent="0.3">
      <c r="M741" s="26" t="str">
        <f t="shared" si="11"/>
        <v xml:space="preserve"> </v>
      </c>
    </row>
    <row r="742" spans="13:13" x14ac:dyDescent="0.3">
      <c r="M742" s="26" t="str">
        <f t="shared" si="11"/>
        <v xml:space="preserve"> </v>
      </c>
    </row>
    <row r="743" spans="13:13" x14ac:dyDescent="0.3">
      <c r="M743" s="26" t="str">
        <f t="shared" si="11"/>
        <v xml:space="preserve"> </v>
      </c>
    </row>
    <row r="744" spans="13:13" x14ac:dyDescent="0.3">
      <c r="M744" s="26" t="str">
        <f t="shared" si="11"/>
        <v xml:space="preserve"> </v>
      </c>
    </row>
    <row r="745" spans="13:13" x14ac:dyDescent="0.3">
      <c r="M745" s="26" t="str">
        <f t="shared" si="11"/>
        <v xml:space="preserve"> </v>
      </c>
    </row>
    <row r="746" spans="13:13" x14ac:dyDescent="0.3">
      <c r="M746" s="26" t="str">
        <f t="shared" si="11"/>
        <v xml:space="preserve"> </v>
      </c>
    </row>
    <row r="747" spans="13:13" x14ac:dyDescent="0.3">
      <c r="M747" s="26" t="str">
        <f t="shared" si="11"/>
        <v xml:space="preserve"> </v>
      </c>
    </row>
    <row r="748" spans="13:13" x14ac:dyDescent="0.3">
      <c r="M748" s="26" t="str">
        <f t="shared" si="11"/>
        <v xml:space="preserve"> </v>
      </c>
    </row>
    <row r="749" spans="13:13" x14ac:dyDescent="0.3">
      <c r="M749" s="26" t="str">
        <f t="shared" si="11"/>
        <v xml:space="preserve"> </v>
      </c>
    </row>
    <row r="750" spans="13:13" x14ac:dyDescent="0.3">
      <c r="M750" s="26" t="str">
        <f t="shared" si="11"/>
        <v xml:space="preserve"> </v>
      </c>
    </row>
    <row r="751" spans="13:13" x14ac:dyDescent="0.3">
      <c r="M751" s="26" t="str">
        <f t="shared" si="11"/>
        <v xml:space="preserve"> </v>
      </c>
    </row>
    <row r="752" spans="13:13" x14ac:dyDescent="0.3">
      <c r="M752" s="26" t="str">
        <f t="shared" si="11"/>
        <v xml:space="preserve"> </v>
      </c>
    </row>
    <row r="753" spans="13:13" x14ac:dyDescent="0.3">
      <c r="M753" s="26" t="str">
        <f t="shared" si="11"/>
        <v xml:space="preserve"> </v>
      </c>
    </row>
    <row r="754" spans="13:13" x14ac:dyDescent="0.3">
      <c r="M754" s="26" t="str">
        <f t="shared" si="11"/>
        <v xml:space="preserve"> </v>
      </c>
    </row>
    <row r="755" spans="13:13" x14ac:dyDescent="0.3">
      <c r="M755" s="26" t="str">
        <f t="shared" si="11"/>
        <v xml:space="preserve"> </v>
      </c>
    </row>
    <row r="756" spans="13:13" x14ac:dyDescent="0.3">
      <c r="M756" s="26" t="str">
        <f t="shared" si="11"/>
        <v xml:space="preserve"> </v>
      </c>
    </row>
    <row r="757" spans="13:13" x14ac:dyDescent="0.3">
      <c r="M757" s="26" t="str">
        <f t="shared" si="11"/>
        <v xml:space="preserve"> </v>
      </c>
    </row>
    <row r="758" spans="13:13" x14ac:dyDescent="0.3">
      <c r="M758" s="26" t="str">
        <f t="shared" si="11"/>
        <v xml:space="preserve"> </v>
      </c>
    </row>
    <row r="759" spans="13:13" x14ac:dyDescent="0.3">
      <c r="M759" s="26" t="str">
        <f t="shared" si="11"/>
        <v xml:space="preserve"> </v>
      </c>
    </row>
    <row r="760" spans="13:13" x14ac:dyDescent="0.3">
      <c r="M760" s="26" t="str">
        <f t="shared" si="11"/>
        <v xml:space="preserve"> </v>
      </c>
    </row>
    <row r="761" spans="13:13" x14ac:dyDescent="0.3">
      <c r="M761" s="26" t="str">
        <f t="shared" si="11"/>
        <v xml:space="preserve"> </v>
      </c>
    </row>
    <row r="762" spans="13:13" x14ac:dyDescent="0.3">
      <c r="M762" s="26" t="str">
        <f t="shared" si="11"/>
        <v xml:space="preserve"> </v>
      </c>
    </row>
    <row r="763" spans="13:13" x14ac:dyDescent="0.3">
      <c r="M763" s="26" t="str">
        <f t="shared" si="11"/>
        <v xml:space="preserve"> </v>
      </c>
    </row>
    <row r="764" spans="13:13" x14ac:dyDescent="0.3">
      <c r="M764" s="26" t="str">
        <f t="shared" si="11"/>
        <v xml:space="preserve"> </v>
      </c>
    </row>
    <row r="765" spans="13:13" x14ac:dyDescent="0.3">
      <c r="M765" s="26" t="str">
        <f t="shared" si="11"/>
        <v xml:space="preserve"> </v>
      </c>
    </row>
    <row r="766" spans="13:13" x14ac:dyDescent="0.3">
      <c r="M766" s="26" t="str">
        <f t="shared" si="11"/>
        <v xml:space="preserve"> </v>
      </c>
    </row>
    <row r="767" spans="13:13" x14ac:dyDescent="0.3">
      <c r="M767" s="26" t="str">
        <f t="shared" si="11"/>
        <v xml:space="preserve"> </v>
      </c>
    </row>
    <row r="768" spans="13:13" x14ac:dyDescent="0.3">
      <c r="M768" s="26" t="str">
        <f t="shared" si="11"/>
        <v xml:space="preserve"> </v>
      </c>
    </row>
    <row r="769" spans="13:13" x14ac:dyDescent="0.3">
      <c r="M769" s="26" t="str">
        <f t="shared" si="11"/>
        <v xml:space="preserve"> </v>
      </c>
    </row>
    <row r="770" spans="13:13" x14ac:dyDescent="0.3">
      <c r="M770" s="26" t="str">
        <f t="shared" ref="M770:M833" si="12">_xlfn.CONCAT(L770," ",F770)</f>
        <v xml:space="preserve"> </v>
      </c>
    </row>
    <row r="771" spans="13:13" x14ac:dyDescent="0.3">
      <c r="M771" s="26" t="str">
        <f t="shared" si="12"/>
        <v xml:space="preserve"> </v>
      </c>
    </row>
    <row r="772" spans="13:13" x14ac:dyDescent="0.3">
      <c r="M772" s="26" t="str">
        <f t="shared" si="12"/>
        <v xml:space="preserve"> </v>
      </c>
    </row>
    <row r="773" spans="13:13" x14ac:dyDescent="0.3">
      <c r="M773" s="26" t="str">
        <f t="shared" si="12"/>
        <v xml:space="preserve"> </v>
      </c>
    </row>
    <row r="774" spans="13:13" x14ac:dyDescent="0.3">
      <c r="M774" s="26" t="str">
        <f t="shared" si="12"/>
        <v xml:space="preserve"> </v>
      </c>
    </row>
    <row r="775" spans="13:13" x14ac:dyDescent="0.3">
      <c r="M775" s="26" t="str">
        <f t="shared" si="12"/>
        <v xml:space="preserve"> </v>
      </c>
    </row>
    <row r="776" spans="13:13" x14ac:dyDescent="0.3">
      <c r="M776" s="26" t="str">
        <f t="shared" si="12"/>
        <v xml:space="preserve"> </v>
      </c>
    </row>
    <row r="777" spans="13:13" x14ac:dyDescent="0.3">
      <c r="M777" s="26" t="str">
        <f t="shared" si="12"/>
        <v xml:space="preserve"> </v>
      </c>
    </row>
    <row r="778" spans="13:13" x14ac:dyDescent="0.3">
      <c r="M778" s="26" t="str">
        <f t="shared" si="12"/>
        <v xml:space="preserve"> </v>
      </c>
    </row>
    <row r="779" spans="13:13" x14ac:dyDescent="0.3">
      <c r="M779" s="26" t="str">
        <f t="shared" si="12"/>
        <v xml:space="preserve"> </v>
      </c>
    </row>
    <row r="780" spans="13:13" x14ac:dyDescent="0.3">
      <c r="M780" s="26" t="str">
        <f t="shared" si="12"/>
        <v xml:space="preserve"> </v>
      </c>
    </row>
    <row r="781" spans="13:13" x14ac:dyDescent="0.3">
      <c r="M781" s="26" t="str">
        <f t="shared" si="12"/>
        <v xml:space="preserve"> </v>
      </c>
    </row>
    <row r="782" spans="13:13" x14ac:dyDescent="0.3">
      <c r="M782" s="26" t="str">
        <f t="shared" si="12"/>
        <v xml:space="preserve"> </v>
      </c>
    </row>
    <row r="783" spans="13:13" x14ac:dyDescent="0.3">
      <c r="M783" s="26" t="str">
        <f t="shared" si="12"/>
        <v xml:space="preserve"> </v>
      </c>
    </row>
    <row r="784" spans="13:13" x14ac:dyDescent="0.3">
      <c r="M784" s="26" t="str">
        <f t="shared" si="12"/>
        <v xml:space="preserve"> </v>
      </c>
    </row>
    <row r="785" spans="13:13" x14ac:dyDescent="0.3">
      <c r="M785" s="26" t="str">
        <f t="shared" si="12"/>
        <v xml:space="preserve"> </v>
      </c>
    </row>
    <row r="786" spans="13:13" x14ac:dyDescent="0.3">
      <c r="M786" s="26" t="str">
        <f t="shared" si="12"/>
        <v xml:space="preserve"> </v>
      </c>
    </row>
    <row r="787" spans="13:13" x14ac:dyDescent="0.3">
      <c r="M787" s="26" t="str">
        <f t="shared" si="12"/>
        <v xml:space="preserve"> </v>
      </c>
    </row>
    <row r="788" spans="13:13" x14ac:dyDescent="0.3">
      <c r="M788" s="26" t="str">
        <f t="shared" si="12"/>
        <v xml:space="preserve"> </v>
      </c>
    </row>
    <row r="789" spans="13:13" x14ac:dyDescent="0.3">
      <c r="M789" s="26" t="str">
        <f t="shared" si="12"/>
        <v xml:space="preserve"> </v>
      </c>
    </row>
    <row r="790" spans="13:13" x14ac:dyDescent="0.3">
      <c r="M790" s="26" t="str">
        <f t="shared" si="12"/>
        <v xml:space="preserve"> </v>
      </c>
    </row>
    <row r="791" spans="13:13" x14ac:dyDescent="0.3">
      <c r="M791" s="26" t="str">
        <f t="shared" si="12"/>
        <v xml:space="preserve"> </v>
      </c>
    </row>
    <row r="792" spans="13:13" x14ac:dyDescent="0.3">
      <c r="M792" s="26" t="str">
        <f t="shared" si="12"/>
        <v xml:space="preserve"> </v>
      </c>
    </row>
    <row r="793" spans="13:13" x14ac:dyDescent="0.3">
      <c r="M793" s="26" t="str">
        <f t="shared" si="12"/>
        <v xml:space="preserve"> </v>
      </c>
    </row>
    <row r="794" spans="13:13" x14ac:dyDescent="0.3">
      <c r="M794" s="26" t="str">
        <f t="shared" si="12"/>
        <v xml:space="preserve"> </v>
      </c>
    </row>
    <row r="795" spans="13:13" x14ac:dyDescent="0.3">
      <c r="M795" s="26" t="str">
        <f t="shared" si="12"/>
        <v xml:space="preserve"> </v>
      </c>
    </row>
    <row r="796" spans="13:13" x14ac:dyDescent="0.3">
      <c r="M796" s="26" t="str">
        <f t="shared" si="12"/>
        <v xml:space="preserve"> </v>
      </c>
    </row>
    <row r="797" spans="13:13" x14ac:dyDescent="0.3">
      <c r="M797" s="26" t="str">
        <f t="shared" si="12"/>
        <v xml:space="preserve"> </v>
      </c>
    </row>
    <row r="798" spans="13:13" x14ac:dyDescent="0.3">
      <c r="M798" s="26" t="str">
        <f t="shared" si="12"/>
        <v xml:space="preserve"> </v>
      </c>
    </row>
    <row r="799" spans="13:13" x14ac:dyDescent="0.3">
      <c r="M799" s="26" t="str">
        <f t="shared" si="12"/>
        <v xml:space="preserve"> </v>
      </c>
    </row>
    <row r="800" spans="13:13" x14ac:dyDescent="0.3">
      <c r="M800" s="26" t="str">
        <f t="shared" si="12"/>
        <v xml:space="preserve"> </v>
      </c>
    </row>
    <row r="801" spans="13:13" x14ac:dyDescent="0.3">
      <c r="M801" s="26" t="str">
        <f t="shared" si="12"/>
        <v xml:space="preserve"> </v>
      </c>
    </row>
    <row r="802" spans="13:13" x14ac:dyDescent="0.3">
      <c r="M802" s="26" t="str">
        <f t="shared" si="12"/>
        <v xml:space="preserve"> </v>
      </c>
    </row>
    <row r="803" spans="13:13" x14ac:dyDescent="0.3">
      <c r="M803" s="26" t="str">
        <f t="shared" si="12"/>
        <v xml:space="preserve"> </v>
      </c>
    </row>
    <row r="804" spans="13:13" x14ac:dyDescent="0.3">
      <c r="M804" s="26" t="str">
        <f t="shared" si="12"/>
        <v xml:space="preserve"> </v>
      </c>
    </row>
    <row r="805" spans="13:13" x14ac:dyDescent="0.3">
      <c r="M805" s="26" t="str">
        <f t="shared" si="12"/>
        <v xml:space="preserve"> </v>
      </c>
    </row>
    <row r="806" spans="13:13" x14ac:dyDescent="0.3">
      <c r="M806" s="26" t="str">
        <f t="shared" si="12"/>
        <v xml:space="preserve"> </v>
      </c>
    </row>
    <row r="807" spans="13:13" x14ac:dyDescent="0.3">
      <c r="M807" s="26" t="str">
        <f t="shared" si="12"/>
        <v xml:space="preserve"> </v>
      </c>
    </row>
    <row r="808" spans="13:13" x14ac:dyDescent="0.3">
      <c r="M808" s="26" t="str">
        <f t="shared" si="12"/>
        <v xml:space="preserve"> </v>
      </c>
    </row>
    <row r="809" spans="13:13" x14ac:dyDescent="0.3">
      <c r="M809" s="26" t="str">
        <f t="shared" si="12"/>
        <v xml:space="preserve"> </v>
      </c>
    </row>
    <row r="810" spans="13:13" x14ac:dyDescent="0.3">
      <c r="M810" s="26" t="str">
        <f t="shared" si="12"/>
        <v xml:space="preserve"> </v>
      </c>
    </row>
    <row r="811" spans="13:13" x14ac:dyDescent="0.3">
      <c r="M811" s="26" t="str">
        <f t="shared" si="12"/>
        <v xml:space="preserve"> </v>
      </c>
    </row>
    <row r="812" spans="13:13" x14ac:dyDescent="0.3">
      <c r="M812" s="26" t="str">
        <f t="shared" si="12"/>
        <v xml:space="preserve"> </v>
      </c>
    </row>
    <row r="813" spans="13:13" x14ac:dyDescent="0.3">
      <c r="M813" s="26" t="str">
        <f t="shared" si="12"/>
        <v xml:space="preserve"> </v>
      </c>
    </row>
    <row r="814" spans="13:13" x14ac:dyDescent="0.3">
      <c r="M814" s="26" t="str">
        <f t="shared" si="12"/>
        <v xml:space="preserve"> </v>
      </c>
    </row>
    <row r="815" spans="13:13" x14ac:dyDescent="0.3">
      <c r="M815" s="26" t="str">
        <f t="shared" si="12"/>
        <v xml:space="preserve"> </v>
      </c>
    </row>
    <row r="816" spans="13:13" x14ac:dyDescent="0.3">
      <c r="M816" s="26" t="str">
        <f t="shared" si="12"/>
        <v xml:space="preserve"> </v>
      </c>
    </row>
    <row r="817" spans="13:13" x14ac:dyDescent="0.3">
      <c r="M817" s="26" t="str">
        <f t="shared" si="12"/>
        <v xml:space="preserve"> </v>
      </c>
    </row>
    <row r="818" spans="13:13" x14ac:dyDescent="0.3">
      <c r="M818" s="26" t="str">
        <f t="shared" si="12"/>
        <v xml:space="preserve"> </v>
      </c>
    </row>
    <row r="819" spans="13:13" x14ac:dyDescent="0.3">
      <c r="M819" s="26" t="str">
        <f t="shared" si="12"/>
        <v xml:space="preserve"> </v>
      </c>
    </row>
    <row r="820" spans="13:13" x14ac:dyDescent="0.3">
      <c r="M820" s="26" t="str">
        <f t="shared" si="12"/>
        <v xml:space="preserve"> </v>
      </c>
    </row>
    <row r="821" spans="13:13" x14ac:dyDescent="0.3">
      <c r="M821" s="26" t="str">
        <f t="shared" si="12"/>
        <v xml:space="preserve"> </v>
      </c>
    </row>
    <row r="822" spans="13:13" x14ac:dyDescent="0.3">
      <c r="M822" s="26" t="str">
        <f t="shared" si="12"/>
        <v xml:space="preserve"> </v>
      </c>
    </row>
    <row r="823" spans="13:13" x14ac:dyDescent="0.3">
      <c r="M823" s="26" t="str">
        <f t="shared" si="12"/>
        <v xml:space="preserve"> </v>
      </c>
    </row>
    <row r="824" spans="13:13" x14ac:dyDescent="0.3">
      <c r="M824" s="26" t="str">
        <f t="shared" si="12"/>
        <v xml:space="preserve"> </v>
      </c>
    </row>
    <row r="825" spans="13:13" x14ac:dyDescent="0.3">
      <c r="M825" s="26" t="str">
        <f t="shared" si="12"/>
        <v xml:space="preserve"> </v>
      </c>
    </row>
    <row r="826" spans="13:13" x14ac:dyDescent="0.3">
      <c r="M826" s="26" t="str">
        <f t="shared" si="12"/>
        <v xml:space="preserve"> </v>
      </c>
    </row>
    <row r="827" spans="13:13" x14ac:dyDescent="0.3">
      <c r="M827" s="26" t="str">
        <f t="shared" si="12"/>
        <v xml:space="preserve"> </v>
      </c>
    </row>
    <row r="828" spans="13:13" x14ac:dyDescent="0.3">
      <c r="M828" s="26" t="str">
        <f t="shared" si="12"/>
        <v xml:space="preserve"> </v>
      </c>
    </row>
    <row r="829" spans="13:13" x14ac:dyDescent="0.3">
      <c r="M829" s="26" t="str">
        <f t="shared" si="12"/>
        <v xml:space="preserve"> </v>
      </c>
    </row>
    <row r="830" spans="13:13" x14ac:dyDescent="0.3">
      <c r="M830" s="26" t="str">
        <f t="shared" si="12"/>
        <v xml:space="preserve"> </v>
      </c>
    </row>
    <row r="831" spans="13:13" x14ac:dyDescent="0.3">
      <c r="M831" s="26" t="str">
        <f t="shared" si="12"/>
        <v xml:space="preserve"> </v>
      </c>
    </row>
    <row r="832" spans="13:13" x14ac:dyDescent="0.3">
      <c r="M832" s="26" t="str">
        <f t="shared" si="12"/>
        <v xml:space="preserve"> </v>
      </c>
    </row>
    <row r="833" spans="13:13" x14ac:dyDescent="0.3">
      <c r="M833" s="26" t="str">
        <f t="shared" si="12"/>
        <v xml:space="preserve"> </v>
      </c>
    </row>
    <row r="834" spans="13:13" x14ac:dyDescent="0.3">
      <c r="M834" s="26" t="str">
        <f t="shared" ref="M834:M897" si="13">_xlfn.CONCAT(L834," ",F834)</f>
        <v xml:space="preserve"> </v>
      </c>
    </row>
    <row r="835" spans="13:13" x14ac:dyDescent="0.3">
      <c r="M835" s="26" t="str">
        <f t="shared" si="13"/>
        <v xml:space="preserve"> </v>
      </c>
    </row>
    <row r="836" spans="13:13" x14ac:dyDescent="0.3">
      <c r="M836" s="26" t="str">
        <f t="shared" si="13"/>
        <v xml:space="preserve"> </v>
      </c>
    </row>
    <row r="837" spans="13:13" x14ac:dyDescent="0.3">
      <c r="M837" s="26" t="str">
        <f t="shared" si="13"/>
        <v xml:space="preserve"> </v>
      </c>
    </row>
    <row r="838" spans="13:13" x14ac:dyDescent="0.3">
      <c r="M838" s="26" t="str">
        <f t="shared" si="13"/>
        <v xml:space="preserve"> </v>
      </c>
    </row>
    <row r="839" spans="13:13" x14ac:dyDescent="0.3">
      <c r="M839" s="26" t="str">
        <f t="shared" si="13"/>
        <v xml:space="preserve"> </v>
      </c>
    </row>
    <row r="840" spans="13:13" x14ac:dyDescent="0.3">
      <c r="M840" s="26" t="str">
        <f t="shared" si="13"/>
        <v xml:space="preserve"> </v>
      </c>
    </row>
    <row r="841" spans="13:13" x14ac:dyDescent="0.3">
      <c r="M841" s="26" t="str">
        <f t="shared" si="13"/>
        <v xml:space="preserve"> </v>
      </c>
    </row>
    <row r="842" spans="13:13" x14ac:dyDescent="0.3">
      <c r="M842" s="26" t="str">
        <f t="shared" si="13"/>
        <v xml:space="preserve"> </v>
      </c>
    </row>
    <row r="843" spans="13:13" x14ac:dyDescent="0.3">
      <c r="M843" s="26" t="str">
        <f t="shared" si="13"/>
        <v xml:space="preserve"> </v>
      </c>
    </row>
    <row r="844" spans="13:13" x14ac:dyDescent="0.3">
      <c r="M844" s="26" t="str">
        <f t="shared" si="13"/>
        <v xml:space="preserve"> </v>
      </c>
    </row>
    <row r="845" spans="13:13" x14ac:dyDescent="0.3">
      <c r="M845" s="26" t="str">
        <f t="shared" si="13"/>
        <v xml:space="preserve"> </v>
      </c>
    </row>
    <row r="846" spans="13:13" x14ac:dyDescent="0.3">
      <c r="M846" s="26" t="str">
        <f t="shared" si="13"/>
        <v xml:space="preserve"> </v>
      </c>
    </row>
    <row r="847" spans="13:13" x14ac:dyDescent="0.3">
      <c r="M847" s="26" t="str">
        <f t="shared" si="13"/>
        <v xml:space="preserve"> </v>
      </c>
    </row>
    <row r="848" spans="13:13" x14ac:dyDescent="0.3">
      <c r="M848" s="26" t="str">
        <f t="shared" si="13"/>
        <v xml:space="preserve"> </v>
      </c>
    </row>
    <row r="849" spans="13:13" x14ac:dyDescent="0.3">
      <c r="M849" s="26" t="str">
        <f t="shared" si="13"/>
        <v xml:space="preserve"> </v>
      </c>
    </row>
    <row r="850" spans="13:13" x14ac:dyDescent="0.3">
      <c r="M850" s="26" t="str">
        <f t="shared" si="13"/>
        <v xml:space="preserve"> </v>
      </c>
    </row>
    <row r="851" spans="13:13" x14ac:dyDescent="0.3">
      <c r="M851" s="26" t="str">
        <f t="shared" si="13"/>
        <v xml:space="preserve"> </v>
      </c>
    </row>
    <row r="852" spans="13:13" x14ac:dyDescent="0.3">
      <c r="M852" s="26" t="str">
        <f t="shared" si="13"/>
        <v xml:space="preserve"> </v>
      </c>
    </row>
    <row r="853" spans="13:13" x14ac:dyDescent="0.3">
      <c r="M853" s="26" t="str">
        <f t="shared" si="13"/>
        <v xml:space="preserve"> </v>
      </c>
    </row>
    <row r="854" spans="13:13" x14ac:dyDescent="0.3">
      <c r="M854" s="26" t="str">
        <f t="shared" si="13"/>
        <v xml:space="preserve"> </v>
      </c>
    </row>
    <row r="855" spans="13:13" x14ac:dyDescent="0.3">
      <c r="M855" s="26" t="str">
        <f t="shared" si="13"/>
        <v xml:space="preserve"> </v>
      </c>
    </row>
    <row r="856" spans="13:13" x14ac:dyDescent="0.3">
      <c r="M856" s="26" t="str">
        <f t="shared" si="13"/>
        <v xml:space="preserve"> </v>
      </c>
    </row>
    <row r="857" spans="13:13" x14ac:dyDescent="0.3">
      <c r="M857" s="26" t="str">
        <f t="shared" si="13"/>
        <v xml:space="preserve"> </v>
      </c>
    </row>
    <row r="858" spans="13:13" x14ac:dyDescent="0.3">
      <c r="M858" s="26" t="str">
        <f t="shared" si="13"/>
        <v xml:space="preserve"> </v>
      </c>
    </row>
    <row r="859" spans="13:13" x14ac:dyDescent="0.3">
      <c r="M859" s="26" t="str">
        <f t="shared" si="13"/>
        <v xml:space="preserve"> </v>
      </c>
    </row>
    <row r="860" spans="13:13" x14ac:dyDescent="0.3">
      <c r="M860" s="26" t="str">
        <f t="shared" si="13"/>
        <v xml:space="preserve"> </v>
      </c>
    </row>
    <row r="861" spans="13:13" x14ac:dyDescent="0.3">
      <c r="M861" s="26" t="str">
        <f t="shared" si="13"/>
        <v xml:space="preserve"> </v>
      </c>
    </row>
    <row r="862" spans="13:13" x14ac:dyDescent="0.3">
      <c r="M862" s="26" t="str">
        <f t="shared" si="13"/>
        <v xml:space="preserve"> </v>
      </c>
    </row>
    <row r="863" spans="13:13" x14ac:dyDescent="0.3">
      <c r="M863" s="26" t="str">
        <f t="shared" si="13"/>
        <v xml:space="preserve"> </v>
      </c>
    </row>
    <row r="864" spans="13:13" x14ac:dyDescent="0.3">
      <c r="M864" s="26" t="str">
        <f t="shared" si="13"/>
        <v xml:space="preserve"> </v>
      </c>
    </row>
    <row r="865" spans="13:13" x14ac:dyDescent="0.3">
      <c r="M865" s="26" t="str">
        <f t="shared" si="13"/>
        <v xml:space="preserve"> </v>
      </c>
    </row>
    <row r="866" spans="13:13" x14ac:dyDescent="0.3">
      <c r="M866" s="26" t="str">
        <f t="shared" si="13"/>
        <v xml:space="preserve"> </v>
      </c>
    </row>
    <row r="867" spans="13:13" x14ac:dyDescent="0.3">
      <c r="M867" s="26" t="str">
        <f t="shared" si="13"/>
        <v xml:space="preserve"> </v>
      </c>
    </row>
    <row r="868" spans="13:13" x14ac:dyDescent="0.3">
      <c r="M868" s="26" t="str">
        <f t="shared" si="13"/>
        <v xml:space="preserve"> </v>
      </c>
    </row>
    <row r="869" spans="13:13" x14ac:dyDescent="0.3">
      <c r="M869" s="26" t="str">
        <f t="shared" si="13"/>
        <v xml:space="preserve"> </v>
      </c>
    </row>
    <row r="870" spans="13:13" x14ac:dyDescent="0.3">
      <c r="M870" s="26" t="str">
        <f t="shared" si="13"/>
        <v xml:space="preserve"> </v>
      </c>
    </row>
    <row r="871" spans="13:13" x14ac:dyDescent="0.3">
      <c r="M871" s="26" t="str">
        <f t="shared" si="13"/>
        <v xml:space="preserve"> </v>
      </c>
    </row>
    <row r="872" spans="13:13" x14ac:dyDescent="0.3">
      <c r="M872" s="26" t="str">
        <f t="shared" si="13"/>
        <v xml:space="preserve"> </v>
      </c>
    </row>
    <row r="873" spans="13:13" x14ac:dyDescent="0.3">
      <c r="M873" s="26" t="str">
        <f t="shared" si="13"/>
        <v xml:space="preserve"> </v>
      </c>
    </row>
    <row r="874" spans="13:13" x14ac:dyDescent="0.3">
      <c r="M874" s="26" t="str">
        <f t="shared" si="13"/>
        <v xml:space="preserve"> </v>
      </c>
    </row>
    <row r="875" spans="13:13" x14ac:dyDescent="0.3">
      <c r="M875" s="26" t="str">
        <f t="shared" si="13"/>
        <v xml:space="preserve"> </v>
      </c>
    </row>
    <row r="876" spans="13:13" x14ac:dyDescent="0.3">
      <c r="M876" s="26" t="str">
        <f t="shared" si="13"/>
        <v xml:space="preserve"> </v>
      </c>
    </row>
    <row r="877" spans="13:13" x14ac:dyDescent="0.3">
      <c r="M877" s="26" t="str">
        <f t="shared" si="13"/>
        <v xml:space="preserve"> </v>
      </c>
    </row>
    <row r="878" spans="13:13" x14ac:dyDescent="0.3">
      <c r="M878" s="26" t="str">
        <f t="shared" si="13"/>
        <v xml:space="preserve"> </v>
      </c>
    </row>
    <row r="879" spans="13:13" x14ac:dyDescent="0.3">
      <c r="M879" s="26" t="str">
        <f t="shared" si="13"/>
        <v xml:space="preserve"> </v>
      </c>
    </row>
    <row r="880" spans="13:13" x14ac:dyDescent="0.3">
      <c r="M880" s="26" t="str">
        <f t="shared" si="13"/>
        <v xml:space="preserve"> </v>
      </c>
    </row>
    <row r="881" spans="13:13" x14ac:dyDescent="0.3">
      <c r="M881" s="26" t="str">
        <f t="shared" si="13"/>
        <v xml:space="preserve"> </v>
      </c>
    </row>
    <row r="882" spans="13:13" x14ac:dyDescent="0.3">
      <c r="M882" s="26" t="str">
        <f t="shared" si="13"/>
        <v xml:space="preserve"> </v>
      </c>
    </row>
    <row r="883" spans="13:13" x14ac:dyDescent="0.3">
      <c r="M883" s="26" t="str">
        <f t="shared" si="13"/>
        <v xml:space="preserve"> </v>
      </c>
    </row>
    <row r="884" spans="13:13" x14ac:dyDescent="0.3">
      <c r="M884" s="26" t="str">
        <f t="shared" si="13"/>
        <v xml:space="preserve"> </v>
      </c>
    </row>
    <row r="885" spans="13:13" x14ac:dyDescent="0.3">
      <c r="M885" s="26" t="str">
        <f t="shared" si="13"/>
        <v xml:space="preserve"> </v>
      </c>
    </row>
    <row r="886" spans="13:13" x14ac:dyDescent="0.3">
      <c r="M886" s="26" t="str">
        <f t="shared" si="13"/>
        <v xml:space="preserve"> </v>
      </c>
    </row>
    <row r="887" spans="13:13" x14ac:dyDescent="0.3">
      <c r="M887" s="26" t="str">
        <f t="shared" si="13"/>
        <v xml:space="preserve"> </v>
      </c>
    </row>
    <row r="888" spans="13:13" x14ac:dyDescent="0.3">
      <c r="M888" s="26" t="str">
        <f t="shared" si="13"/>
        <v xml:space="preserve"> </v>
      </c>
    </row>
    <row r="889" spans="13:13" x14ac:dyDescent="0.3">
      <c r="M889" s="26" t="str">
        <f t="shared" si="13"/>
        <v xml:space="preserve"> </v>
      </c>
    </row>
    <row r="890" spans="13:13" x14ac:dyDescent="0.3">
      <c r="M890" s="26" t="str">
        <f t="shared" si="13"/>
        <v xml:space="preserve"> </v>
      </c>
    </row>
    <row r="891" spans="13:13" x14ac:dyDescent="0.3">
      <c r="M891" s="26" t="str">
        <f t="shared" si="13"/>
        <v xml:space="preserve"> </v>
      </c>
    </row>
    <row r="892" spans="13:13" x14ac:dyDescent="0.3">
      <c r="M892" s="26" t="str">
        <f t="shared" si="13"/>
        <v xml:space="preserve"> </v>
      </c>
    </row>
    <row r="893" spans="13:13" x14ac:dyDescent="0.3">
      <c r="M893" s="26" t="str">
        <f t="shared" si="13"/>
        <v xml:space="preserve"> </v>
      </c>
    </row>
    <row r="894" spans="13:13" x14ac:dyDescent="0.3">
      <c r="M894" s="26" t="str">
        <f t="shared" si="13"/>
        <v xml:space="preserve"> </v>
      </c>
    </row>
    <row r="895" spans="13:13" x14ac:dyDescent="0.3">
      <c r="M895" s="26" t="str">
        <f t="shared" si="13"/>
        <v xml:space="preserve"> </v>
      </c>
    </row>
    <row r="896" spans="13:13" x14ac:dyDescent="0.3">
      <c r="M896" s="26" t="str">
        <f t="shared" si="13"/>
        <v xml:space="preserve"> </v>
      </c>
    </row>
    <row r="897" spans="13:13" x14ac:dyDescent="0.3">
      <c r="M897" s="26" t="str">
        <f t="shared" si="13"/>
        <v xml:space="preserve"> </v>
      </c>
    </row>
    <row r="898" spans="13:13" x14ac:dyDescent="0.3">
      <c r="M898" s="26" t="str">
        <f t="shared" ref="M898:M961" si="14">_xlfn.CONCAT(L898," ",F898)</f>
        <v xml:space="preserve"> </v>
      </c>
    </row>
    <row r="899" spans="13:13" x14ac:dyDescent="0.3">
      <c r="M899" s="26" t="str">
        <f t="shared" si="14"/>
        <v xml:space="preserve"> </v>
      </c>
    </row>
    <row r="900" spans="13:13" x14ac:dyDescent="0.3">
      <c r="M900" s="26" t="str">
        <f t="shared" si="14"/>
        <v xml:space="preserve"> </v>
      </c>
    </row>
    <row r="901" spans="13:13" x14ac:dyDescent="0.3">
      <c r="M901" s="26" t="str">
        <f t="shared" si="14"/>
        <v xml:space="preserve"> </v>
      </c>
    </row>
    <row r="902" spans="13:13" x14ac:dyDescent="0.3">
      <c r="M902" s="26" t="str">
        <f t="shared" si="14"/>
        <v xml:space="preserve"> </v>
      </c>
    </row>
    <row r="903" spans="13:13" x14ac:dyDescent="0.3">
      <c r="M903" s="26" t="str">
        <f t="shared" si="14"/>
        <v xml:space="preserve"> </v>
      </c>
    </row>
    <row r="904" spans="13:13" x14ac:dyDescent="0.3">
      <c r="M904" s="26" t="str">
        <f t="shared" si="14"/>
        <v xml:space="preserve"> </v>
      </c>
    </row>
    <row r="905" spans="13:13" x14ac:dyDescent="0.3">
      <c r="M905" s="26" t="str">
        <f t="shared" si="14"/>
        <v xml:space="preserve"> </v>
      </c>
    </row>
    <row r="906" spans="13:13" x14ac:dyDescent="0.3">
      <c r="M906" s="26" t="str">
        <f t="shared" si="14"/>
        <v xml:space="preserve"> </v>
      </c>
    </row>
    <row r="907" spans="13:13" x14ac:dyDescent="0.3">
      <c r="M907" s="26" t="str">
        <f t="shared" si="14"/>
        <v xml:space="preserve"> </v>
      </c>
    </row>
    <row r="908" spans="13:13" x14ac:dyDescent="0.3">
      <c r="M908" s="26" t="str">
        <f t="shared" si="14"/>
        <v xml:space="preserve"> </v>
      </c>
    </row>
    <row r="909" spans="13:13" x14ac:dyDescent="0.3">
      <c r="M909" s="26" t="str">
        <f t="shared" si="14"/>
        <v xml:space="preserve"> </v>
      </c>
    </row>
    <row r="910" spans="13:13" x14ac:dyDescent="0.3">
      <c r="M910" s="26" t="str">
        <f t="shared" si="14"/>
        <v xml:space="preserve"> </v>
      </c>
    </row>
    <row r="911" spans="13:13" x14ac:dyDescent="0.3">
      <c r="M911" s="26" t="str">
        <f t="shared" si="14"/>
        <v xml:space="preserve"> </v>
      </c>
    </row>
    <row r="912" spans="13:13" x14ac:dyDescent="0.3">
      <c r="M912" s="26" t="str">
        <f t="shared" si="14"/>
        <v xml:space="preserve"> </v>
      </c>
    </row>
    <row r="913" spans="13:13" x14ac:dyDescent="0.3">
      <c r="M913" s="26" t="str">
        <f t="shared" si="14"/>
        <v xml:space="preserve"> </v>
      </c>
    </row>
    <row r="914" spans="13:13" x14ac:dyDescent="0.3">
      <c r="M914" s="26" t="str">
        <f t="shared" si="14"/>
        <v xml:space="preserve"> </v>
      </c>
    </row>
    <row r="915" spans="13:13" x14ac:dyDescent="0.3">
      <c r="M915" s="26" t="str">
        <f t="shared" si="14"/>
        <v xml:space="preserve"> </v>
      </c>
    </row>
    <row r="916" spans="13:13" x14ac:dyDescent="0.3">
      <c r="M916" s="26" t="str">
        <f t="shared" si="14"/>
        <v xml:space="preserve"> </v>
      </c>
    </row>
    <row r="917" spans="13:13" x14ac:dyDescent="0.3">
      <c r="M917" s="26" t="str">
        <f t="shared" si="14"/>
        <v xml:space="preserve"> </v>
      </c>
    </row>
    <row r="918" spans="13:13" x14ac:dyDescent="0.3">
      <c r="M918" s="26" t="str">
        <f t="shared" si="14"/>
        <v xml:space="preserve"> </v>
      </c>
    </row>
    <row r="919" spans="13:13" x14ac:dyDescent="0.3">
      <c r="M919" s="26" t="str">
        <f t="shared" si="14"/>
        <v xml:space="preserve"> </v>
      </c>
    </row>
    <row r="920" spans="13:13" x14ac:dyDescent="0.3">
      <c r="M920" s="26" t="str">
        <f t="shared" si="14"/>
        <v xml:space="preserve"> </v>
      </c>
    </row>
    <row r="921" spans="13:13" x14ac:dyDescent="0.3">
      <c r="M921" s="26" t="str">
        <f t="shared" si="14"/>
        <v xml:space="preserve"> </v>
      </c>
    </row>
    <row r="922" spans="13:13" x14ac:dyDescent="0.3">
      <c r="M922" s="26" t="str">
        <f t="shared" si="14"/>
        <v xml:space="preserve"> </v>
      </c>
    </row>
    <row r="923" spans="13:13" x14ac:dyDescent="0.3">
      <c r="M923" s="26" t="str">
        <f t="shared" si="14"/>
        <v xml:space="preserve"> </v>
      </c>
    </row>
    <row r="924" spans="13:13" x14ac:dyDescent="0.3">
      <c r="M924" s="26" t="str">
        <f t="shared" si="14"/>
        <v xml:space="preserve"> </v>
      </c>
    </row>
    <row r="925" spans="13:13" x14ac:dyDescent="0.3">
      <c r="M925" s="26" t="str">
        <f t="shared" si="14"/>
        <v xml:space="preserve"> </v>
      </c>
    </row>
    <row r="926" spans="13:13" x14ac:dyDescent="0.3">
      <c r="M926" s="26" t="str">
        <f t="shared" si="14"/>
        <v xml:space="preserve"> </v>
      </c>
    </row>
    <row r="927" spans="13:13" x14ac:dyDescent="0.3">
      <c r="M927" s="26" t="str">
        <f t="shared" si="14"/>
        <v xml:space="preserve"> </v>
      </c>
    </row>
    <row r="928" spans="13:13" x14ac:dyDescent="0.3">
      <c r="M928" s="26" t="str">
        <f t="shared" si="14"/>
        <v xml:space="preserve"> </v>
      </c>
    </row>
    <row r="929" spans="13:13" x14ac:dyDescent="0.3">
      <c r="M929" s="26" t="str">
        <f t="shared" si="14"/>
        <v xml:space="preserve"> </v>
      </c>
    </row>
    <row r="930" spans="13:13" x14ac:dyDescent="0.3">
      <c r="M930" s="26" t="str">
        <f t="shared" si="14"/>
        <v xml:space="preserve"> </v>
      </c>
    </row>
    <row r="931" spans="13:13" x14ac:dyDescent="0.3">
      <c r="M931" s="26" t="str">
        <f t="shared" si="14"/>
        <v xml:space="preserve"> </v>
      </c>
    </row>
    <row r="932" spans="13:13" x14ac:dyDescent="0.3">
      <c r="M932" s="26" t="str">
        <f t="shared" si="14"/>
        <v xml:space="preserve"> </v>
      </c>
    </row>
    <row r="933" spans="13:13" x14ac:dyDescent="0.3">
      <c r="M933" s="26" t="str">
        <f t="shared" si="14"/>
        <v xml:space="preserve"> </v>
      </c>
    </row>
    <row r="934" spans="13:13" x14ac:dyDescent="0.3">
      <c r="M934" s="26" t="str">
        <f t="shared" si="14"/>
        <v xml:space="preserve"> </v>
      </c>
    </row>
    <row r="935" spans="13:13" x14ac:dyDescent="0.3">
      <c r="M935" s="26" t="str">
        <f t="shared" si="14"/>
        <v xml:space="preserve"> </v>
      </c>
    </row>
    <row r="936" spans="13:13" x14ac:dyDescent="0.3">
      <c r="M936" s="26" t="str">
        <f t="shared" si="14"/>
        <v xml:space="preserve"> </v>
      </c>
    </row>
    <row r="937" spans="13:13" x14ac:dyDescent="0.3">
      <c r="M937" s="26" t="str">
        <f t="shared" si="14"/>
        <v xml:space="preserve"> </v>
      </c>
    </row>
    <row r="938" spans="13:13" x14ac:dyDescent="0.3">
      <c r="M938" s="26" t="str">
        <f t="shared" si="14"/>
        <v xml:space="preserve"> </v>
      </c>
    </row>
    <row r="939" spans="13:13" x14ac:dyDescent="0.3">
      <c r="M939" s="26" t="str">
        <f t="shared" si="14"/>
        <v xml:space="preserve"> </v>
      </c>
    </row>
    <row r="940" spans="13:13" x14ac:dyDescent="0.3">
      <c r="M940" s="26" t="str">
        <f t="shared" si="14"/>
        <v xml:space="preserve"> </v>
      </c>
    </row>
    <row r="941" spans="13:13" x14ac:dyDescent="0.3">
      <c r="M941" s="26" t="str">
        <f t="shared" si="14"/>
        <v xml:space="preserve"> </v>
      </c>
    </row>
    <row r="942" spans="13:13" x14ac:dyDescent="0.3">
      <c r="M942" s="26" t="str">
        <f t="shared" si="14"/>
        <v xml:space="preserve"> </v>
      </c>
    </row>
    <row r="943" spans="13:13" x14ac:dyDescent="0.3">
      <c r="M943" s="26" t="str">
        <f t="shared" si="14"/>
        <v xml:space="preserve"> </v>
      </c>
    </row>
    <row r="944" spans="13:13" x14ac:dyDescent="0.3">
      <c r="M944" s="26" t="str">
        <f t="shared" si="14"/>
        <v xml:space="preserve"> </v>
      </c>
    </row>
    <row r="945" spans="13:13" x14ac:dyDescent="0.3">
      <c r="M945" s="26" t="str">
        <f t="shared" si="14"/>
        <v xml:space="preserve"> </v>
      </c>
    </row>
    <row r="946" spans="13:13" x14ac:dyDescent="0.3">
      <c r="M946" s="26" t="str">
        <f t="shared" si="14"/>
        <v xml:space="preserve"> </v>
      </c>
    </row>
    <row r="947" spans="13:13" x14ac:dyDescent="0.3">
      <c r="M947" s="26" t="str">
        <f t="shared" si="14"/>
        <v xml:space="preserve"> </v>
      </c>
    </row>
    <row r="948" spans="13:13" x14ac:dyDescent="0.3">
      <c r="M948" s="26" t="str">
        <f t="shared" si="14"/>
        <v xml:space="preserve"> </v>
      </c>
    </row>
    <row r="949" spans="13:13" x14ac:dyDescent="0.3">
      <c r="M949" s="26" t="str">
        <f t="shared" si="14"/>
        <v xml:space="preserve"> </v>
      </c>
    </row>
    <row r="950" spans="13:13" x14ac:dyDescent="0.3">
      <c r="M950" s="26" t="str">
        <f t="shared" si="14"/>
        <v xml:space="preserve"> </v>
      </c>
    </row>
    <row r="951" spans="13:13" x14ac:dyDescent="0.3">
      <c r="M951" s="26" t="str">
        <f t="shared" si="14"/>
        <v xml:space="preserve"> </v>
      </c>
    </row>
    <row r="952" spans="13:13" x14ac:dyDescent="0.3">
      <c r="M952" s="26" t="str">
        <f t="shared" si="14"/>
        <v xml:space="preserve"> </v>
      </c>
    </row>
    <row r="953" spans="13:13" x14ac:dyDescent="0.3">
      <c r="M953" s="26" t="str">
        <f t="shared" si="14"/>
        <v xml:space="preserve"> </v>
      </c>
    </row>
    <row r="954" spans="13:13" x14ac:dyDescent="0.3">
      <c r="M954" s="26" t="str">
        <f t="shared" si="14"/>
        <v xml:space="preserve"> </v>
      </c>
    </row>
    <row r="955" spans="13:13" x14ac:dyDescent="0.3">
      <c r="M955" s="26" t="str">
        <f t="shared" si="14"/>
        <v xml:space="preserve"> </v>
      </c>
    </row>
    <row r="956" spans="13:13" x14ac:dyDescent="0.3">
      <c r="M956" s="26" t="str">
        <f t="shared" si="14"/>
        <v xml:space="preserve"> </v>
      </c>
    </row>
    <row r="957" spans="13:13" x14ac:dyDescent="0.3">
      <c r="M957" s="26" t="str">
        <f t="shared" si="14"/>
        <v xml:space="preserve"> </v>
      </c>
    </row>
    <row r="958" spans="13:13" x14ac:dyDescent="0.3">
      <c r="M958" s="26" t="str">
        <f t="shared" si="14"/>
        <v xml:space="preserve"> </v>
      </c>
    </row>
    <row r="959" spans="13:13" x14ac:dyDescent="0.3">
      <c r="M959" s="26" t="str">
        <f t="shared" si="14"/>
        <v xml:space="preserve"> </v>
      </c>
    </row>
    <row r="960" spans="13:13" x14ac:dyDescent="0.3">
      <c r="M960" s="26" t="str">
        <f t="shared" si="14"/>
        <v xml:space="preserve"> </v>
      </c>
    </row>
    <row r="961" spans="13:13" x14ac:dyDescent="0.3">
      <c r="M961" s="26" t="str">
        <f t="shared" si="14"/>
        <v xml:space="preserve"> </v>
      </c>
    </row>
    <row r="962" spans="13:13" x14ac:dyDescent="0.3">
      <c r="M962" s="26" t="str">
        <f t="shared" ref="M962:M1025" si="15">_xlfn.CONCAT(L962," ",F962)</f>
        <v xml:space="preserve"> </v>
      </c>
    </row>
    <row r="963" spans="13:13" x14ac:dyDescent="0.3">
      <c r="M963" s="26" t="str">
        <f t="shared" si="15"/>
        <v xml:space="preserve"> </v>
      </c>
    </row>
    <row r="964" spans="13:13" x14ac:dyDescent="0.3">
      <c r="M964" s="26" t="str">
        <f t="shared" si="15"/>
        <v xml:space="preserve"> </v>
      </c>
    </row>
    <row r="965" spans="13:13" x14ac:dyDescent="0.3">
      <c r="M965" s="26" t="str">
        <f t="shared" si="15"/>
        <v xml:space="preserve"> </v>
      </c>
    </row>
    <row r="966" spans="13:13" x14ac:dyDescent="0.3">
      <c r="M966" s="26" t="str">
        <f t="shared" si="15"/>
        <v xml:space="preserve"> </v>
      </c>
    </row>
    <row r="967" spans="13:13" x14ac:dyDescent="0.3">
      <c r="M967" s="26" t="str">
        <f t="shared" si="15"/>
        <v xml:space="preserve"> </v>
      </c>
    </row>
    <row r="968" spans="13:13" x14ac:dyDescent="0.3">
      <c r="M968" s="26" t="str">
        <f t="shared" si="15"/>
        <v xml:space="preserve"> </v>
      </c>
    </row>
    <row r="969" spans="13:13" x14ac:dyDescent="0.3">
      <c r="M969" s="26" t="str">
        <f t="shared" si="15"/>
        <v xml:space="preserve"> </v>
      </c>
    </row>
    <row r="970" spans="13:13" x14ac:dyDescent="0.3">
      <c r="M970" s="26" t="str">
        <f t="shared" si="15"/>
        <v xml:space="preserve"> </v>
      </c>
    </row>
    <row r="971" spans="13:13" x14ac:dyDescent="0.3">
      <c r="M971" s="26" t="str">
        <f t="shared" si="15"/>
        <v xml:space="preserve"> </v>
      </c>
    </row>
    <row r="972" spans="13:13" x14ac:dyDescent="0.3">
      <c r="M972" s="26" t="str">
        <f t="shared" si="15"/>
        <v xml:space="preserve"> </v>
      </c>
    </row>
    <row r="973" spans="13:13" x14ac:dyDescent="0.3">
      <c r="M973" s="26" t="str">
        <f t="shared" si="15"/>
        <v xml:space="preserve"> </v>
      </c>
    </row>
    <row r="974" spans="13:13" x14ac:dyDescent="0.3">
      <c r="M974" s="26" t="str">
        <f t="shared" si="15"/>
        <v xml:space="preserve"> </v>
      </c>
    </row>
    <row r="975" spans="13:13" x14ac:dyDescent="0.3">
      <c r="M975" s="26" t="str">
        <f t="shared" si="15"/>
        <v xml:space="preserve"> </v>
      </c>
    </row>
    <row r="976" spans="13:13" x14ac:dyDescent="0.3">
      <c r="M976" s="26" t="str">
        <f t="shared" si="15"/>
        <v xml:space="preserve"> </v>
      </c>
    </row>
    <row r="977" spans="13:13" x14ac:dyDescent="0.3">
      <c r="M977" s="26" t="str">
        <f t="shared" si="15"/>
        <v xml:space="preserve"> </v>
      </c>
    </row>
    <row r="978" spans="13:13" x14ac:dyDescent="0.3">
      <c r="M978" s="26" t="str">
        <f t="shared" si="15"/>
        <v xml:space="preserve"> </v>
      </c>
    </row>
    <row r="979" spans="13:13" x14ac:dyDescent="0.3">
      <c r="M979" s="26" t="str">
        <f t="shared" si="15"/>
        <v xml:space="preserve"> </v>
      </c>
    </row>
    <row r="980" spans="13:13" x14ac:dyDescent="0.3">
      <c r="M980" s="26" t="str">
        <f t="shared" si="15"/>
        <v xml:space="preserve"> </v>
      </c>
    </row>
    <row r="981" spans="13:13" x14ac:dyDescent="0.3">
      <c r="M981" s="26" t="str">
        <f t="shared" si="15"/>
        <v xml:space="preserve"> </v>
      </c>
    </row>
    <row r="982" spans="13:13" x14ac:dyDescent="0.3">
      <c r="M982" s="26" t="str">
        <f t="shared" si="15"/>
        <v xml:space="preserve"> </v>
      </c>
    </row>
    <row r="983" spans="13:13" x14ac:dyDescent="0.3">
      <c r="M983" s="26" t="str">
        <f t="shared" si="15"/>
        <v xml:space="preserve"> </v>
      </c>
    </row>
    <row r="984" spans="13:13" x14ac:dyDescent="0.3">
      <c r="M984" s="26" t="str">
        <f t="shared" si="15"/>
        <v xml:space="preserve"> </v>
      </c>
    </row>
    <row r="985" spans="13:13" x14ac:dyDescent="0.3">
      <c r="M985" s="26" t="str">
        <f t="shared" si="15"/>
        <v xml:space="preserve"> </v>
      </c>
    </row>
    <row r="986" spans="13:13" x14ac:dyDescent="0.3">
      <c r="M986" s="26" t="str">
        <f t="shared" si="15"/>
        <v xml:space="preserve"> </v>
      </c>
    </row>
    <row r="987" spans="13:13" x14ac:dyDescent="0.3">
      <c r="M987" s="26" t="str">
        <f t="shared" si="15"/>
        <v xml:space="preserve"> </v>
      </c>
    </row>
    <row r="988" spans="13:13" x14ac:dyDescent="0.3">
      <c r="M988" s="26" t="str">
        <f t="shared" si="15"/>
        <v xml:space="preserve"> </v>
      </c>
    </row>
    <row r="989" spans="13:13" x14ac:dyDescent="0.3">
      <c r="M989" s="26" t="str">
        <f t="shared" si="15"/>
        <v xml:space="preserve"> </v>
      </c>
    </row>
    <row r="990" spans="13:13" x14ac:dyDescent="0.3">
      <c r="M990" s="26" t="str">
        <f t="shared" si="15"/>
        <v xml:space="preserve"> </v>
      </c>
    </row>
    <row r="991" spans="13:13" x14ac:dyDescent="0.3">
      <c r="M991" s="26" t="str">
        <f t="shared" si="15"/>
        <v xml:space="preserve"> </v>
      </c>
    </row>
    <row r="992" spans="13:13" x14ac:dyDescent="0.3">
      <c r="M992" s="26" t="str">
        <f t="shared" si="15"/>
        <v xml:space="preserve"> </v>
      </c>
    </row>
    <row r="993" spans="13:13" x14ac:dyDescent="0.3">
      <c r="M993" s="26" t="str">
        <f t="shared" si="15"/>
        <v xml:space="preserve"> </v>
      </c>
    </row>
    <row r="994" spans="13:13" x14ac:dyDescent="0.3">
      <c r="M994" s="26" t="str">
        <f t="shared" si="15"/>
        <v xml:space="preserve"> </v>
      </c>
    </row>
    <row r="995" spans="13:13" x14ac:dyDescent="0.3">
      <c r="M995" s="26" t="str">
        <f t="shared" si="15"/>
        <v xml:space="preserve"> </v>
      </c>
    </row>
    <row r="996" spans="13:13" x14ac:dyDescent="0.3">
      <c r="M996" s="26" t="str">
        <f t="shared" si="15"/>
        <v xml:space="preserve"> </v>
      </c>
    </row>
    <row r="997" spans="13:13" x14ac:dyDescent="0.3">
      <c r="M997" s="26" t="str">
        <f t="shared" si="15"/>
        <v xml:space="preserve"> </v>
      </c>
    </row>
    <row r="998" spans="13:13" x14ac:dyDescent="0.3">
      <c r="M998" s="26" t="str">
        <f t="shared" si="15"/>
        <v xml:space="preserve"> </v>
      </c>
    </row>
    <row r="999" spans="13:13" x14ac:dyDescent="0.3">
      <c r="M999" s="26" t="str">
        <f t="shared" si="15"/>
        <v xml:space="preserve"> </v>
      </c>
    </row>
    <row r="1000" spans="13:13" x14ac:dyDescent="0.3">
      <c r="M1000" s="26" t="str">
        <f t="shared" si="15"/>
        <v xml:space="preserve"> </v>
      </c>
    </row>
  </sheetData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"/>
  <sheetViews>
    <sheetView workbookViewId="0">
      <selection activeCell="I1" sqref="I1:I1048576"/>
    </sheetView>
  </sheetViews>
  <sheetFormatPr defaultColWidth="8.88671875" defaultRowHeight="14.4" x14ac:dyDescent="0.3"/>
  <cols>
    <col min="1" max="1" width="2.77734375" style="108" bestFit="1" customWidth="1"/>
    <col min="2" max="2" width="7" style="108" bestFit="1" customWidth="1"/>
    <col min="3" max="3" width="8.88671875" style="108" bestFit="1" customWidth="1"/>
    <col min="4" max="4" width="7.21875" style="108" bestFit="1" customWidth="1"/>
    <col min="5" max="5" width="7" style="108" bestFit="1" customWidth="1"/>
    <col min="6" max="6" width="10.44140625" style="108" bestFit="1" customWidth="1"/>
    <col min="7" max="7" width="4" style="106" bestFit="1" customWidth="1"/>
    <col min="8" max="8" width="10.109375" style="194" bestFit="1" customWidth="1"/>
    <col min="9" max="9" width="9.6640625" style="194" bestFit="1" customWidth="1"/>
    <col min="10" max="10" width="11.6640625" style="91" bestFit="1" customWidth="1"/>
    <col min="11" max="11" width="4.21875" style="108" bestFit="1" customWidth="1"/>
    <col min="12" max="12" width="8.5546875" style="26" customWidth="1"/>
    <col min="13" max="13" width="5.44140625" style="26" customWidth="1"/>
    <col min="14" max="14" width="18.88671875" style="26" customWidth="1"/>
    <col min="15" max="15" width="8.88671875" style="26"/>
    <col min="16" max="16" width="4" style="26" customWidth="1"/>
    <col min="17" max="17" width="4.5546875" style="26" customWidth="1"/>
    <col min="18" max="18" width="9.109375" style="26" customWidth="1"/>
    <col min="19" max="19" width="7" style="26" customWidth="1"/>
    <col min="20" max="16384" width="8.88671875" style="26"/>
  </cols>
  <sheetData>
    <row r="1" spans="1:20" s="9" customFormat="1" x14ac:dyDescent="0.3">
      <c r="A1" s="107" t="s">
        <v>110</v>
      </c>
      <c r="B1" s="107" t="s">
        <v>111</v>
      </c>
      <c r="C1" s="107" t="s">
        <v>115</v>
      </c>
      <c r="D1" s="107" t="s">
        <v>112</v>
      </c>
      <c r="E1" s="107" t="s">
        <v>116</v>
      </c>
      <c r="F1" s="107" t="s">
        <v>31</v>
      </c>
      <c r="G1" s="97" t="s">
        <v>66</v>
      </c>
      <c r="H1" s="193" t="s">
        <v>131</v>
      </c>
      <c r="I1" s="193" t="s">
        <v>132</v>
      </c>
      <c r="J1" s="33" t="s">
        <v>133</v>
      </c>
      <c r="K1" s="107" t="s">
        <v>122</v>
      </c>
      <c r="L1"/>
      <c r="M1"/>
      <c r="N1"/>
      <c r="O1"/>
      <c r="P1"/>
      <c r="Q1"/>
      <c r="R1"/>
      <c r="S1"/>
      <c r="T1"/>
    </row>
  </sheetData>
  <pageMargins left="0.7" right="0.7" top="0.75" bottom="0.75" header="0.3" footer="0.3"/>
  <pageSetup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"/>
  <sheetViews>
    <sheetView workbookViewId="0">
      <selection activeCell="F1" sqref="F1:F1048576"/>
    </sheetView>
  </sheetViews>
  <sheetFormatPr defaultColWidth="9.109375" defaultRowHeight="14.4" x14ac:dyDescent="0.3"/>
  <cols>
    <col min="1" max="1" width="2.77734375" style="26" bestFit="1" customWidth="1"/>
    <col min="2" max="2" width="7" style="26" bestFit="1" customWidth="1"/>
    <col min="3" max="3" width="9.33203125" style="26" bestFit="1" customWidth="1"/>
    <col min="4" max="4" width="7.21875" style="26" bestFit="1" customWidth="1"/>
    <col min="5" max="5" width="4" style="26" customWidth="1"/>
    <col min="6" max="6" width="10.44140625" style="26" bestFit="1" customWidth="1"/>
    <col min="7" max="7" width="4.21875" style="26" bestFit="1" customWidth="1"/>
    <col min="8" max="8" width="10.109375" style="194" bestFit="1" customWidth="1"/>
    <col min="9" max="9" width="9.6640625" style="194" bestFit="1" customWidth="1"/>
    <col min="10" max="10" width="4" style="106" bestFit="1" customWidth="1"/>
    <col min="11" max="11" width="4.6640625" style="91" bestFit="1" customWidth="1"/>
    <col min="12" max="12" width="4.88671875" style="26" customWidth="1"/>
    <col min="13" max="13" width="18.33203125" style="26" customWidth="1"/>
    <col min="14" max="14" width="14" style="26" customWidth="1"/>
    <col min="15" max="16384" width="9.109375" style="26"/>
  </cols>
  <sheetData>
    <row r="1" spans="1:12" s="9" customFormat="1" x14ac:dyDescent="0.3">
      <c r="A1" s="9" t="s">
        <v>110</v>
      </c>
      <c r="B1" s="9" t="s">
        <v>111</v>
      </c>
      <c r="C1" s="9" t="s">
        <v>125</v>
      </c>
      <c r="D1" s="9" t="s">
        <v>112</v>
      </c>
      <c r="E1" s="9" t="s">
        <v>33</v>
      </c>
      <c r="F1" s="9" t="s">
        <v>31</v>
      </c>
      <c r="G1" s="9" t="s">
        <v>122</v>
      </c>
      <c r="H1" s="193" t="s">
        <v>131</v>
      </c>
      <c r="I1" s="193" t="s">
        <v>132</v>
      </c>
      <c r="J1" s="97" t="s">
        <v>66</v>
      </c>
      <c r="K1" s="33" t="s">
        <v>29</v>
      </c>
      <c r="L1"/>
    </row>
  </sheetData>
  <pageMargins left="0.7" right="0.7" top="0.75" bottom="0.75" header="0.3" footer="0.3"/>
  <pageSetup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"/>
  <sheetViews>
    <sheetView workbookViewId="0">
      <selection activeCell="A2" sqref="A2"/>
    </sheetView>
  </sheetViews>
  <sheetFormatPr defaultColWidth="9.109375" defaultRowHeight="14.4" x14ac:dyDescent="0.3"/>
  <cols>
    <col min="1" max="1" width="14.6640625" style="108" bestFit="1" customWidth="1"/>
    <col min="2" max="2" width="16.5546875" style="108" bestFit="1" customWidth="1"/>
    <col min="3" max="3" width="9.33203125" style="108" bestFit="1" customWidth="1"/>
    <col min="4" max="4" width="7.21875" style="108" bestFit="1" customWidth="1"/>
    <col min="5" max="5" width="17.33203125" style="108" bestFit="1" customWidth="1"/>
    <col min="6" max="6" width="13.33203125" style="108" bestFit="1" customWidth="1"/>
    <col min="7" max="7" width="8" style="108" bestFit="1" customWidth="1"/>
    <col min="8" max="8" width="10.6640625" style="106" bestFit="1" customWidth="1"/>
    <col min="9" max="9" width="8.109375" style="194" bestFit="1" customWidth="1"/>
    <col min="10" max="10" width="10.109375" style="194" bestFit="1" customWidth="1"/>
    <col min="11" max="11" width="4.6640625" style="91" bestFit="1" customWidth="1"/>
    <col min="12" max="12" width="4.21875" style="26" bestFit="1" customWidth="1"/>
    <col min="13" max="13" width="15.6640625" style="26" customWidth="1"/>
    <col min="14" max="14" width="13.88671875" style="26" bestFit="1" customWidth="1"/>
    <col min="15" max="15" width="3" style="26" bestFit="1" customWidth="1"/>
    <col min="16" max="16" width="13.88671875" style="26" bestFit="1" customWidth="1"/>
    <col min="17" max="17" width="15.6640625" style="26" bestFit="1" customWidth="1"/>
    <col min="18" max="18" width="5" style="26" bestFit="1" customWidth="1"/>
    <col min="19" max="19" width="15.6640625" style="26" bestFit="1" customWidth="1"/>
    <col min="20" max="20" width="13.88671875" style="26" bestFit="1" customWidth="1"/>
    <col min="21" max="21" width="15.6640625" style="26" bestFit="1" customWidth="1"/>
    <col min="22" max="31" width="24.44140625" style="26" bestFit="1" customWidth="1"/>
    <col min="32" max="32" width="14.88671875" style="26" bestFit="1" customWidth="1"/>
    <col min="33" max="33" width="16.6640625" style="26" bestFit="1" customWidth="1"/>
    <col min="34" max="34" width="14.88671875" style="26" bestFit="1" customWidth="1"/>
    <col min="35" max="35" width="16.6640625" style="26" bestFit="1" customWidth="1"/>
    <col min="36" max="36" width="14.88671875" style="26" bestFit="1" customWidth="1"/>
    <col min="37" max="37" width="16.6640625" style="26" bestFit="1" customWidth="1"/>
    <col min="38" max="38" width="14.88671875" style="26" bestFit="1" customWidth="1"/>
    <col min="39" max="39" width="16.6640625" style="26" bestFit="1" customWidth="1"/>
    <col min="40" max="40" width="13.6640625" style="26" bestFit="1" customWidth="1"/>
    <col min="41" max="41" width="16.44140625" style="26" bestFit="1" customWidth="1"/>
    <col min="42" max="42" width="15.5546875" style="26" bestFit="1" customWidth="1"/>
    <col min="43" max="43" width="15.109375" style="26" bestFit="1" customWidth="1"/>
    <col min="44" max="44" width="16.33203125" style="26" bestFit="1" customWidth="1"/>
    <col min="45" max="45" width="16.44140625" style="26" bestFit="1" customWidth="1"/>
    <col min="46" max="46" width="15.5546875" style="26" bestFit="1" customWidth="1"/>
    <col min="47" max="47" width="15.109375" style="26" bestFit="1" customWidth="1"/>
    <col min="48" max="48" width="16.33203125" style="26" bestFit="1" customWidth="1"/>
    <col min="49" max="49" width="16.44140625" style="26" bestFit="1" customWidth="1"/>
    <col min="50" max="50" width="15.5546875" style="26" bestFit="1" customWidth="1"/>
    <col min="51" max="51" width="15.109375" style="26" bestFit="1" customWidth="1"/>
    <col min="52" max="52" width="16.33203125" style="26" bestFit="1" customWidth="1"/>
    <col min="53" max="53" width="16.44140625" style="26" bestFit="1" customWidth="1"/>
    <col min="54" max="54" width="15.5546875" style="26" bestFit="1" customWidth="1"/>
    <col min="55" max="55" width="15.109375" style="26" bestFit="1" customWidth="1"/>
    <col min="56" max="56" width="16.33203125" style="26" bestFit="1" customWidth="1"/>
    <col min="57" max="57" width="16.44140625" style="26" bestFit="1" customWidth="1"/>
    <col min="58" max="58" width="15.5546875" style="26" bestFit="1" customWidth="1"/>
    <col min="59" max="59" width="15.109375" style="26" bestFit="1" customWidth="1"/>
    <col min="60" max="60" width="16.33203125" style="26" bestFit="1" customWidth="1"/>
    <col min="61" max="61" width="16.44140625" style="26" bestFit="1" customWidth="1"/>
    <col min="62" max="62" width="15.5546875" style="26" bestFit="1" customWidth="1"/>
    <col min="63" max="63" width="15.109375" style="26" bestFit="1" customWidth="1"/>
    <col min="64" max="64" width="16.33203125" style="26" bestFit="1" customWidth="1"/>
    <col min="65" max="65" width="16.44140625" style="26" bestFit="1" customWidth="1"/>
    <col min="66" max="66" width="15.5546875" style="26" bestFit="1" customWidth="1"/>
    <col min="67" max="67" width="15.109375" style="26" bestFit="1" customWidth="1"/>
    <col min="68" max="68" width="16.33203125" style="26" bestFit="1" customWidth="1"/>
    <col min="69" max="69" width="16.44140625" style="26" bestFit="1" customWidth="1"/>
    <col min="70" max="70" width="15.5546875" style="26" bestFit="1" customWidth="1"/>
    <col min="71" max="71" width="15.109375" style="26" bestFit="1" customWidth="1"/>
    <col min="72" max="72" width="16.33203125" style="26" bestFit="1" customWidth="1"/>
    <col min="73" max="73" width="16.44140625" style="26" bestFit="1" customWidth="1"/>
    <col min="74" max="74" width="15.5546875" style="26" bestFit="1" customWidth="1"/>
    <col min="75" max="75" width="15.109375" style="26" bestFit="1" customWidth="1"/>
    <col min="76" max="76" width="16.33203125" style="26" bestFit="1" customWidth="1"/>
    <col min="77" max="77" width="16.44140625" style="26" bestFit="1" customWidth="1"/>
    <col min="78" max="78" width="15.5546875" style="26" bestFit="1" customWidth="1"/>
    <col min="79" max="79" width="15.109375" style="26" bestFit="1" customWidth="1"/>
    <col min="80" max="80" width="16.33203125" style="26" bestFit="1" customWidth="1"/>
    <col min="81" max="81" width="16.44140625" style="26" bestFit="1" customWidth="1"/>
    <col min="82" max="82" width="15.5546875" style="26" bestFit="1" customWidth="1"/>
    <col min="83" max="83" width="15.109375" style="26" bestFit="1" customWidth="1"/>
    <col min="84" max="84" width="16.33203125" style="26" bestFit="1" customWidth="1"/>
    <col min="85" max="85" width="16.44140625" style="26" bestFit="1" customWidth="1"/>
    <col min="86" max="86" width="15.5546875" style="26" bestFit="1" customWidth="1"/>
    <col min="87" max="87" width="15.109375" style="26" bestFit="1" customWidth="1"/>
    <col min="88" max="88" width="16.33203125" style="26" bestFit="1" customWidth="1"/>
    <col min="89" max="89" width="16.44140625" style="26" bestFit="1" customWidth="1"/>
    <col min="90" max="90" width="15.5546875" style="26" bestFit="1" customWidth="1"/>
    <col min="91" max="91" width="15.109375" style="26" bestFit="1" customWidth="1"/>
    <col min="92" max="92" width="16.33203125" style="26" bestFit="1" customWidth="1"/>
    <col min="93" max="93" width="16.44140625" style="26" bestFit="1" customWidth="1"/>
    <col min="94" max="94" width="15.5546875" style="26" bestFit="1" customWidth="1"/>
    <col min="95" max="95" width="15.109375" style="26" bestFit="1" customWidth="1"/>
    <col min="96" max="96" width="16.33203125" style="26" bestFit="1" customWidth="1"/>
    <col min="97" max="97" width="16.44140625" style="26" bestFit="1" customWidth="1"/>
    <col min="98" max="98" width="15.5546875" style="26" bestFit="1" customWidth="1"/>
    <col min="99" max="99" width="15.109375" style="26" bestFit="1" customWidth="1"/>
    <col min="100" max="100" width="16.33203125" style="26" bestFit="1" customWidth="1"/>
    <col min="101" max="101" width="16.44140625" style="26" bestFit="1" customWidth="1"/>
    <col min="102" max="102" width="15.5546875" style="26" bestFit="1" customWidth="1"/>
    <col min="103" max="103" width="15.109375" style="26" bestFit="1" customWidth="1"/>
    <col min="104" max="104" width="16.33203125" style="26" bestFit="1" customWidth="1"/>
    <col min="105" max="106" width="24.44140625" style="26" bestFit="1" customWidth="1"/>
    <col min="107" max="118" width="24.109375" style="26" bestFit="1" customWidth="1"/>
    <col min="119" max="128" width="25.109375" style="26" bestFit="1" customWidth="1"/>
    <col min="129" max="129" width="9.109375" style="26"/>
    <col min="130" max="130" width="10.6640625" style="26" bestFit="1" customWidth="1"/>
    <col min="131" max="131" width="5.88671875" style="26" bestFit="1" customWidth="1"/>
    <col min="132" max="132" width="15" style="26" bestFit="1" customWidth="1"/>
    <col min="133" max="133" width="9.109375" style="26"/>
    <col min="134" max="134" width="5" style="26" bestFit="1" customWidth="1"/>
    <col min="135" max="136" width="9.109375" style="26"/>
    <col min="137" max="137" width="8" style="26" bestFit="1" customWidth="1"/>
    <col min="138" max="16384" width="9.109375" style="26"/>
  </cols>
  <sheetData>
    <row r="1" spans="1:12" s="9" customFormat="1" x14ac:dyDescent="0.3">
      <c r="A1" s="107" t="s">
        <v>124</v>
      </c>
      <c r="B1" s="107" t="s">
        <v>111</v>
      </c>
      <c r="C1" s="107" t="s">
        <v>125</v>
      </c>
      <c r="D1" s="107" t="s">
        <v>112</v>
      </c>
      <c r="E1" s="107" t="s">
        <v>116</v>
      </c>
      <c r="F1" s="107" t="s">
        <v>126</v>
      </c>
      <c r="G1" s="107" t="s">
        <v>67</v>
      </c>
      <c r="H1" s="97" t="s">
        <v>127</v>
      </c>
      <c r="I1" s="193" t="s">
        <v>128</v>
      </c>
      <c r="J1" s="193" t="s">
        <v>129</v>
      </c>
      <c r="K1" s="33" t="s">
        <v>29</v>
      </c>
      <c r="L1" s="9" t="s">
        <v>122</v>
      </c>
    </row>
  </sheetData>
  <pageMargins left="0.7" right="0.7" top="0.75" bottom="0.75" header="0.3" footer="0.3"/>
  <pageSetup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"/>
  <sheetViews>
    <sheetView workbookViewId="0"/>
  </sheetViews>
  <sheetFormatPr defaultRowHeight="14.4" x14ac:dyDescent="0.3"/>
  <cols>
    <col min="1" max="1" width="16.5546875" customWidth="1"/>
    <col min="2" max="2" width="13.77734375" bestFit="1" customWidth="1"/>
    <col min="3" max="3" width="15.21875" bestFit="1" customWidth="1"/>
    <col min="4" max="4" width="14.109375" customWidth="1"/>
  </cols>
  <sheetData>
    <row r="1" spans="1:4" s="9" customFormat="1" x14ac:dyDescent="0.3">
      <c r="A1" s="9" t="s">
        <v>134</v>
      </c>
      <c r="B1" s="9" t="s">
        <v>135</v>
      </c>
      <c r="C1" s="9" t="s">
        <v>136</v>
      </c>
      <c r="D1" s="9" t="s">
        <v>137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ESTmep" label="ESTmep">
        <group id="Import" label="Data">
          <button id="ImportEST" label="Import" imageMso="ImportTextFile" size="large" onAction="Button_ImportEstimate"/>
          <button id="ClearEST" label="Clear" imageMso="Clear" size="large" onAction="Button_ClearESTdata"/>
        </group>
        <group id="Vis" label="Takeoff Sheets">
          <button id="HideData" label="Hide" imageMso="VisibilityHidden" size="large" onAction="HideDataSheets"/>
          <button id="ShowData" label="Show" imageMso="VisibilityVisible" size="large" onAction="ShowDataSheets"/>
        </group>
        <group id="Themes" label="Themes">
          <button id="GreenTheme" label=" " imageMso="AppointmentColor3" size="normal" onAction="ChangeTheme_Green"/>
          <button id="BlueTheme" label=" " imageMso="AppointmentColor2" size="normal" onAction="ChangeTheme_Blue"/>
          <button id="GrayTheme" label=" " imageMso="AppointmentColor4" size="normal" onAction="ChangeTheme_Gra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8EBA3E-D04C-4401-8B78-B5102EBC96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33</vt:i4>
      </vt:variant>
    </vt:vector>
  </HeadingPairs>
  <TitlesOfParts>
    <vt:vector size="56" baseType="lpstr">
      <vt:lpstr>Summary</vt:lpstr>
      <vt:lpstr>Pipe</vt:lpstr>
      <vt:lpstr>Fittings</vt:lpstr>
      <vt:lpstr>Valves</vt:lpstr>
      <vt:lpstr>Accessories</vt:lpstr>
      <vt:lpstr>Hangers</vt:lpstr>
      <vt:lpstr>Sleeves</vt:lpstr>
      <vt:lpstr>Equipment</vt:lpstr>
      <vt:lpstr>Ancillaries</vt:lpstr>
      <vt:lpstr>Other Cost</vt:lpstr>
      <vt:lpstr>Settings</vt:lpstr>
      <vt:lpstr>Supplier Pricing</vt:lpstr>
      <vt:lpstr>Supplier Pricing - pipe</vt:lpstr>
      <vt:lpstr>Lists</vt:lpstr>
      <vt:lpstr>P-EST-Pipe</vt:lpstr>
      <vt:lpstr>P-EST-Fittings</vt:lpstr>
      <vt:lpstr>P-EST-Valves</vt:lpstr>
      <vt:lpstr>P-EST-Accessories</vt:lpstr>
      <vt:lpstr>P-EST-Hangers</vt:lpstr>
      <vt:lpstr>P-EST-Sleeves</vt:lpstr>
      <vt:lpstr>P-EST-Equipment</vt:lpstr>
      <vt:lpstr>P-EST-Ancillaries</vt:lpstr>
      <vt:lpstr>P-EST-Job Info</vt:lpstr>
      <vt:lpstr>'P-EST-Job Info'!EST_Job_Info</vt:lpstr>
      <vt:lpstr>EstimateNo</vt:lpstr>
      <vt:lpstr>EstimatorName</vt:lpstr>
      <vt:lpstr>Lists!Extract</vt:lpstr>
      <vt:lpstr>JobAddress</vt:lpstr>
      <vt:lpstr>JobName</vt:lpstr>
      <vt:lpstr>Labor_Total</vt:lpstr>
      <vt:lpstr>P_AccessoryName</vt:lpstr>
      <vt:lpstr>P_AncillaryName</vt:lpstr>
      <vt:lpstr>P_EquipmentName</vt:lpstr>
      <vt:lpstr>'P-EST-Accessories'!P_EST_Accessories</vt:lpstr>
      <vt:lpstr>'P-EST-Ancillaries'!P_EST_Ancillaries</vt:lpstr>
      <vt:lpstr>'P-EST-Equipment'!P_EST_Equipment</vt:lpstr>
      <vt:lpstr>'P-EST-Fittings'!P_EST_Fittings</vt:lpstr>
      <vt:lpstr>'P-EST-Hangers'!P_EST_Hangers</vt:lpstr>
      <vt:lpstr>'P-EST-Pipe'!P_EST_Pipe</vt:lpstr>
      <vt:lpstr>'P-EST-Sleeves'!P_EST_Sleeves</vt:lpstr>
      <vt:lpstr>'P-EST-Valves'!P_EST_Valves</vt:lpstr>
      <vt:lpstr>P_FittingName</vt:lpstr>
      <vt:lpstr>P_HangerName</vt:lpstr>
      <vt:lpstr>P_PipeMaterial</vt:lpstr>
      <vt:lpstr>P_PipeName</vt:lpstr>
      <vt:lpstr>P_SleeveName</vt:lpstr>
      <vt:lpstr>P_ValveName</vt:lpstr>
      <vt:lpstr>ProfitMargin</vt:lpstr>
      <vt:lpstr>ProjectAddress</vt:lpstr>
      <vt:lpstr>ProjectName</vt:lpstr>
      <vt:lpstr>Rentals</vt:lpstr>
      <vt:lpstr>SalesTaxRate</vt:lpstr>
      <vt:lpstr>SubcontractMarkup</vt:lpstr>
      <vt:lpstr>Subcontracts</vt:lpstr>
      <vt:lpstr>'Supplier Pricing - pipe'!Supplier_Provided_Pricing___pipe</vt:lpstr>
      <vt:lpstr>'Supplier Pricing'!Supplier_Provided_Pricing_1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Hendricks</dc:creator>
  <cp:lastModifiedBy>Scott Hendricks</cp:lastModifiedBy>
  <cp:lastPrinted>2018-03-01T15:48:46Z</cp:lastPrinted>
  <dcterms:created xsi:type="dcterms:W3CDTF">2017-05-16T18:48:21Z</dcterms:created>
  <dcterms:modified xsi:type="dcterms:W3CDTF">2018-04-09T17:28:08Z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b96344ab-5c20-4dee-a427-93e6a3f35bcf</vt:lpwstr>
  </property>
</Properties>
</file>